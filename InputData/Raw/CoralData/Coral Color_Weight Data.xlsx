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efore &amp; After MO for R" sheetId="1" r:id="rId4"/>
    <sheet state="visible" name="Before&amp;After MO" sheetId="2" r:id="rId5"/>
    <sheet state="visible" name="Before &amp; After MO Summer 24 Red" sheetId="3" r:id="rId6"/>
    <sheet state="visible" name="Before R2 Data" sheetId="4" r:id="rId7"/>
    <sheet state="visible" name="Test Data" sheetId="5" r:id="rId8"/>
  </sheets>
  <definedNames>
    <definedName hidden="1" localSheetId="0" name="_xlnm._FilterDatabase">'Before &amp; After MO for R'!$A$1:$S$503</definedName>
    <definedName hidden="1" localSheetId="1" name="_xlnm._FilterDatabase">'Before&amp;After MO'!$A$1:$AI$1000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1">
      <text>
        <t xml:space="preserve">Std may be variable because of the species size and structure (phenotypic traits)
	-Savanna Ruth Saunders</t>
      </text>
    </comment>
    <comment authorId="0" ref="D4">
      <text>
        <t xml:space="preserve">Started using 5 cm for set scale instead of 1 cm
	-Savanna Ruth Saunders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44">
      <text>
        <t xml:space="preserve">ruler not in focus
	-Savanna Ruth Saunders</t>
      </text>
    </comment>
  </commentList>
</comments>
</file>

<file path=xl/sharedStrings.xml><?xml version="1.0" encoding="utf-8"?>
<sst xmlns="http://schemas.openxmlformats.org/spreadsheetml/2006/main" count="7503" uniqueCount="62">
  <si>
    <t>Person_weight_photos</t>
  </si>
  <si>
    <t>Person_ImageJ</t>
  </si>
  <si>
    <t>Date</t>
  </si>
  <si>
    <t>Species</t>
  </si>
  <si>
    <t>Fragment</t>
  </si>
  <si>
    <t>Treatment</t>
  </si>
  <si>
    <t xml:space="preserve">Trial </t>
  </si>
  <si>
    <t>Time</t>
  </si>
  <si>
    <t>Weight_g</t>
  </si>
  <si>
    <t>Scale_pixels/cm</t>
  </si>
  <si>
    <t>Surface_Area_Mean_cm3</t>
  </si>
  <si>
    <t>Surface_Area_Std</t>
  </si>
  <si>
    <t>Red_Mean</t>
  </si>
  <si>
    <t>Red_Std</t>
  </si>
  <si>
    <t>Green_Mean</t>
  </si>
  <si>
    <t>Green_Std</t>
  </si>
  <si>
    <t>Blue_Mean</t>
  </si>
  <si>
    <t>Blue_Std</t>
  </si>
  <si>
    <t>Notes</t>
  </si>
  <si>
    <t>Connor Fenn</t>
  </si>
  <si>
    <t>Savanna Saunders</t>
  </si>
  <si>
    <t>Mcav</t>
  </si>
  <si>
    <t>PBR</t>
  </si>
  <si>
    <t>Before MO</t>
  </si>
  <si>
    <t>Ofav</t>
  </si>
  <si>
    <t>Pcli</t>
  </si>
  <si>
    <t>After MO</t>
  </si>
  <si>
    <t>PBC</t>
  </si>
  <si>
    <t>Person</t>
  </si>
  <si>
    <t>Red Mean</t>
  </si>
  <si>
    <t>Red Std</t>
  </si>
  <si>
    <t>Green Mean</t>
  </si>
  <si>
    <t>Green Std</t>
  </si>
  <si>
    <t>Blue Mean</t>
  </si>
  <si>
    <t>Blue Std</t>
  </si>
  <si>
    <t>Person (wight &amp; photo)</t>
  </si>
  <si>
    <t>Person ImageJ</t>
  </si>
  <si>
    <t>Before R2</t>
  </si>
  <si>
    <t>person</t>
  </si>
  <si>
    <t>date</t>
  </si>
  <si>
    <t>species</t>
  </si>
  <si>
    <t>fragment</t>
  </si>
  <si>
    <t>treatment</t>
  </si>
  <si>
    <t>trial</t>
  </si>
  <si>
    <t>time</t>
  </si>
  <si>
    <t>weight_g</t>
  </si>
  <si>
    <t>surface_area_mean_cm3</t>
  </si>
  <si>
    <t>surface_area_std</t>
  </si>
  <si>
    <t>red_mean</t>
  </si>
  <si>
    <t>red_std</t>
  </si>
  <si>
    <t>green_mean</t>
  </si>
  <si>
    <t>green_std</t>
  </si>
  <si>
    <t>blue_mean</t>
  </si>
  <si>
    <t>blue_std</t>
  </si>
  <si>
    <t>Before</t>
  </si>
  <si>
    <t>After</t>
  </si>
  <si>
    <t>*an M.cav labeled as O.fav</t>
  </si>
  <si>
    <t>*an O.fav labeled as M.cav</t>
  </si>
  <si>
    <t>photo taken on 7/16/24</t>
  </si>
  <si>
    <t>uses 750 pix</t>
  </si>
  <si>
    <t>NA</t>
  </si>
  <si>
    <t>Need to take a photo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</si>
</sst>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0.0000"/>
    <numFmt numFmtId="166" formatCode="m/d/yy"/>
    <numFmt numFmtId="167" formatCode="0.000"/>
  </numFmts>
  <fonts count="7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  <scheme val="minor"/>
    </font>
    <font>
      <b/>
      <color rgb="FF000000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EAD1DC"/>
        <bgColor rgb="FFEAD1DC"/>
      </patternFill>
    </fill>
    <fill>
      <patternFill patternType="solid">
        <fgColor rgb="FFFCE5CD"/>
        <bgColor rgb="FFFCE5CD"/>
      </patternFill>
    </fill>
    <fill>
      <patternFill patternType="solid">
        <fgColor rgb="FFFFE599"/>
        <bgColor rgb="FFFFE599"/>
      </patternFill>
    </fill>
    <fill>
      <patternFill patternType="solid">
        <fgColor rgb="FFEA9999"/>
        <bgColor rgb="FFEA9999"/>
      </patternFill>
    </fill>
    <fill>
      <patternFill patternType="solid">
        <fgColor rgb="FFB6D7A8"/>
        <bgColor rgb="FFB6D7A8"/>
      </patternFill>
    </fill>
    <fill>
      <patternFill patternType="solid">
        <fgColor rgb="FFA4C2F4"/>
        <bgColor rgb="FFA4C2F4"/>
      </patternFill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2" fontId="2" numFmtId="164" xfId="0" applyAlignment="1" applyFont="1" applyNumberFormat="1">
      <alignment readingOrder="0"/>
    </xf>
    <xf borderId="0" fillId="2" fontId="2" numFmtId="0" xfId="0" applyAlignment="1" applyFont="1">
      <alignment readingOrder="0"/>
    </xf>
    <xf borderId="0" fillId="3" fontId="2" numFmtId="165" xfId="0" applyAlignment="1" applyFill="1" applyFont="1" applyNumberFormat="1">
      <alignment readingOrder="0"/>
    </xf>
    <xf borderId="0" fillId="4" fontId="3" numFmtId="165" xfId="0" applyAlignment="1" applyFill="1" applyFont="1" applyNumberFormat="1">
      <alignment readingOrder="0" vertical="bottom"/>
    </xf>
    <xf borderId="0" fillId="5" fontId="2" numFmtId="165" xfId="0" applyAlignment="1" applyFill="1" applyFont="1" applyNumberFormat="1">
      <alignment readingOrder="0"/>
    </xf>
    <xf borderId="0" fillId="5" fontId="4" numFmtId="165" xfId="0" applyAlignment="1" applyFont="1" applyNumberFormat="1">
      <alignment readingOrder="0" shrinkToFit="0" vertical="bottom" wrapText="0"/>
    </xf>
    <xf borderId="0" fillId="6" fontId="3" numFmtId="165" xfId="0" applyAlignment="1" applyFill="1" applyFont="1" applyNumberFormat="1">
      <alignment vertical="bottom"/>
    </xf>
    <xf borderId="0" fillId="7" fontId="3" numFmtId="165" xfId="0" applyAlignment="1" applyFill="1" applyFont="1" applyNumberFormat="1">
      <alignment vertical="bottom"/>
    </xf>
    <xf borderId="0" fillId="8" fontId="3" numFmtId="165" xfId="0" applyAlignment="1" applyFill="1" applyFont="1" applyNumberFormat="1">
      <alignment vertical="bottom"/>
    </xf>
    <xf borderId="0" fillId="9" fontId="3" numFmtId="165" xfId="0" applyAlignment="1" applyFill="1" applyFont="1" applyNumberFormat="1">
      <alignment readingOrder="0" vertical="bottom"/>
    </xf>
    <xf borderId="0" fillId="0" fontId="3" numFmtId="165" xfId="0" applyAlignment="1" applyFont="1" applyNumberFormat="1">
      <alignment readingOrder="0" vertical="bottom"/>
    </xf>
    <xf borderId="0" fillId="0" fontId="2" numFmtId="0" xfId="0" applyAlignment="1" applyFont="1">
      <alignment readingOrder="0"/>
    </xf>
    <xf borderId="0" fillId="0" fontId="3" numFmtId="166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1" xfId="0" applyAlignment="1" applyFont="1" applyNumberFormat="1">
      <alignment horizontal="right" vertical="bottom"/>
    </xf>
    <xf borderId="0" fillId="0" fontId="3" numFmtId="167" xfId="0" applyAlignment="1" applyFont="1" applyNumberFormat="1">
      <alignment readingOrder="0" vertical="bottom"/>
    </xf>
    <xf borderId="0" fillId="0" fontId="3" numFmtId="167" xfId="0" applyAlignment="1" applyFont="1" applyNumberFormat="1">
      <alignment horizontal="right" vertical="bottom"/>
    </xf>
    <xf borderId="0" fillId="0" fontId="3" numFmtId="165" xfId="0" applyAlignment="1" applyFont="1" applyNumberFormat="1">
      <alignment horizontal="right" readingOrder="0" vertical="bottom"/>
    </xf>
    <xf borderId="0" fillId="0" fontId="2" numFmtId="165" xfId="0" applyFont="1" applyNumberFormat="1"/>
    <xf borderId="0" fillId="0" fontId="2" numFmtId="165" xfId="0" applyFont="1" applyNumberFormat="1"/>
    <xf borderId="0" fillId="0" fontId="2" numFmtId="165" xfId="0" applyAlignment="1" applyFont="1" applyNumberFormat="1">
      <alignment readingOrder="0"/>
    </xf>
    <xf borderId="0" fillId="0" fontId="2" numFmtId="165" xfId="0" applyAlignment="1" applyFont="1" applyNumberFormat="1">
      <alignment readingOrder="0"/>
    </xf>
    <xf borderId="0" fillId="0" fontId="3" numFmtId="165" xfId="0" applyAlignment="1" applyFont="1" applyNumberFormat="1">
      <alignment horizontal="right" vertical="bottom"/>
    </xf>
    <xf borderId="0" fillId="0" fontId="2" numFmtId="164" xfId="0" applyAlignment="1" applyFont="1" applyNumberFormat="1">
      <alignment readingOrder="0"/>
    </xf>
    <xf borderId="0" fillId="0" fontId="3" numFmtId="165" xfId="0" applyAlignment="1" applyFont="1" applyNumberFormat="1">
      <alignment readingOrder="0" vertical="bottom"/>
    </xf>
    <xf borderId="0" fillId="0" fontId="2" numFmtId="164" xfId="0" applyFont="1" applyNumberFormat="1"/>
    <xf borderId="0" fillId="6" fontId="3" numFmtId="165" xfId="0" applyAlignment="1" applyFont="1" applyNumberFormat="1">
      <alignment readingOrder="0" vertical="bottom"/>
    </xf>
    <xf borderId="0" fillId="7" fontId="3" numFmtId="165" xfId="0" applyAlignment="1" applyFont="1" applyNumberFormat="1">
      <alignment readingOrder="0" vertical="bottom"/>
    </xf>
    <xf borderId="0" fillId="8" fontId="3" numFmtId="165" xfId="0" applyAlignment="1" applyFont="1" applyNumberFormat="1">
      <alignment readingOrder="0" vertical="bottom"/>
    </xf>
    <xf borderId="0" fillId="5" fontId="2" numFmtId="0" xfId="0" applyAlignment="1" applyFont="1">
      <alignment readingOrder="0"/>
    </xf>
    <xf borderId="0" fillId="2" fontId="5" numFmtId="0" xfId="0" applyAlignment="1" applyFont="1">
      <alignment readingOrder="0"/>
    </xf>
    <xf borderId="0" fillId="3" fontId="5" numFmtId="165" xfId="0" applyAlignment="1" applyFont="1" applyNumberFormat="1">
      <alignment readingOrder="0"/>
    </xf>
    <xf borderId="0" fillId="4" fontId="1" numFmtId="165" xfId="0" applyAlignment="1" applyFont="1" applyNumberFormat="1">
      <alignment readingOrder="0" vertical="bottom"/>
    </xf>
    <xf borderId="0" fillId="5" fontId="5" numFmtId="165" xfId="0" applyAlignment="1" applyFont="1" applyNumberFormat="1">
      <alignment readingOrder="0"/>
    </xf>
    <xf borderId="0" fillId="5" fontId="6" numFmtId="165" xfId="0" applyAlignment="1" applyFont="1" applyNumberFormat="1">
      <alignment readingOrder="0" shrinkToFit="0" vertical="bottom" wrapText="0"/>
    </xf>
    <xf borderId="0" fillId="6" fontId="1" numFmtId="165" xfId="0" applyAlignment="1" applyFont="1" applyNumberFormat="1">
      <alignment readingOrder="0" vertical="bottom"/>
    </xf>
    <xf borderId="0" fillId="7" fontId="1" numFmtId="165" xfId="0" applyAlignment="1" applyFont="1" applyNumberFormat="1">
      <alignment readingOrder="0" vertical="bottom"/>
    </xf>
    <xf borderId="0" fillId="8" fontId="1" numFmtId="165" xfId="0" applyAlignment="1" applyFont="1" applyNumberFormat="1">
      <alignment readingOrder="0" vertical="bottom"/>
    </xf>
    <xf borderId="0" fillId="9" fontId="1" numFmtId="165" xfId="0" applyAlignment="1" applyFont="1" applyNumberFormat="1">
      <alignment readingOrder="0" vertical="bottom"/>
    </xf>
    <xf borderId="0" fillId="10" fontId="2" numFmtId="0" xfId="0" applyAlignment="1" applyFill="1" applyFont="1">
      <alignment readingOrder="0"/>
    </xf>
    <xf borderId="0" fillId="10" fontId="3" numFmtId="166" xfId="0" applyAlignment="1" applyFont="1" applyNumberFormat="1">
      <alignment horizontal="right" vertical="bottom"/>
    </xf>
    <xf borderId="0" fillId="10" fontId="3" numFmtId="0" xfId="0" applyAlignment="1" applyFont="1">
      <alignment vertical="bottom"/>
    </xf>
    <xf borderId="0" fillId="10" fontId="3" numFmtId="0" xfId="0" applyAlignment="1" applyFont="1">
      <alignment horizontal="right" vertical="bottom"/>
    </xf>
    <xf borderId="0" fillId="10" fontId="3" numFmtId="1" xfId="0" applyAlignment="1" applyFont="1" applyNumberFormat="1">
      <alignment horizontal="right" vertical="bottom"/>
    </xf>
    <xf borderId="0" fillId="10" fontId="3" numFmtId="167" xfId="0" applyAlignment="1" applyFont="1" applyNumberFormat="1">
      <alignment horizontal="right" vertical="bottom"/>
    </xf>
    <xf borderId="0" fillId="10" fontId="2" numFmtId="165" xfId="0" applyFont="1" applyNumberFormat="1"/>
    <xf borderId="0" fillId="10" fontId="2" numFmtId="0" xfId="0" applyFont="1"/>
    <xf borderId="0" fillId="0" fontId="1" numFmtId="165" xfId="0" applyAlignment="1" applyFont="1" applyNumberFormat="1">
      <alignment readingOrder="0" vertical="bottom"/>
    </xf>
    <xf borderId="0" fillId="0" fontId="3" numFmtId="167" xfId="0" applyAlignment="1" applyFont="1" applyNumberForma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3" numFmtId="165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1" max="1" width="18.13"/>
    <col customWidth="1" min="2" max="2" width="15.13"/>
    <col customWidth="1" min="3" max="3" width="17.25"/>
    <col customWidth="1" min="4" max="4" width="10.0"/>
    <col customWidth="1" min="5" max="5" width="8.0"/>
    <col customWidth="1" min="6" max="6" width="11.38"/>
    <col customWidth="1" min="7" max="7" width="5.5"/>
    <col customWidth="1" min="8" max="8" width="14.5"/>
    <col customWidth="1" min="11" max="11" width="21.0"/>
    <col customWidth="1" min="12" max="12" width="14.25"/>
    <col customWidth="1" min="13" max="13" width="12.13"/>
    <col customWidth="1" min="14" max="14" width="11.38"/>
    <col customWidth="1" min="15" max="15" width="13.0"/>
    <col customWidth="1" min="16" max="17" width="13.13"/>
    <col customWidth="1" min="18" max="18" width="12.38"/>
  </cols>
  <sheetData>
    <row r="1">
      <c r="A1" s="1" t="s">
        <v>0</v>
      </c>
      <c r="B1" s="1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8" t="s">
        <v>13</v>
      </c>
      <c r="O1" s="9" t="s">
        <v>14</v>
      </c>
      <c r="P1" s="9" t="s">
        <v>15</v>
      </c>
      <c r="Q1" s="10" t="s">
        <v>16</v>
      </c>
      <c r="R1" s="10" t="s">
        <v>17</v>
      </c>
      <c r="S1" s="11" t="s">
        <v>18</v>
      </c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</row>
    <row r="2">
      <c r="A2" s="13" t="s">
        <v>19</v>
      </c>
      <c r="B2" s="13" t="s">
        <v>20</v>
      </c>
      <c r="C2" s="14">
        <v>45441.0</v>
      </c>
      <c r="D2" s="15" t="s">
        <v>21</v>
      </c>
      <c r="E2" s="16">
        <v>1.1</v>
      </c>
      <c r="F2" s="15" t="s">
        <v>22</v>
      </c>
      <c r="G2" s="17">
        <v>1.0</v>
      </c>
      <c r="H2" s="18" t="s">
        <v>23</v>
      </c>
      <c r="I2" s="19">
        <v>22.512</v>
      </c>
      <c r="J2" s="20">
        <v>529.2258</v>
      </c>
      <c r="K2" s="20">
        <v>6.351</v>
      </c>
      <c r="L2" s="20">
        <v>0.113</v>
      </c>
      <c r="M2" s="21">
        <v>160.66733333333332</v>
      </c>
      <c r="N2" s="21">
        <v>30.957666666666668</v>
      </c>
      <c r="O2" s="21">
        <v>137.67600000000002</v>
      </c>
      <c r="P2" s="21">
        <v>32.04566666666667</v>
      </c>
      <c r="Q2" s="21">
        <v>95.28833333333334</v>
      </c>
      <c r="R2" s="21">
        <v>36.12333333333333</v>
      </c>
      <c r="S2" s="22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</row>
    <row r="3">
      <c r="A3" s="13" t="s">
        <v>19</v>
      </c>
      <c r="B3" s="13" t="s">
        <v>20</v>
      </c>
      <c r="C3" s="14">
        <v>45441.0</v>
      </c>
      <c r="D3" s="15" t="s">
        <v>21</v>
      </c>
      <c r="E3" s="16">
        <v>1.2</v>
      </c>
      <c r="F3" s="15" t="s">
        <v>22</v>
      </c>
      <c r="G3" s="17">
        <v>1.0</v>
      </c>
      <c r="H3" s="18" t="s">
        <v>23</v>
      </c>
      <c r="I3" s="19">
        <v>22.297</v>
      </c>
      <c r="J3" s="20">
        <v>480.15</v>
      </c>
      <c r="K3" s="20">
        <v>6.368</v>
      </c>
      <c r="L3" s="20">
        <v>0.047</v>
      </c>
      <c r="M3" s="21">
        <v>157.01733333333334</v>
      </c>
      <c r="N3" s="21">
        <v>28.025333333333332</v>
      </c>
      <c r="O3" s="21">
        <v>140.54233333333335</v>
      </c>
      <c r="P3" s="21">
        <v>29.321</v>
      </c>
      <c r="Q3" s="21">
        <v>94.96666666666665</v>
      </c>
      <c r="R3" s="21">
        <v>33.784</v>
      </c>
      <c r="S3" s="22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</row>
    <row r="4">
      <c r="A4" s="13" t="s">
        <v>19</v>
      </c>
      <c r="B4" s="13" t="s">
        <v>20</v>
      </c>
      <c r="C4" s="14">
        <v>45441.0</v>
      </c>
      <c r="D4" s="15" t="s">
        <v>21</v>
      </c>
      <c r="E4" s="16">
        <v>1.3</v>
      </c>
      <c r="F4" s="15" t="s">
        <v>22</v>
      </c>
      <c r="G4" s="17">
        <v>1.0</v>
      </c>
      <c r="H4" s="18" t="s">
        <v>23</v>
      </c>
      <c r="I4" s="19">
        <v>22.7</v>
      </c>
      <c r="J4" s="20">
        <v>535.2121</v>
      </c>
      <c r="K4" s="20">
        <v>6.764</v>
      </c>
      <c r="L4" s="20">
        <v>0.009</v>
      </c>
      <c r="M4" s="21">
        <v>156.51833333333335</v>
      </c>
      <c r="N4" s="21">
        <v>29.280666666666665</v>
      </c>
      <c r="O4" s="21">
        <v>138.624</v>
      </c>
      <c r="P4" s="21">
        <v>29.154666666666667</v>
      </c>
      <c r="Q4" s="21">
        <v>98.78933333333333</v>
      </c>
      <c r="R4" s="21">
        <v>33.257666666666665</v>
      </c>
      <c r="S4" s="22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</row>
    <row r="5">
      <c r="A5" s="13" t="s">
        <v>19</v>
      </c>
      <c r="B5" s="13" t="s">
        <v>20</v>
      </c>
      <c r="C5" s="14">
        <v>45441.0</v>
      </c>
      <c r="D5" s="15" t="s">
        <v>21</v>
      </c>
      <c r="E5" s="16">
        <v>1.4</v>
      </c>
      <c r="F5" s="15" t="s">
        <v>22</v>
      </c>
      <c r="G5" s="17">
        <v>1.0</v>
      </c>
      <c r="H5" s="18" t="s">
        <v>23</v>
      </c>
      <c r="I5" s="19">
        <v>20.917</v>
      </c>
      <c r="J5" s="20">
        <v>578.5257</v>
      </c>
      <c r="K5" s="20">
        <v>5.926</v>
      </c>
      <c r="L5" s="20">
        <v>0.047</v>
      </c>
      <c r="M5" s="21">
        <v>152.17466666666667</v>
      </c>
      <c r="N5" s="21">
        <v>31.340666666666664</v>
      </c>
      <c r="O5" s="21">
        <v>128.072</v>
      </c>
      <c r="P5" s="21">
        <v>33.30733333333333</v>
      </c>
      <c r="Q5" s="21">
        <v>78.89433333333334</v>
      </c>
      <c r="R5" s="21">
        <v>34.54633333333334</v>
      </c>
      <c r="S5" s="22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</row>
    <row r="6">
      <c r="A6" s="13" t="s">
        <v>19</v>
      </c>
      <c r="B6" s="13" t="s">
        <v>20</v>
      </c>
      <c r="C6" s="14">
        <v>45441.0</v>
      </c>
      <c r="D6" s="15" t="s">
        <v>21</v>
      </c>
      <c r="E6" s="16">
        <v>2.1</v>
      </c>
      <c r="F6" s="15" t="s">
        <v>22</v>
      </c>
      <c r="G6" s="17">
        <v>1.0</v>
      </c>
      <c r="H6" s="18" t="s">
        <v>23</v>
      </c>
      <c r="I6" s="19">
        <v>15.396</v>
      </c>
      <c r="J6" s="20">
        <v>648.1111</v>
      </c>
      <c r="K6" s="20">
        <v>2.474</v>
      </c>
      <c r="L6" s="20">
        <v>0.02</v>
      </c>
      <c r="M6" s="21">
        <v>150.02133333333333</v>
      </c>
      <c r="N6" s="21">
        <v>26.095666666666663</v>
      </c>
      <c r="O6" s="21">
        <v>125.28966666666668</v>
      </c>
      <c r="P6" s="21">
        <v>29.027666666666665</v>
      </c>
      <c r="Q6" s="21">
        <v>83.70433333333334</v>
      </c>
      <c r="R6" s="21">
        <v>30.331333333333333</v>
      </c>
      <c r="S6" s="22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</row>
    <row r="7">
      <c r="A7" s="13" t="s">
        <v>19</v>
      </c>
      <c r="B7" s="13" t="s">
        <v>20</v>
      </c>
      <c r="C7" s="14">
        <v>45441.0</v>
      </c>
      <c r="D7" s="15" t="s">
        <v>21</v>
      </c>
      <c r="E7" s="16">
        <v>2.2</v>
      </c>
      <c r="F7" s="15" t="s">
        <v>22</v>
      </c>
      <c r="G7" s="17">
        <v>1.0</v>
      </c>
      <c r="H7" s="18" t="s">
        <v>23</v>
      </c>
      <c r="I7" s="19">
        <v>15.808</v>
      </c>
      <c r="J7" s="20">
        <v>571.1357</v>
      </c>
      <c r="K7" s="20">
        <v>4.267</v>
      </c>
      <c r="L7" s="20">
        <v>0.023</v>
      </c>
      <c r="M7" s="21">
        <v>155.58433333333335</v>
      </c>
      <c r="N7" s="21">
        <v>25.882666666666665</v>
      </c>
      <c r="O7" s="21">
        <v>129.28166666666667</v>
      </c>
      <c r="P7" s="21">
        <v>29.118333333333336</v>
      </c>
      <c r="Q7" s="21">
        <v>83.02266666666667</v>
      </c>
      <c r="R7" s="21">
        <v>30.607</v>
      </c>
      <c r="S7" s="22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</row>
    <row r="8">
      <c r="A8" s="13" t="s">
        <v>19</v>
      </c>
      <c r="B8" s="13" t="s">
        <v>20</v>
      </c>
      <c r="C8" s="14">
        <v>45441.0</v>
      </c>
      <c r="D8" s="15" t="s">
        <v>21</v>
      </c>
      <c r="E8" s="16">
        <v>2.3</v>
      </c>
      <c r="F8" s="15" t="s">
        <v>22</v>
      </c>
      <c r="G8" s="17">
        <v>1.0</v>
      </c>
      <c r="H8" s="18" t="s">
        <v>23</v>
      </c>
      <c r="I8" s="19">
        <v>17.533</v>
      </c>
      <c r="J8" s="20">
        <v>588.0</v>
      </c>
      <c r="K8" s="20">
        <v>3.245</v>
      </c>
      <c r="L8" s="20">
        <v>0.022</v>
      </c>
      <c r="M8" s="21">
        <v>149.90866666666668</v>
      </c>
      <c r="N8" s="21">
        <v>27.815</v>
      </c>
      <c r="O8" s="21">
        <v>124.23066666666666</v>
      </c>
      <c r="P8" s="21">
        <v>30.997333333333334</v>
      </c>
      <c r="Q8" s="21">
        <v>78.36366666666667</v>
      </c>
      <c r="R8" s="21">
        <v>28.876666666666665</v>
      </c>
      <c r="S8" s="22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</row>
    <row r="9">
      <c r="A9" s="13" t="s">
        <v>19</v>
      </c>
      <c r="B9" s="13" t="s">
        <v>20</v>
      </c>
      <c r="C9" s="14">
        <v>45441.0</v>
      </c>
      <c r="D9" s="15" t="s">
        <v>21</v>
      </c>
      <c r="E9" s="16">
        <v>2.4</v>
      </c>
      <c r="F9" s="15" t="s">
        <v>22</v>
      </c>
      <c r="G9" s="17">
        <v>1.0</v>
      </c>
      <c r="H9" s="18" t="s">
        <v>23</v>
      </c>
      <c r="I9" s="19">
        <v>16.886</v>
      </c>
      <c r="J9" s="20">
        <v>663.9157</v>
      </c>
      <c r="K9" s="20">
        <v>3.272</v>
      </c>
      <c r="L9" s="20">
        <v>0.017</v>
      </c>
      <c r="M9" s="21">
        <v>154.65966666666665</v>
      </c>
      <c r="N9" s="21">
        <v>28.320000000000004</v>
      </c>
      <c r="O9" s="21">
        <v>129.43666666666664</v>
      </c>
      <c r="P9" s="21">
        <v>30.701999999999998</v>
      </c>
      <c r="Q9" s="21">
        <v>79.17966666666668</v>
      </c>
      <c r="R9" s="21">
        <v>29.433333333333334</v>
      </c>
      <c r="S9" s="22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</row>
    <row r="10">
      <c r="A10" s="13" t="s">
        <v>19</v>
      </c>
      <c r="B10" s="13" t="s">
        <v>20</v>
      </c>
      <c r="C10" s="14">
        <v>45441.0</v>
      </c>
      <c r="D10" s="15" t="s">
        <v>21</v>
      </c>
      <c r="E10" s="16">
        <v>3.1</v>
      </c>
      <c r="F10" s="15" t="s">
        <v>22</v>
      </c>
      <c r="G10" s="17">
        <v>1.0</v>
      </c>
      <c r="H10" s="18" t="s">
        <v>23</v>
      </c>
      <c r="I10" s="19">
        <v>20.491</v>
      </c>
      <c r="J10" s="20">
        <v>582.0309</v>
      </c>
      <c r="K10" s="20">
        <v>4.185</v>
      </c>
      <c r="L10" s="20">
        <v>0.011</v>
      </c>
      <c r="M10" s="21">
        <v>141.01533333333333</v>
      </c>
      <c r="N10" s="21">
        <v>33.905</v>
      </c>
      <c r="O10" s="21">
        <v>123.181</v>
      </c>
      <c r="P10" s="21">
        <v>35.022</v>
      </c>
      <c r="Q10" s="21">
        <v>83.41699999999999</v>
      </c>
      <c r="R10" s="21">
        <v>35.58233333333333</v>
      </c>
      <c r="S10" s="22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</row>
    <row r="11">
      <c r="A11" s="13" t="s">
        <v>19</v>
      </c>
      <c r="B11" s="13" t="s">
        <v>20</v>
      </c>
      <c r="C11" s="14">
        <v>45441.0</v>
      </c>
      <c r="D11" s="15" t="s">
        <v>21</v>
      </c>
      <c r="E11" s="16">
        <v>3.2</v>
      </c>
      <c r="F11" s="15" t="s">
        <v>22</v>
      </c>
      <c r="G11" s="17">
        <v>1.0</v>
      </c>
      <c r="H11" s="18" t="s">
        <v>23</v>
      </c>
      <c r="I11" s="19">
        <v>13.785</v>
      </c>
      <c r="J11" s="20">
        <v>600.03</v>
      </c>
      <c r="K11" s="20">
        <v>4.159</v>
      </c>
      <c r="L11" s="20">
        <v>0.007</v>
      </c>
      <c r="M11" s="21">
        <v>134.99533333333332</v>
      </c>
      <c r="N11" s="21">
        <v>31.822666666666667</v>
      </c>
      <c r="O11" s="21">
        <v>118.31599999999999</v>
      </c>
      <c r="P11" s="21">
        <v>33.42033333333333</v>
      </c>
      <c r="Q11" s="21">
        <v>77.265</v>
      </c>
      <c r="R11" s="21">
        <v>34.29</v>
      </c>
      <c r="S11" s="22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</row>
    <row r="12">
      <c r="A12" s="13" t="s">
        <v>19</v>
      </c>
      <c r="B12" s="13" t="s">
        <v>20</v>
      </c>
      <c r="C12" s="14">
        <v>45441.0</v>
      </c>
      <c r="D12" s="15" t="s">
        <v>21</v>
      </c>
      <c r="E12" s="16">
        <v>3.3</v>
      </c>
      <c r="F12" s="15" t="s">
        <v>22</v>
      </c>
      <c r="G12" s="17">
        <v>1.0</v>
      </c>
      <c r="H12" s="18" t="s">
        <v>23</v>
      </c>
      <c r="I12" s="19">
        <v>16.607</v>
      </c>
      <c r="J12" s="20">
        <v>600.12</v>
      </c>
      <c r="K12" s="20">
        <v>3.552</v>
      </c>
      <c r="L12" s="20">
        <v>0.021</v>
      </c>
      <c r="M12" s="21">
        <v>140.386</v>
      </c>
      <c r="N12" s="21">
        <v>35.50533333333334</v>
      </c>
      <c r="O12" s="21">
        <v>119.75966666666666</v>
      </c>
      <c r="P12" s="21">
        <v>37.21633333333333</v>
      </c>
      <c r="Q12" s="21">
        <v>76.89133333333332</v>
      </c>
      <c r="R12" s="21">
        <v>36.581999999999994</v>
      </c>
      <c r="S12" s="22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</row>
    <row r="13">
      <c r="A13" s="13" t="s">
        <v>19</v>
      </c>
      <c r="B13" s="13" t="s">
        <v>20</v>
      </c>
      <c r="C13" s="14">
        <v>45441.0</v>
      </c>
      <c r="D13" s="15" t="s">
        <v>21</v>
      </c>
      <c r="E13" s="16">
        <v>3.4</v>
      </c>
      <c r="F13" s="15" t="s">
        <v>22</v>
      </c>
      <c r="G13" s="17">
        <v>1.0</v>
      </c>
      <c r="H13" s="18" t="s">
        <v>23</v>
      </c>
      <c r="I13" s="19">
        <v>17.348</v>
      </c>
      <c r="J13" s="20">
        <v>654.1101</v>
      </c>
      <c r="K13" s="20">
        <v>4.157</v>
      </c>
      <c r="L13" s="20">
        <v>0.038</v>
      </c>
      <c r="M13" s="21">
        <v>140.57899999999998</v>
      </c>
      <c r="N13" s="21">
        <v>33.68666666666667</v>
      </c>
      <c r="O13" s="21">
        <v>124.37366666666667</v>
      </c>
      <c r="P13" s="21">
        <v>35.784</v>
      </c>
      <c r="Q13" s="21">
        <v>78.49266666666666</v>
      </c>
      <c r="R13" s="21">
        <v>36.790333333333336</v>
      </c>
      <c r="S13" s="22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</row>
    <row r="14">
      <c r="A14" s="13" t="s">
        <v>19</v>
      </c>
      <c r="B14" s="13" t="s">
        <v>20</v>
      </c>
      <c r="C14" s="14">
        <v>45441.0</v>
      </c>
      <c r="D14" s="15" t="s">
        <v>24</v>
      </c>
      <c r="E14" s="16">
        <v>1.1</v>
      </c>
      <c r="F14" s="15" t="s">
        <v>22</v>
      </c>
      <c r="G14" s="17">
        <v>1.0</v>
      </c>
      <c r="H14" s="18" t="s">
        <v>23</v>
      </c>
      <c r="I14" s="19">
        <v>19.145</v>
      </c>
      <c r="J14" s="20">
        <v>645.2511</v>
      </c>
      <c r="K14" s="20">
        <v>5.996</v>
      </c>
      <c r="L14" s="20">
        <v>0.036</v>
      </c>
      <c r="M14" s="21">
        <v>151.48633333333333</v>
      </c>
      <c r="N14" s="21">
        <v>20.62633333333333</v>
      </c>
      <c r="O14" s="21">
        <v>121.0</v>
      </c>
      <c r="P14" s="21">
        <v>24.924333333333333</v>
      </c>
      <c r="Q14" s="21">
        <v>74.89733333333334</v>
      </c>
      <c r="R14" s="21">
        <v>31.616</v>
      </c>
      <c r="S14" s="22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</row>
    <row r="15">
      <c r="A15" s="13" t="s">
        <v>19</v>
      </c>
      <c r="B15" s="13" t="s">
        <v>20</v>
      </c>
      <c r="C15" s="14">
        <v>45441.0</v>
      </c>
      <c r="D15" s="15" t="s">
        <v>24</v>
      </c>
      <c r="E15" s="16">
        <v>1.2</v>
      </c>
      <c r="F15" s="15" t="s">
        <v>22</v>
      </c>
      <c r="G15" s="17">
        <v>1.0</v>
      </c>
      <c r="H15" s="18" t="s">
        <v>23</v>
      </c>
      <c r="I15" s="19">
        <v>18.071</v>
      </c>
      <c r="J15" s="20">
        <v>574.6253</v>
      </c>
      <c r="K15" s="20">
        <v>4.826</v>
      </c>
      <c r="L15" s="20">
        <v>0.037</v>
      </c>
      <c r="M15" s="21">
        <v>152.75566666666666</v>
      </c>
      <c r="N15" s="21">
        <v>20.27166666666667</v>
      </c>
      <c r="O15" s="21">
        <v>129.59833333333333</v>
      </c>
      <c r="P15" s="21">
        <v>20.837333333333333</v>
      </c>
      <c r="Q15" s="21">
        <v>86.93133333333333</v>
      </c>
      <c r="R15" s="21">
        <v>27.68733333333333</v>
      </c>
      <c r="S15" s="22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</row>
    <row r="16">
      <c r="A16" s="13" t="s">
        <v>19</v>
      </c>
      <c r="B16" s="13" t="s">
        <v>20</v>
      </c>
      <c r="C16" s="14">
        <v>45441.0</v>
      </c>
      <c r="D16" s="15" t="s">
        <v>24</v>
      </c>
      <c r="E16" s="16">
        <v>1.3</v>
      </c>
      <c r="F16" s="15" t="s">
        <v>22</v>
      </c>
      <c r="G16" s="17">
        <v>1.0</v>
      </c>
      <c r="H16" s="18" t="s">
        <v>23</v>
      </c>
      <c r="I16" s="19">
        <v>14.898</v>
      </c>
      <c r="J16" s="20">
        <v>468.346</v>
      </c>
      <c r="K16" s="20">
        <v>4.802</v>
      </c>
      <c r="L16" s="20">
        <v>0.077</v>
      </c>
      <c r="M16" s="21">
        <v>144.60033333333334</v>
      </c>
      <c r="N16" s="21">
        <v>14.439999999999998</v>
      </c>
      <c r="O16" s="21">
        <v>123.81333333333333</v>
      </c>
      <c r="P16" s="21">
        <v>17.033</v>
      </c>
      <c r="Q16" s="21">
        <v>78.77466666666668</v>
      </c>
      <c r="R16" s="21">
        <v>23.655333333333335</v>
      </c>
      <c r="S16" s="22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</row>
    <row r="17">
      <c r="A17" s="13" t="s">
        <v>19</v>
      </c>
      <c r="B17" s="13" t="s">
        <v>20</v>
      </c>
      <c r="C17" s="14">
        <v>45441.0</v>
      </c>
      <c r="D17" s="15" t="s">
        <v>24</v>
      </c>
      <c r="E17" s="16">
        <v>1.4</v>
      </c>
      <c r="F17" s="15" t="s">
        <v>22</v>
      </c>
      <c r="G17" s="17">
        <v>1.0</v>
      </c>
      <c r="H17" s="18" t="s">
        <v>23</v>
      </c>
      <c r="I17" s="19">
        <v>16.542</v>
      </c>
      <c r="J17" s="20">
        <v>546.2966</v>
      </c>
      <c r="K17" s="20">
        <v>3.806</v>
      </c>
      <c r="L17" s="20">
        <v>0.18</v>
      </c>
      <c r="M17" s="21">
        <v>151.55700000000002</v>
      </c>
      <c r="N17" s="21">
        <v>14.394</v>
      </c>
      <c r="O17" s="21">
        <v>128.48333333333332</v>
      </c>
      <c r="P17" s="21">
        <v>16.652666666666665</v>
      </c>
      <c r="Q17" s="21">
        <v>80.19566666666667</v>
      </c>
      <c r="R17" s="21">
        <v>22.842666666666663</v>
      </c>
      <c r="S17" s="22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</row>
    <row r="18">
      <c r="A18" s="13" t="s">
        <v>19</v>
      </c>
      <c r="B18" s="13" t="s">
        <v>20</v>
      </c>
      <c r="C18" s="14">
        <v>45441.0</v>
      </c>
      <c r="D18" s="15" t="s">
        <v>24</v>
      </c>
      <c r="E18" s="16">
        <v>2.1</v>
      </c>
      <c r="F18" s="15" t="s">
        <v>22</v>
      </c>
      <c r="G18" s="17">
        <v>1.0</v>
      </c>
      <c r="H18" s="18" t="s">
        <v>23</v>
      </c>
      <c r="I18" s="19">
        <v>10.784</v>
      </c>
      <c r="J18" s="20">
        <v>582.0</v>
      </c>
      <c r="K18" s="20">
        <v>3.085</v>
      </c>
      <c r="L18" s="20">
        <v>0.031</v>
      </c>
      <c r="M18" s="21">
        <v>126.40733333333333</v>
      </c>
      <c r="N18" s="21">
        <v>22.093333333333334</v>
      </c>
      <c r="O18" s="21">
        <v>97.98133333333332</v>
      </c>
      <c r="P18" s="21">
        <v>25.150000000000002</v>
      </c>
      <c r="Q18" s="21">
        <v>58.553666666666665</v>
      </c>
      <c r="R18" s="21">
        <v>28.647666666666666</v>
      </c>
      <c r="S18" s="22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</row>
    <row r="19">
      <c r="A19" s="13" t="s">
        <v>19</v>
      </c>
      <c r="B19" s="13" t="s">
        <v>20</v>
      </c>
      <c r="C19" s="14">
        <v>45441.0</v>
      </c>
      <c r="D19" s="15" t="s">
        <v>24</v>
      </c>
      <c r="E19" s="16">
        <v>2.2</v>
      </c>
      <c r="F19" s="15" t="s">
        <v>22</v>
      </c>
      <c r="G19" s="17">
        <v>1.0</v>
      </c>
      <c r="H19" s="18" t="s">
        <v>23</v>
      </c>
      <c r="I19" s="19">
        <v>14.865</v>
      </c>
      <c r="J19" s="20">
        <v>630.0072</v>
      </c>
      <c r="K19" s="20">
        <v>3.039</v>
      </c>
      <c r="L19" s="20">
        <v>0.043</v>
      </c>
      <c r="M19" s="21">
        <v>123.31066666666668</v>
      </c>
      <c r="N19" s="21">
        <v>18.18466666666667</v>
      </c>
      <c r="O19" s="21">
        <v>93.28466666666667</v>
      </c>
      <c r="P19" s="21">
        <v>21.708333333333332</v>
      </c>
      <c r="Q19" s="21">
        <v>47.763666666666666</v>
      </c>
      <c r="R19" s="21">
        <v>23.769000000000002</v>
      </c>
      <c r="S19" s="22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</row>
    <row r="20">
      <c r="A20" s="13" t="s">
        <v>19</v>
      </c>
      <c r="B20" s="13" t="s">
        <v>20</v>
      </c>
      <c r="C20" s="14">
        <v>45441.0</v>
      </c>
      <c r="D20" s="15" t="s">
        <v>24</v>
      </c>
      <c r="E20" s="16">
        <v>2.3</v>
      </c>
      <c r="F20" s="15" t="s">
        <v>22</v>
      </c>
      <c r="G20" s="17">
        <v>1.0</v>
      </c>
      <c r="H20" s="18" t="s">
        <v>23</v>
      </c>
      <c r="I20" s="19">
        <v>15.552</v>
      </c>
      <c r="J20" s="20">
        <v>664.1084</v>
      </c>
      <c r="K20" s="20">
        <v>3.252</v>
      </c>
      <c r="L20" s="20">
        <v>0.021</v>
      </c>
      <c r="M20" s="21">
        <v>121.586</v>
      </c>
      <c r="N20" s="21">
        <v>25.13566666666667</v>
      </c>
      <c r="O20" s="21">
        <v>92.15899999999999</v>
      </c>
      <c r="P20" s="21">
        <v>27.947999999999997</v>
      </c>
      <c r="Q20" s="21">
        <v>54.803666666666665</v>
      </c>
      <c r="R20" s="21">
        <v>29.284000000000002</v>
      </c>
      <c r="S20" s="22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</row>
    <row r="21">
      <c r="A21" s="13" t="s">
        <v>19</v>
      </c>
      <c r="B21" s="13" t="s">
        <v>20</v>
      </c>
      <c r="C21" s="14">
        <v>45441.0</v>
      </c>
      <c r="D21" s="15" t="s">
        <v>24</v>
      </c>
      <c r="E21" s="16">
        <v>2.4</v>
      </c>
      <c r="F21" s="15" t="s">
        <v>22</v>
      </c>
      <c r="G21" s="17">
        <v>1.0</v>
      </c>
      <c r="H21" s="18" t="s">
        <v>23</v>
      </c>
      <c r="I21" s="19">
        <v>14.915</v>
      </c>
      <c r="J21" s="20">
        <v>660.003</v>
      </c>
      <c r="K21" s="20">
        <v>2.727</v>
      </c>
      <c r="L21" s="20">
        <v>0.29</v>
      </c>
      <c r="M21" s="21">
        <v>122.09633333333333</v>
      </c>
      <c r="N21" s="21">
        <v>21.893666666666665</v>
      </c>
      <c r="O21" s="21">
        <v>92.841</v>
      </c>
      <c r="P21" s="21">
        <v>25.790333333333336</v>
      </c>
      <c r="Q21" s="21">
        <v>57.37533333333334</v>
      </c>
      <c r="R21" s="21">
        <v>28.868</v>
      </c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</row>
    <row r="22">
      <c r="A22" s="13" t="s">
        <v>19</v>
      </c>
      <c r="B22" s="24" t="s">
        <v>20</v>
      </c>
      <c r="C22" s="14">
        <v>45441.0</v>
      </c>
      <c r="D22" s="15" t="s">
        <v>24</v>
      </c>
      <c r="E22" s="16">
        <v>3.1</v>
      </c>
      <c r="F22" s="15" t="s">
        <v>22</v>
      </c>
      <c r="G22" s="17">
        <v>1.0</v>
      </c>
      <c r="H22" s="18" t="s">
        <v>23</v>
      </c>
      <c r="I22" s="19">
        <v>15.766</v>
      </c>
      <c r="J22" s="20">
        <v>514.0973</v>
      </c>
      <c r="K22" s="20">
        <v>4.085</v>
      </c>
      <c r="L22" s="20">
        <v>0.023</v>
      </c>
      <c r="M22" s="21">
        <v>145.25199999999998</v>
      </c>
      <c r="N22" s="21">
        <v>16.671666666666667</v>
      </c>
      <c r="O22" s="21">
        <v>114.72433333333333</v>
      </c>
      <c r="P22" s="21">
        <v>19.439999999999998</v>
      </c>
      <c r="Q22" s="21">
        <v>67.99366666666667</v>
      </c>
      <c r="R22" s="21">
        <v>22.657</v>
      </c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</row>
    <row r="23">
      <c r="A23" s="13" t="s">
        <v>19</v>
      </c>
      <c r="B23" s="13" t="s">
        <v>20</v>
      </c>
      <c r="C23" s="14">
        <v>45441.0</v>
      </c>
      <c r="D23" s="15" t="s">
        <v>24</v>
      </c>
      <c r="E23" s="16">
        <v>3.2</v>
      </c>
      <c r="F23" s="15" t="s">
        <v>22</v>
      </c>
      <c r="G23" s="17">
        <v>1.0</v>
      </c>
      <c r="H23" s="18" t="s">
        <v>23</v>
      </c>
      <c r="I23" s="19">
        <v>13.741</v>
      </c>
      <c r="J23" s="20">
        <v>562.8379</v>
      </c>
      <c r="K23" s="20">
        <v>4.209</v>
      </c>
      <c r="L23" s="20">
        <v>0.023</v>
      </c>
      <c r="M23" s="21">
        <v>143.91966666666667</v>
      </c>
      <c r="N23" s="21">
        <v>13.897</v>
      </c>
      <c r="O23" s="21">
        <v>111.85466666666666</v>
      </c>
      <c r="P23" s="21">
        <v>17.222666666666665</v>
      </c>
      <c r="Q23" s="21">
        <v>61.254333333333335</v>
      </c>
      <c r="R23" s="21">
        <v>22.20566666666667</v>
      </c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</row>
    <row r="24">
      <c r="A24" s="13" t="s">
        <v>19</v>
      </c>
      <c r="B24" s="13" t="s">
        <v>20</v>
      </c>
      <c r="C24" s="14">
        <v>45441.0</v>
      </c>
      <c r="D24" s="15" t="s">
        <v>24</v>
      </c>
      <c r="E24" s="16">
        <v>3.3</v>
      </c>
      <c r="F24" s="15" t="s">
        <v>22</v>
      </c>
      <c r="G24" s="17">
        <v>1.0</v>
      </c>
      <c r="H24" s="18" t="s">
        <v>23</v>
      </c>
      <c r="I24" s="19">
        <v>15.294</v>
      </c>
      <c r="J24" s="20">
        <v>660.2454</v>
      </c>
      <c r="K24" s="20">
        <v>4.576</v>
      </c>
      <c r="L24" s="20">
        <v>0.01</v>
      </c>
      <c r="M24" s="21">
        <v>147.21866666666668</v>
      </c>
      <c r="N24" s="21">
        <v>15.799333333333335</v>
      </c>
      <c r="O24" s="21">
        <v>120.144</v>
      </c>
      <c r="P24" s="21">
        <v>19.254333333333335</v>
      </c>
      <c r="Q24" s="21">
        <v>77.36033333333334</v>
      </c>
      <c r="R24" s="21">
        <v>25.591333333333335</v>
      </c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</row>
    <row r="25">
      <c r="A25" s="13" t="s">
        <v>19</v>
      </c>
      <c r="B25" s="13" t="s">
        <v>20</v>
      </c>
      <c r="C25" s="14">
        <v>45441.0</v>
      </c>
      <c r="D25" s="15" t="s">
        <v>24</v>
      </c>
      <c r="E25" s="16">
        <v>3.4</v>
      </c>
      <c r="F25" s="15" t="s">
        <v>22</v>
      </c>
      <c r="G25" s="17">
        <v>1.0</v>
      </c>
      <c r="H25" s="18" t="s">
        <v>23</v>
      </c>
      <c r="I25" s="19">
        <v>20.921</v>
      </c>
      <c r="J25" s="20">
        <v>645.0279</v>
      </c>
      <c r="K25" s="20">
        <v>5.936</v>
      </c>
      <c r="L25" s="20">
        <v>0.042</v>
      </c>
      <c r="M25" s="21">
        <v>152.346</v>
      </c>
      <c r="N25" s="21">
        <v>14.378666666666666</v>
      </c>
      <c r="O25" s="21">
        <v>120.06299999999999</v>
      </c>
      <c r="P25" s="21">
        <v>16.441666666666666</v>
      </c>
      <c r="Q25" s="21">
        <v>68.05766666666666</v>
      </c>
      <c r="R25" s="21">
        <v>22.003666666666664</v>
      </c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  <c r="AK25" s="22"/>
      <c r="AL25" s="22"/>
    </row>
    <row r="26">
      <c r="A26" s="13" t="s">
        <v>19</v>
      </c>
      <c r="B26" s="13" t="s">
        <v>20</v>
      </c>
      <c r="C26" s="14">
        <v>45441.0</v>
      </c>
      <c r="D26" s="15" t="s">
        <v>25</v>
      </c>
      <c r="E26" s="16">
        <v>1.1</v>
      </c>
      <c r="F26" s="15" t="s">
        <v>22</v>
      </c>
      <c r="G26" s="17">
        <v>1.0</v>
      </c>
      <c r="H26" s="18" t="s">
        <v>23</v>
      </c>
      <c r="I26" s="19">
        <v>17.315</v>
      </c>
      <c r="J26" s="20">
        <v>548.0328</v>
      </c>
      <c r="K26" s="20">
        <v>3.975</v>
      </c>
      <c r="L26" s="20">
        <v>0.043</v>
      </c>
      <c r="M26" s="21">
        <v>136.23733333333334</v>
      </c>
      <c r="N26" s="21">
        <v>23.30333333333333</v>
      </c>
      <c r="O26" s="21">
        <v>122.318</v>
      </c>
      <c r="P26" s="21">
        <v>24.089333333333332</v>
      </c>
      <c r="Q26" s="21">
        <v>73.08299999999998</v>
      </c>
      <c r="R26" s="21">
        <v>25.462</v>
      </c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  <c r="AF26" s="22"/>
      <c r="AG26" s="22"/>
      <c r="AH26" s="22"/>
      <c r="AI26" s="22"/>
      <c r="AJ26" s="22"/>
      <c r="AK26" s="22"/>
      <c r="AL26" s="22"/>
    </row>
    <row r="27">
      <c r="A27" s="13" t="s">
        <v>19</v>
      </c>
      <c r="B27" s="13" t="s">
        <v>20</v>
      </c>
      <c r="C27" s="14">
        <v>45441.0</v>
      </c>
      <c r="D27" s="15" t="s">
        <v>25</v>
      </c>
      <c r="E27" s="16">
        <v>1.2</v>
      </c>
      <c r="F27" s="15" t="s">
        <v>22</v>
      </c>
      <c r="G27" s="17">
        <v>1.0</v>
      </c>
      <c r="H27" s="18" t="s">
        <v>23</v>
      </c>
      <c r="I27" s="19">
        <v>14.176</v>
      </c>
      <c r="J27" s="20">
        <v>516.1395</v>
      </c>
      <c r="K27" s="20">
        <v>4.188</v>
      </c>
      <c r="L27" s="20">
        <v>0.027</v>
      </c>
      <c r="M27" s="21">
        <v>137.12266666666667</v>
      </c>
      <c r="N27" s="21">
        <v>22.01433333333333</v>
      </c>
      <c r="O27" s="21">
        <v>126.22699999999999</v>
      </c>
      <c r="P27" s="21">
        <v>23.486666666666668</v>
      </c>
      <c r="Q27" s="21">
        <v>86.476</v>
      </c>
      <c r="R27" s="21">
        <v>25.442666666666668</v>
      </c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  <c r="AI27" s="22"/>
      <c r="AJ27" s="22"/>
      <c r="AK27" s="22"/>
      <c r="AL27" s="22"/>
    </row>
    <row r="28">
      <c r="A28" s="13" t="s">
        <v>19</v>
      </c>
      <c r="B28" s="13" t="s">
        <v>20</v>
      </c>
      <c r="C28" s="14">
        <v>45441.0</v>
      </c>
      <c r="D28" s="15" t="s">
        <v>25</v>
      </c>
      <c r="E28" s="16">
        <v>1.3</v>
      </c>
      <c r="F28" s="15" t="s">
        <v>22</v>
      </c>
      <c r="G28" s="17">
        <v>1.0</v>
      </c>
      <c r="H28" s="18" t="s">
        <v>23</v>
      </c>
      <c r="I28" s="19">
        <v>16.412</v>
      </c>
      <c r="J28" s="20">
        <v>501.1437</v>
      </c>
      <c r="K28" s="20">
        <v>4.028</v>
      </c>
      <c r="L28" s="20">
        <v>0.043</v>
      </c>
      <c r="M28" s="21">
        <v>138.91299999999998</v>
      </c>
      <c r="N28" s="21">
        <v>21.588333333333335</v>
      </c>
      <c r="O28" s="21">
        <v>128.448</v>
      </c>
      <c r="P28" s="21">
        <v>22.919999999999998</v>
      </c>
      <c r="Q28" s="21">
        <v>85.35666666666667</v>
      </c>
      <c r="R28" s="21">
        <v>27.337</v>
      </c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22"/>
      <c r="AK28" s="22"/>
      <c r="AL28" s="22"/>
    </row>
    <row r="29">
      <c r="A29" s="13" t="s">
        <v>19</v>
      </c>
      <c r="B29" s="13" t="s">
        <v>20</v>
      </c>
      <c r="C29" s="14">
        <v>45441.0</v>
      </c>
      <c r="D29" s="15" t="s">
        <v>25</v>
      </c>
      <c r="E29" s="16">
        <v>1.4</v>
      </c>
      <c r="F29" s="15" t="s">
        <v>22</v>
      </c>
      <c r="G29" s="17">
        <v>1.0</v>
      </c>
      <c r="H29" s="18" t="s">
        <v>23</v>
      </c>
      <c r="I29" s="19">
        <v>19.889</v>
      </c>
      <c r="J29" s="20">
        <v>495.0</v>
      </c>
      <c r="K29" s="20">
        <v>4.764</v>
      </c>
      <c r="L29" s="20">
        <v>0.028</v>
      </c>
      <c r="M29" s="21">
        <v>138.07133333333334</v>
      </c>
      <c r="N29" s="21">
        <v>21.772666666666666</v>
      </c>
      <c r="O29" s="21">
        <v>125.851</v>
      </c>
      <c r="P29" s="21">
        <v>23.852666666666664</v>
      </c>
      <c r="Q29" s="21">
        <v>81.69733333333333</v>
      </c>
      <c r="R29" s="21">
        <v>26.476666666666663</v>
      </c>
      <c r="S29" s="22"/>
      <c r="T29" s="22"/>
      <c r="U29" s="22"/>
      <c r="V29" s="22"/>
      <c r="W29" s="22"/>
      <c r="X29" s="22"/>
      <c r="Y29" s="22"/>
      <c r="Z29" s="22"/>
      <c r="AA29" s="22"/>
      <c r="AB29" s="22"/>
      <c r="AC29" s="22"/>
      <c r="AD29" s="22"/>
      <c r="AE29" s="22"/>
      <c r="AF29" s="22"/>
      <c r="AG29" s="22"/>
      <c r="AH29" s="22"/>
      <c r="AI29" s="22"/>
      <c r="AJ29" s="22"/>
      <c r="AK29" s="22"/>
      <c r="AL29" s="22"/>
    </row>
    <row r="30">
      <c r="A30" s="13" t="s">
        <v>19</v>
      </c>
      <c r="B30" s="13" t="s">
        <v>20</v>
      </c>
      <c r="C30" s="14">
        <v>45441.0</v>
      </c>
      <c r="D30" s="15" t="s">
        <v>25</v>
      </c>
      <c r="E30" s="16">
        <v>2.1</v>
      </c>
      <c r="F30" s="15" t="s">
        <v>22</v>
      </c>
      <c r="G30" s="17">
        <v>1.0</v>
      </c>
      <c r="H30" s="18" t="s">
        <v>23</v>
      </c>
      <c r="I30" s="19">
        <v>19.316</v>
      </c>
      <c r="J30" s="20">
        <v>480.0</v>
      </c>
      <c r="K30" s="20">
        <v>5.061</v>
      </c>
      <c r="L30" s="20">
        <v>0.004</v>
      </c>
      <c r="M30" s="21">
        <v>145.36066666666667</v>
      </c>
      <c r="N30" s="21">
        <v>20.923666666666666</v>
      </c>
      <c r="O30" s="21">
        <v>129.54433333333333</v>
      </c>
      <c r="P30" s="21">
        <v>24.527</v>
      </c>
      <c r="Q30" s="21">
        <v>89.41866666666665</v>
      </c>
      <c r="R30" s="21">
        <v>27.811666666666667</v>
      </c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</row>
    <row r="31">
      <c r="A31" s="13" t="s">
        <v>19</v>
      </c>
      <c r="B31" s="13" t="s">
        <v>20</v>
      </c>
      <c r="C31" s="14">
        <v>45441.0</v>
      </c>
      <c r="D31" s="15" t="s">
        <v>25</v>
      </c>
      <c r="E31" s="16">
        <v>2.2</v>
      </c>
      <c r="F31" s="15" t="s">
        <v>22</v>
      </c>
      <c r="G31" s="17">
        <v>1.0</v>
      </c>
      <c r="H31" s="18" t="s">
        <v>23</v>
      </c>
      <c r="I31" s="19">
        <v>22.84</v>
      </c>
      <c r="J31" s="20">
        <v>477.1509</v>
      </c>
      <c r="K31" s="20">
        <v>6.442</v>
      </c>
      <c r="L31" s="20">
        <v>0.058</v>
      </c>
      <c r="M31" s="21">
        <v>150.75366666666665</v>
      </c>
      <c r="N31" s="21">
        <v>20.641333333333332</v>
      </c>
      <c r="O31" s="21">
        <v>135.77666666666667</v>
      </c>
      <c r="P31" s="21">
        <v>22.83566666666667</v>
      </c>
      <c r="Q31" s="21">
        <v>98.75266666666666</v>
      </c>
      <c r="R31" s="21">
        <v>25.401666666666667</v>
      </c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  <c r="AE31" s="22"/>
      <c r="AF31" s="22"/>
      <c r="AG31" s="22"/>
      <c r="AH31" s="22"/>
      <c r="AI31" s="22"/>
      <c r="AJ31" s="22"/>
      <c r="AK31" s="22"/>
      <c r="AL31" s="22"/>
    </row>
    <row r="32">
      <c r="A32" s="13" t="s">
        <v>19</v>
      </c>
      <c r="B32" s="13" t="s">
        <v>20</v>
      </c>
      <c r="C32" s="14">
        <v>45441.0</v>
      </c>
      <c r="D32" s="15" t="s">
        <v>25</v>
      </c>
      <c r="E32" s="16">
        <v>2.3</v>
      </c>
      <c r="F32" s="15" t="s">
        <v>22</v>
      </c>
      <c r="G32" s="17">
        <v>1.0</v>
      </c>
      <c r="H32" s="18" t="s">
        <v>23</v>
      </c>
      <c r="I32" s="19">
        <v>16.071</v>
      </c>
      <c r="J32" s="20">
        <v>528.0341</v>
      </c>
      <c r="K32" s="20">
        <v>5.454</v>
      </c>
      <c r="L32" s="20">
        <v>0.054</v>
      </c>
      <c r="M32" s="21">
        <v>144.617</v>
      </c>
      <c r="N32" s="21">
        <v>21.340999999999998</v>
      </c>
      <c r="O32" s="21">
        <v>130.60233333333335</v>
      </c>
      <c r="P32" s="21">
        <v>23.529</v>
      </c>
      <c r="Q32" s="21">
        <v>89.231</v>
      </c>
      <c r="R32" s="21">
        <v>25.983666666666668</v>
      </c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  <c r="AE32" s="22"/>
      <c r="AF32" s="22"/>
      <c r="AG32" s="22"/>
      <c r="AH32" s="22"/>
      <c r="AI32" s="22"/>
      <c r="AJ32" s="22"/>
      <c r="AK32" s="22"/>
      <c r="AL32" s="22"/>
    </row>
    <row r="33">
      <c r="A33" s="13" t="s">
        <v>19</v>
      </c>
      <c r="B33" s="13" t="s">
        <v>20</v>
      </c>
      <c r="C33" s="14">
        <v>45441.0</v>
      </c>
      <c r="D33" s="15" t="s">
        <v>25</v>
      </c>
      <c r="E33" s="16">
        <v>2.4</v>
      </c>
      <c r="F33" s="15" t="s">
        <v>22</v>
      </c>
      <c r="G33" s="17">
        <v>1.0</v>
      </c>
      <c r="H33" s="18" t="s">
        <v>23</v>
      </c>
      <c r="I33" s="19">
        <v>18.116</v>
      </c>
      <c r="J33" s="20">
        <v>507.0355</v>
      </c>
      <c r="K33" s="20">
        <v>3.653</v>
      </c>
      <c r="L33" s="20">
        <v>0.074</v>
      </c>
      <c r="M33" s="21">
        <v>145.78566666666669</v>
      </c>
      <c r="N33" s="21">
        <v>19.000333333333334</v>
      </c>
      <c r="O33" s="21">
        <v>131.88866666666667</v>
      </c>
      <c r="P33" s="21">
        <v>21.927666666666667</v>
      </c>
      <c r="Q33" s="21">
        <v>89.503</v>
      </c>
      <c r="R33" s="21">
        <v>26.44966666666667</v>
      </c>
      <c r="S33" s="22"/>
      <c r="T33" s="22"/>
      <c r="U33" s="22"/>
      <c r="V33" s="22"/>
      <c r="W33" s="22"/>
      <c r="X33" s="22"/>
      <c r="Y33" s="22"/>
      <c r="Z33" s="22"/>
      <c r="AA33" s="22"/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</row>
    <row r="34">
      <c r="A34" s="13" t="s">
        <v>19</v>
      </c>
      <c r="B34" s="13" t="s">
        <v>20</v>
      </c>
      <c r="C34" s="14">
        <v>45441.0</v>
      </c>
      <c r="D34" s="15" t="s">
        <v>25</v>
      </c>
      <c r="E34" s="16">
        <v>3.1</v>
      </c>
      <c r="F34" s="15" t="s">
        <v>22</v>
      </c>
      <c r="G34" s="17">
        <v>1.0</v>
      </c>
      <c r="H34" s="18" t="s">
        <v>23</v>
      </c>
      <c r="I34" s="19">
        <v>18.12</v>
      </c>
      <c r="J34" s="20">
        <v>486.0833</v>
      </c>
      <c r="K34" s="20">
        <v>3.739</v>
      </c>
      <c r="L34" s="20">
        <v>0.102</v>
      </c>
      <c r="M34" s="21">
        <v>143.442</v>
      </c>
      <c r="N34" s="21">
        <v>20.197666666666667</v>
      </c>
      <c r="O34" s="21">
        <v>128.445</v>
      </c>
      <c r="P34" s="21">
        <v>22.50933333333333</v>
      </c>
      <c r="Q34" s="21">
        <v>85.95733333333332</v>
      </c>
      <c r="R34" s="21">
        <v>26.657333333333337</v>
      </c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</row>
    <row r="35">
      <c r="A35" s="13" t="s">
        <v>19</v>
      </c>
      <c r="B35" s="13" t="s">
        <v>20</v>
      </c>
      <c r="C35" s="14">
        <v>45441.0</v>
      </c>
      <c r="D35" s="15" t="s">
        <v>25</v>
      </c>
      <c r="E35" s="16">
        <v>3.2</v>
      </c>
      <c r="F35" s="15" t="s">
        <v>22</v>
      </c>
      <c r="G35" s="17">
        <v>1.0</v>
      </c>
      <c r="H35" s="18" t="s">
        <v>23</v>
      </c>
      <c r="I35" s="19">
        <v>18.251</v>
      </c>
      <c r="J35" s="20">
        <v>516.0785</v>
      </c>
      <c r="K35" s="20">
        <v>3.892</v>
      </c>
      <c r="L35" s="20">
        <v>0.76</v>
      </c>
      <c r="M35" s="21">
        <v>144.41166666666666</v>
      </c>
      <c r="N35" s="21">
        <v>21.084333333333333</v>
      </c>
      <c r="O35" s="21">
        <v>130.86333333333334</v>
      </c>
      <c r="P35" s="21">
        <v>24.442333333333334</v>
      </c>
      <c r="Q35" s="21">
        <v>89.10166666666665</v>
      </c>
      <c r="R35" s="21">
        <v>28.862666666666666</v>
      </c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22"/>
      <c r="AK35" s="22"/>
      <c r="AL35" s="22"/>
    </row>
    <row r="36">
      <c r="A36" s="13" t="s">
        <v>19</v>
      </c>
      <c r="B36" s="13" t="s">
        <v>20</v>
      </c>
      <c r="C36" s="14">
        <v>45441.0</v>
      </c>
      <c r="D36" s="15" t="s">
        <v>25</v>
      </c>
      <c r="E36" s="16">
        <v>3.3</v>
      </c>
      <c r="F36" s="15" t="s">
        <v>22</v>
      </c>
      <c r="G36" s="17">
        <v>1.0</v>
      </c>
      <c r="H36" s="18" t="s">
        <v>23</v>
      </c>
      <c r="I36" s="19">
        <v>15.298</v>
      </c>
      <c r="J36" s="20">
        <v>513.0</v>
      </c>
      <c r="K36" s="20">
        <v>4.404</v>
      </c>
      <c r="L36" s="20">
        <v>0.055</v>
      </c>
      <c r="M36" s="21">
        <v>145.30633333333333</v>
      </c>
      <c r="N36" s="21">
        <v>21.606333333333335</v>
      </c>
      <c r="O36" s="21">
        <v>131.09266666666667</v>
      </c>
      <c r="P36" s="21">
        <v>23.311666666666667</v>
      </c>
      <c r="Q36" s="21">
        <v>90.98566666666666</v>
      </c>
      <c r="R36" s="21">
        <v>26.063</v>
      </c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  <c r="AF36" s="22"/>
      <c r="AG36" s="22"/>
      <c r="AH36" s="22"/>
      <c r="AI36" s="22"/>
      <c r="AJ36" s="22"/>
      <c r="AK36" s="22"/>
      <c r="AL36" s="22"/>
    </row>
    <row r="37">
      <c r="A37" s="13" t="s">
        <v>19</v>
      </c>
      <c r="B37" s="13" t="s">
        <v>20</v>
      </c>
      <c r="C37" s="14">
        <v>45441.0</v>
      </c>
      <c r="D37" s="15" t="s">
        <v>25</v>
      </c>
      <c r="E37" s="16">
        <v>3.4</v>
      </c>
      <c r="F37" s="15" t="s">
        <v>22</v>
      </c>
      <c r="G37" s="17">
        <v>1.0</v>
      </c>
      <c r="H37" s="18" t="s">
        <v>23</v>
      </c>
      <c r="I37" s="19">
        <v>17.652</v>
      </c>
      <c r="J37" s="20">
        <v>477.0</v>
      </c>
      <c r="K37" s="20">
        <v>4.84</v>
      </c>
      <c r="L37" s="20">
        <v>0.121</v>
      </c>
      <c r="M37" s="21">
        <v>147.88166666666666</v>
      </c>
      <c r="N37" s="21">
        <v>19.296000000000003</v>
      </c>
      <c r="O37" s="21">
        <v>133.33366666666666</v>
      </c>
      <c r="P37" s="21">
        <v>21.958</v>
      </c>
      <c r="Q37" s="21">
        <v>93.46233333333333</v>
      </c>
      <c r="R37" s="21">
        <v>26.281333333333333</v>
      </c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  <c r="AF37" s="22"/>
      <c r="AG37" s="22"/>
      <c r="AH37" s="22"/>
      <c r="AI37" s="22"/>
      <c r="AJ37" s="22"/>
      <c r="AK37" s="22"/>
      <c r="AL37" s="22"/>
    </row>
    <row r="38">
      <c r="A38" s="13" t="s">
        <v>19</v>
      </c>
      <c r="B38" s="13" t="s">
        <v>20</v>
      </c>
      <c r="C38" s="14">
        <v>45460.0</v>
      </c>
      <c r="D38" s="15" t="s">
        <v>21</v>
      </c>
      <c r="E38" s="16">
        <v>1.1</v>
      </c>
      <c r="F38" s="15" t="s">
        <v>22</v>
      </c>
      <c r="G38" s="17">
        <v>1.0</v>
      </c>
      <c r="H38" s="18" t="s">
        <v>26</v>
      </c>
      <c r="I38" s="19">
        <v>22.835</v>
      </c>
      <c r="J38" s="20">
        <v>483.3353</v>
      </c>
      <c r="K38" s="20">
        <v>8.107</v>
      </c>
      <c r="L38" s="20">
        <v>0.123</v>
      </c>
      <c r="M38" s="21">
        <v>151.04233333333335</v>
      </c>
      <c r="N38" s="21">
        <v>24.992333333333335</v>
      </c>
      <c r="O38" s="21">
        <v>123.722</v>
      </c>
      <c r="P38" s="21">
        <v>28.808666666666667</v>
      </c>
      <c r="Q38" s="21">
        <v>74.35166666666667</v>
      </c>
      <c r="R38" s="21">
        <v>32.91566666666667</v>
      </c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  <c r="AE38" s="22"/>
      <c r="AF38" s="22"/>
      <c r="AG38" s="22"/>
      <c r="AH38" s="22"/>
      <c r="AI38" s="22"/>
      <c r="AJ38" s="22"/>
      <c r="AK38" s="22"/>
      <c r="AL38" s="22"/>
    </row>
    <row r="39">
      <c r="A39" s="13" t="s">
        <v>19</v>
      </c>
      <c r="B39" s="13" t="s">
        <v>20</v>
      </c>
      <c r="C39" s="14">
        <v>45460.0</v>
      </c>
      <c r="D39" s="15" t="s">
        <v>21</v>
      </c>
      <c r="E39" s="16">
        <v>1.2</v>
      </c>
      <c r="F39" s="15" t="s">
        <v>22</v>
      </c>
      <c r="G39" s="17">
        <v>1.0</v>
      </c>
      <c r="H39" s="18" t="s">
        <v>26</v>
      </c>
      <c r="I39" s="19">
        <v>22.313</v>
      </c>
      <c r="J39" s="20">
        <v>489.0092</v>
      </c>
      <c r="K39" s="20">
        <v>7.218</v>
      </c>
      <c r="L39" s="20">
        <v>0.091</v>
      </c>
      <c r="M39" s="21">
        <v>153.67466666666667</v>
      </c>
      <c r="N39" s="21">
        <v>23.639</v>
      </c>
      <c r="O39" s="21">
        <v>125.75966666666666</v>
      </c>
      <c r="P39" s="21">
        <v>26.905</v>
      </c>
      <c r="Q39" s="21">
        <v>71.38033333333333</v>
      </c>
      <c r="R39" s="21">
        <v>29.746333333333336</v>
      </c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  <c r="AF39" s="22"/>
      <c r="AG39" s="22"/>
      <c r="AH39" s="22"/>
      <c r="AI39" s="22"/>
      <c r="AJ39" s="22"/>
      <c r="AK39" s="22"/>
      <c r="AL39" s="22"/>
    </row>
    <row r="40">
      <c r="A40" s="13" t="s">
        <v>19</v>
      </c>
      <c r="B40" s="13" t="s">
        <v>20</v>
      </c>
      <c r="C40" s="14">
        <v>45460.0</v>
      </c>
      <c r="D40" s="15" t="s">
        <v>21</v>
      </c>
      <c r="E40" s="16">
        <v>1.3</v>
      </c>
      <c r="F40" s="15" t="s">
        <v>22</v>
      </c>
      <c r="G40" s="17">
        <v>1.0</v>
      </c>
      <c r="H40" s="18" t="s">
        <v>26</v>
      </c>
      <c r="I40" s="19">
        <v>22.673</v>
      </c>
      <c r="J40" s="20">
        <v>684.4209</v>
      </c>
      <c r="K40" s="20">
        <v>7.824</v>
      </c>
      <c r="L40" s="20">
        <v>0.032</v>
      </c>
      <c r="M40" s="21">
        <v>156.72566666666668</v>
      </c>
      <c r="N40" s="21">
        <v>29.38</v>
      </c>
      <c r="O40" s="21">
        <v>132.80066666666667</v>
      </c>
      <c r="P40" s="21">
        <v>33.705666666666666</v>
      </c>
      <c r="Q40" s="21">
        <v>86.94133333333333</v>
      </c>
      <c r="R40" s="21">
        <v>34.64066666666667</v>
      </c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</row>
    <row r="41">
      <c r="A41" s="13" t="s">
        <v>19</v>
      </c>
      <c r="B41" s="13" t="s">
        <v>20</v>
      </c>
      <c r="C41" s="14">
        <v>45460.0</v>
      </c>
      <c r="D41" s="15" t="s">
        <v>21</v>
      </c>
      <c r="E41" s="16">
        <v>1.4</v>
      </c>
      <c r="F41" s="15" t="s">
        <v>22</v>
      </c>
      <c r="G41" s="17">
        <v>1.0</v>
      </c>
      <c r="H41" s="18" t="s">
        <v>26</v>
      </c>
      <c r="I41" s="19">
        <v>21.083</v>
      </c>
      <c r="J41" s="20">
        <v>507.02</v>
      </c>
      <c r="K41" s="20">
        <v>7.259</v>
      </c>
      <c r="L41" s="20">
        <v>0.036</v>
      </c>
      <c r="M41" s="21">
        <v>134.30866666666668</v>
      </c>
      <c r="N41" s="21">
        <v>31.319999999999997</v>
      </c>
      <c r="O41" s="21">
        <v>111.18566666666668</v>
      </c>
      <c r="P41" s="21">
        <v>31.811666666666667</v>
      </c>
      <c r="Q41" s="21">
        <v>79.19266666666667</v>
      </c>
      <c r="R41" s="21">
        <v>34.77833333333333</v>
      </c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</row>
    <row r="42">
      <c r="A42" s="13" t="s">
        <v>19</v>
      </c>
      <c r="B42" s="13" t="s">
        <v>20</v>
      </c>
      <c r="C42" s="14">
        <v>45460.0</v>
      </c>
      <c r="D42" s="15" t="s">
        <v>21</v>
      </c>
      <c r="E42" s="16">
        <v>2.1</v>
      </c>
      <c r="F42" s="15" t="s">
        <v>22</v>
      </c>
      <c r="G42" s="17">
        <v>1.0</v>
      </c>
      <c r="H42" s="18" t="s">
        <v>26</v>
      </c>
      <c r="I42" s="19">
        <v>15.254</v>
      </c>
      <c r="J42" s="20">
        <v>696.0259</v>
      </c>
      <c r="K42" s="20">
        <v>3.464</v>
      </c>
      <c r="L42" s="20">
        <v>0.035</v>
      </c>
      <c r="M42" s="21">
        <v>144.60999999999999</v>
      </c>
      <c r="N42" s="21">
        <v>24.492333333333335</v>
      </c>
      <c r="O42" s="21">
        <v>116.60366666666665</v>
      </c>
      <c r="P42" s="21">
        <v>27.595333333333333</v>
      </c>
      <c r="Q42" s="21">
        <v>68.55466666666666</v>
      </c>
      <c r="R42" s="21">
        <v>31.861666666666665</v>
      </c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22"/>
      <c r="AK42" s="22"/>
      <c r="AL42" s="22"/>
    </row>
    <row r="43">
      <c r="A43" s="13" t="s">
        <v>19</v>
      </c>
      <c r="B43" s="13" t="s">
        <v>20</v>
      </c>
      <c r="C43" s="14">
        <v>45460.0</v>
      </c>
      <c r="D43" s="15" t="s">
        <v>21</v>
      </c>
      <c r="E43" s="16">
        <v>2.2</v>
      </c>
      <c r="F43" s="15" t="s">
        <v>22</v>
      </c>
      <c r="G43" s="17">
        <v>1.0</v>
      </c>
      <c r="H43" s="18" t="s">
        <v>26</v>
      </c>
      <c r="I43" s="19">
        <v>15.821</v>
      </c>
      <c r="J43" s="20">
        <v>614.0521</v>
      </c>
      <c r="K43" s="20">
        <v>5.63</v>
      </c>
      <c r="L43" s="20">
        <v>0.024</v>
      </c>
      <c r="M43" s="21">
        <v>169.25133333333335</v>
      </c>
      <c r="N43" s="21">
        <v>24.043000000000003</v>
      </c>
      <c r="O43" s="21">
        <v>138.54966666666664</v>
      </c>
      <c r="P43" s="21">
        <v>27.910666666666668</v>
      </c>
      <c r="Q43" s="21">
        <v>85.79366666666665</v>
      </c>
      <c r="R43" s="21">
        <v>32.425666666666665</v>
      </c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  <c r="AE43" s="22"/>
      <c r="AF43" s="22"/>
      <c r="AG43" s="22"/>
      <c r="AH43" s="22"/>
      <c r="AI43" s="22"/>
      <c r="AJ43" s="22"/>
      <c r="AK43" s="22"/>
      <c r="AL43" s="22"/>
    </row>
    <row r="44">
      <c r="A44" s="13" t="s">
        <v>19</v>
      </c>
      <c r="B44" s="13" t="s">
        <v>20</v>
      </c>
      <c r="C44" s="14">
        <v>45460.0</v>
      </c>
      <c r="D44" s="15" t="s">
        <v>21</v>
      </c>
      <c r="E44" s="16">
        <v>2.3</v>
      </c>
      <c r="F44" s="15" t="s">
        <v>22</v>
      </c>
      <c r="G44" s="17">
        <v>1.0</v>
      </c>
      <c r="H44" s="18" t="s">
        <v>26</v>
      </c>
      <c r="I44" s="19">
        <v>17.434</v>
      </c>
      <c r="J44" s="20">
        <v>774.0026</v>
      </c>
      <c r="K44" s="20">
        <v>5.703</v>
      </c>
      <c r="L44" s="20">
        <v>0.056</v>
      </c>
      <c r="M44" s="21">
        <v>157.32500000000002</v>
      </c>
      <c r="N44" s="21">
        <v>33.285</v>
      </c>
      <c r="O44" s="21">
        <v>129.52666666666667</v>
      </c>
      <c r="P44" s="21">
        <v>35.974333333333334</v>
      </c>
      <c r="Q44" s="21">
        <v>72.47866666666668</v>
      </c>
      <c r="R44" s="21">
        <v>34.270999999999994</v>
      </c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  <c r="AE44" s="22"/>
      <c r="AF44" s="22"/>
      <c r="AG44" s="22"/>
      <c r="AH44" s="22"/>
      <c r="AI44" s="22"/>
      <c r="AJ44" s="22"/>
      <c r="AK44" s="22"/>
      <c r="AL44" s="22"/>
    </row>
    <row r="45">
      <c r="A45" s="13" t="s">
        <v>19</v>
      </c>
      <c r="B45" s="13" t="s">
        <v>20</v>
      </c>
      <c r="C45" s="14">
        <v>45460.0</v>
      </c>
      <c r="D45" s="15" t="s">
        <v>21</v>
      </c>
      <c r="E45" s="16">
        <v>2.4</v>
      </c>
      <c r="F45" s="15" t="s">
        <v>22</v>
      </c>
      <c r="G45" s="17">
        <v>1.0</v>
      </c>
      <c r="H45" s="18" t="s">
        <v>26</v>
      </c>
      <c r="I45" s="19">
        <v>16.8</v>
      </c>
      <c r="J45" s="20">
        <v>558.3406</v>
      </c>
      <c r="K45" s="20">
        <v>3.605</v>
      </c>
      <c r="L45" s="20">
        <v>0.056</v>
      </c>
      <c r="M45" s="21">
        <v>139.12833333333336</v>
      </c>
      <c r="N45" s="21">
        <v>21.542</v>
      </c>
      <c r="O45" s="21">
        <v>117.09899999999999</v>
      </c>
      <c r="P45" s="21">
        <v>24.153000000000002</v>
      </c>
      <c r="Q45" s="21">
        <v>83.62466666666667</v>
      </c>
      <c r="R45" s="21">
        <v>29.743333333333336</v>
      </c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</row>
    <row r="46">
      <c r="A46" s="13" t="s">
        <v>19</v>
      </c>
      <c r="B46" s="13" t="s">
        <v>20</v>
      </c>
      <c r="C46" s="14">
        <v>45460.0</v>
      </c>
      <c r="D46" s="15" t="s">
        <v>21</v>
      </c>
      <c r="E46" s="16">
        <v>3.1</v>
      </c>
      <c r="F46" s="15" t="s">
        <v>22</v>
      </c>
      <c r="G46" s="17">
        <v>1.0</v>
      </c>
      <c r="H46" s="18" t="s">
        <v>26</v>
      </c>
      <c r="I46" s="19">
        <v>20.596</v>
      </c>
      <c r="J46" s="20">
        <v>715.2342</v>
      </c>
      <c r="K46" s="20">
        <v>5.801</v>
      </c>
      <c r="L46" s="20">
        <v>0.05</v>
      </c>
      <c r="M46" s="21">
        <v>133.51833333333335</v>
      </c>
      <c r="N46" s="21">
        <v>29.296999999999997</v>
      </c>
      <c r="O46" s="21">
        <v>108.14733333333334</v>
      </c>
      <c r="P46" s="21">
        <v>30.43133333333333</v>
      </c>
      <c r="Q46" s="21">
        <v>62.65166666666667</v>
      </c>
      <c r="R46" s="21">
        <v>28.169</v>
      </c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  <c r="AI46" s="22"/>
      <c r="AJ46" s="22"/>
      <c r="AK46" s="22"/>
      <c r="AL46" s="22"/>
    </row>
    <row r="47">
      <c r="A47" s="13" t="s">
        <v>19</v>
      </c>
      <c r="B47" s="13" t="s">
        <v>20</v>
      </c>
      <c r="C47" s="14">
        <v>45460.0</v>
      </c>
      <c r="D47" s="15" t="s">
        <v>21</v>
      </c>
      <c r="E47" s="16">
        <v>3.2</v>
      </c>
      <c r="F47" s="15" t="s">
        <v>22</v>
      </c>
      <c r="G47" s="17">
        <v>1.0</v>
      </c>
      <c r="H47" s="18" t="s">
        <v>26</v>
      </c>
      <c r="I47" s="19">
        <v>13.602</v>
      </c>
      <c r="J47" s="20">
        <v>728.9938</v>
      </c>
      <c r="K47" s="20">
        <v>5.2</v>
      </c>
      <c r="L47" s="20">
        <v>0.05</v>
      </c>
      <c r="M47" s="21">
        <v>142.274</v>
      </c>
      <c r="N47" s="21">
        <v>29.53933333333333</v>
      </c>
      <c r="O47" s="21">
        <v>116.48</v>
      </c>
      <c r="P47" s="21">
        <v>31.878</v>
      </c>
      <c r="Q47" s="21">
        <v>67.46866666666666</v>
      </c>
      <c r="R47" s="21">
        <v>31.248333333333335</v>
      </c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</row>
    <row r="48">
      <c r="A48" s="13" t="s">
        <v>19</v>
      </c>
      <c r="B48" s="13" t="s">
        <v>20</v>
      </c>
      <c r="C48" s="14">
        <v>45460.0</v>
      </c>
      <c r="D48" s="15" t="s">
        <v>21</v>
      </c>
      <c r="E48" s="16">
        <v>3.3</v>
      </c>
      <c r="F48" s="15" t="s">
        <v>22</v>
      </c>
      <c r="G48" s="17">
        <v>1.0</v>
      </c>
      <c r="H48" s="18" t="s">
        <v>26</v>
      </c>
      <c r="I48" s="19">
        <v>16.592</v>
      </c>
      <c r="J48" s="20">
        <v>774.0233</v>
      </c>
      <c r="K48" s="20">
        <v>5.142</v>
      </c>
      <c r="L48" s="20">
        <v>0.061</v>
      </c>
      <c r="M48" s="21">
        <v>138.86733333333333</v>
      </c>
      <c r="N48" s="21">
        <v>35.48333333333333</v>
      </c>
      <c r="O48" s="21">
        <v>113.596</v>
      </c>
      <c r="P48" s="21">
        <v>37.231</v>
      </c>
      <c r="Q48" s="21">
        <v>63.26533333333333</v>
      </c>
      <c r="R48" s="21">
        <v>34.693333333333335</v>
      </c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</row>
    <row r="49">
      <c r="A49" s="13" t="s">
        <v>19</v>
      </c>
      <c r="B49" s="13" t="s">
        <v>20</v>
      </c>
      <c r="C49" s="14">
        <v>45460.0</v>
      </c>
      <c r="D49" s="15" t="s">
        <v>21</v>
      </c>
      <c r="E49" s="16">
        <v>3.4</v>
      </c>
      <c r="F49" s="15" t="s">
        <v>22</v>
      </c>
      <c r="G49" s="17">
        <v>1.0</v>
      </c>
      <c r="H49" s="18" t="s">
        <v>26</v>
      </c>
      <c r="I49" s="19">
        <v>17.295</v>
      </c>
      <c r="J49" s="20">
        <v>622.5432</v>
      </c>
      <c r="K49" s="20">
        <v>5.018</v>
      </c>
      <c r="L49" s="20">
        <v>0.069</v>
      </c>
      <c r="M49" s="21">
        <v>125.57166666666666</v>
      </c>
      <c r="N49" s="21">
        <v>33.91466666666667</v>
      </c>
      <c r="O49" s="21">
        <v>111.90566666666666</v>
      </c>
      <c r="P49" s="21">
        <v>35.864000000000004</v>
      </c>
      <c r="Q49" s="21">
        <v>73.466</v>
      </c>
      <c r="R49" s="21">
        <v>35.96666666666667</v>
      </c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</row>
    <row r="50">
      <c r="A50" s="13" t="s">
        <v>19</v>
      </c>
      <c r="B50" s="13" t="s">
        <v>20</v>
      </c>
      <c r="C50" s="14">
        <v>45460.0</v>
      </c>
      <c r="D50" s="15" t="s">
        <v>24</v>
      </c>
      <c r="E50" s="16">
        <v>1.1</v>
      </c>
      <c r="F50" s="15" t="s">
        <v>22</v>
      </c>
      <c r="G50" s="17">
        <v>1.0</v>
      </c>
      <c r="H50" s="18" t="s">
        <v>26</v>
      </c>
      <c r="I50" s="19">
        <v>19.024</v>
      </c>
      <c r="J50" s="20">
        <v>742.0438</v>
      </c>
      <c r="K50" s="20">
        <v>6.319</v>
      </c>
      <c r="L50" s="20">
        <v>0.012</v>
      </c>
      <c r="M50" s="21">
        <v>149.429</v>
      </c>
      <c r="N50" s="21">
        <v>20.242666666666665</v>
      </c>
      <c r="O50" s="21">
        <v>125.02366666666667</v>
      </c>
      <c r="P50" s="21">
        <v>23.074333333333332</v>
      </c>
      <c r="Q50" s="21">
        <v>81.844</v>
      </c>
      <c r="R50" s="21">
        <v>30.80666666666667</v>
      </c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/>
      <c r="AE50" s="22"/>
      <c r="AF50" s="22"/>
      <c r="AG50" s="22"/>
      <c r="AH50" s="22"/>
      <c r="AI50" s="22"/>
      <c r="AJ50" s="22"/>
      <c r="AK50" s="22"/>
      <c r="AL50" s="22"/>
    </row>
    <row r="51">
      <c r="A51" s="13" t="s">
        <v>19</v>
      </c>
      <c r="B51" s="13" t="s">
        <v>20</v>
      </c>
      <c r="C51" s="14">
        <v>45460.0</v>
      </c>
      <c r="D51" s="15" t="s">
        <v>24</v>
      </c>
      <c r="E51" s="16">
        <v>1.2</v>
      </c>
      <c r="F51" s="15" t="s">
        <v>22</v>
      </c>
      <c r="G51" s="17">
        <v>1.0</v>
      </c>
      <c r="H51" s="18" t="s">
        <v>26</v>
      </c>
      <c r="I51" s="19">
        <v>17.925</v>
      </c>
      <c r="J51" s="20">
        <v>723.0062</v>
      </c>
      <c r="K51" s="20">
        <v>5.676</v>
      </c>
      <c r="L51" s="20">
        <v>0.117</v>
      </c>
      <c r="M51" s="21">
        <v>152.69266666666667</v>
      </c>
      <c r="N51" s="21">
        <v>17.531000000000002</v>
      </c>
      <c r="O51" s="21">
        <v>131.20033333333333</v>
      </c>
      <c r="P51" s="21">
        <v>20.573999999999998</v>
      </c>
      <c r="Q51" s="21">
        <v>96.472</v>
      </c>
      <c r="R51" s="21">
        <v>26.53633333333333</v>
      </c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/>
      <c r="AE51" s="22"/>
      <c r="AF51" s="22"/>
      <c r="AG51" s="22"/>
      <c r="AH51" s="22"/>
      <c r="AI51" s="22"/>
      <c r="AJ51" s="22"/>
      <c r="AK51" s="22"/>
      <c r="AL51" s="22"/>
    </row>
    <row r="52">
      <c r="A52" s="13" t="s">
        <v>19</v>
      </c>
      <c r="B52" s="13" t="s">
        <v>20</v>
      </c>
      <c r="C52" s="14">
        <v>45460.0</v>
      </c>
      <c r="D52" s="15" t="s">
        <v>24</v>
      </c>
      <c r="E52" s="16">
        <v>1.3</v>
      </c>
      <c r="F52" s="15" t="s">
        <v>22</v>
      </c>
      <c r="G52" s="17">
        <v>1.0</v>
      </c>
      <c r="H52" s="18" t="s">
        <v>26</v>
      </c>
      <c r="I52" s="19">
        <v>14.762</v>
      </c>
      <c r="J52" s="20">
        <v>786.1431</v>
      </c>
      <c r="K52" s="20">
        <v>4.765</v>
      </c>
      <c r="L52" s="20">
        <v>0.011</v>
      </c>
      <c r="M52" s="21">
        <v>149.33333333333334</v>
      </c>
      <c r="N52" s="21">
        <v>16.034666666666666</v>
      </c>
      <c r="O52" s="21">
        <v>127.63600000000001</v>
      </c>
      <c r="P52" s="21">
        <v>23.066333333333333</v>
      </c>
      <c r="Q52" s="21">
        <v>82.06033333333335</v>
      </c>
      <c r="R52" s="21">
        <v>27.382333333333335</v>
      </c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/>
      <c r="AE52" s="22"/>
      <c r="AF52" s="22"/>
      <c r="AG52" s="22"/>
      <c r="AH52" s="22"/>
      <c r="AI52" s="22"/>
      <c r="AJ52" s="22"/>
      <c r="AK52" s="22"/>
      <c r="AL52" s="22"/>
    </row>
    <row r="53">
      <c r="A53" s="13" t="s">
        <v>19</v>
      </c>
      <c r="B53" s="13" t="s">
        <v>20</v>
      </c>
      <c r="C53" s="14">
        <v>45460.0</v>
      </c>
      <c r="D53" s="15" t="s">
        <v>24</v>
      </c>
      <c r="E53" s="16">
        <v>1.4</v>
      </c>
      <c r="F53" s="15" t="s">
        <v>22</v>
      </c>
      <c r="G53" s="17">
        <v>1.0</v>
      </c>
      <c r="H53" s="18" t="s">
        <v>26</v>
      </c>
      <c r="I53" s="19">
        <v>16.481</v>
      </c>
      <c r="J53" s="20">
        <v>726.285</v>
      </c>
      <c r="K53" s="20">
        <v>4.373</v>
      </c>
      <c r="L53" s="20">
        <v>0.014</v>
      </c>
      <c r="M53" s="21">
        <v>142.26999999999998</v>
      </c>
      <c r="N53" s="21">
        <v>17.364</v>
      </c>
      <c r="O53" s="21">
        <v>123.11766666666666</v>
      </c>
      <c r="P53" s="21">
        <v>18.793333333333333</v>
      </c>
      <c r="Q53" s="21">
        <v>81.06766666666667</v>
      </c>
      <c r="R53" s="21">
        <v>27.72</v>
      </c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  <c r="AI53" s="22"/>
      <c r="AJ53" s="22"/>
      <c r="AK53" s="22"/>
      <c r="AL53" s="22"/>
    </row>
    <row r="54">
      <c r="A54" s="13" t="s">
        <v>19</v>
      </c>
      <c r="B54" s="13" t="s">
        <v>20</v>
      </c>
      <c r="C54" s="14">
        <v>45460.0</v>
      </c>
      <c r="D54" s="15" t="s">
        <v>24</v>
      </c>
      <c r="E54" s="16">
        <v>2.1</v>
      </c>
      <c r="F54" s="15" t="s">
        <v>22</v>
      </c>
      <c r="G54" s="17">
        <v>1.0</v>
      </c>
      <c r="H54" s="18" t="s">
        <v>26</v>
      </c>
      <c r="I54" s="19">
        <v>10.699</v>
      </c>
      <c r="J54" s="20">
        <v>801.2415</v>
      </c>
      <c r="K54" s="20">
        <v>3.404</v>
      </c>
      <c r="L54" s="20">
        <v>0.063</v>
      </c>
      <c r="M54" s="21">
        <v>130.01200000000003</v>
      </c>
      <c r="N54" s="21">
        <v>18.467</v>
      </c>
      <c r="O54" s="21">
        <v>109.66533333333332</v>
      </c>
      <c r="P54" s="21">
        <v>20.80333333333333</v>
      </c>
      <c r="Q54" s="21">
        <v>62.88633333333333</v>
      </c>
      <c r="R54" s="21">
        <v>24.423</v>
      </c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/>
      <c r="AE54" s="22"/>
      <c r="AF54" s="22"/>
      <c r="AG54" s="22"/>
      <c r="AH54" s="22"/>
      <c r="AI54" s="22"/>
      <c r="AJ54" s="22"/>
      <c r="AK54" s="22"/>
      <c r="AL54" s="22"/>
    </row>
    <row r="55">
      <c r="A55" s="13" t="s">
        <v>19</v>
      </c>
      <c r="B55" s="13" t="s">
        <v>20</v>
      </c>
      <c r="C55" s="14">
        <v>45460.0</v>
      </c>
      <c r="D55" s="15" t="s">
        <v>24</v>
      </c>
      <c r="E55" s="16">
        <v>2.2</v>
      </c>
      <c r="F55" s="15" t="s">
        <v>22</v>
      </c>
      <c r="G55" s="17">
        <v>1.0</v>
      </c>
      <c r="H55" s="18" t="s">
        <v>26</v>
      </c>
      <c r="I55" s="19">
        <v>14.811</v>
      </c>
      <c r="J55" s="20">
        <v>757.7183</v>
      </c>
      <c r="K55" s="20">
        <v>3.21</v>
      </c>
      <c r="L55" s="20">
        <v>0.055</v>
      </c>
      <c r="M55" s="21">
        <v>135.89133333333334</v>
      </c>
      <c r="N55" s="21">
        <v>19.377</v>
      </c>
      <c r="O55" s="21">
        <v>112.56099999999999</v>
      </c>
      <c r="P55" s="21">
        <v>22.46066666666667</v>
      </c>
      <c r="Q55" s="21">
        <v>65.17066666666666</v>
      </c>
      <c r="R55" s="21">
        <v>25.624</v>
      </c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</row>
    <row r="56">
      <c r="A56" s="13" t="s">
        <v>19</v>
      </c>
      <c r="B56" s="13" t="s">
        <v>20</v>
      </c>
      <c r="C56" s="14">
        <v>45460.0</v>
      </c>
      <c r="D56" s="15" t="s">
        <v>24</v>
      </c>
      <c r="E56" s="16">
        <v>2.3</v>
      </c>
      <c r="F56" s="15" t="s">
        <v>22</v>
      </c>
      <c r="G56" s="17">
        <v>1.0</v>
      </c>
      <c r="H56" s="18" t="s">
        <v>26</v>
      </c>
      <c r="I56" s="19">
        <v>15.422</v>
      </c>
      <c r="J56" s="20">
        <v>816.0392</v>
      </c>
      <c r="K56" s="20">
        <v>3.406</v>
      </c>
      <c r="L56" s="20">
        <v>0.025</v>
      </c>
      <c r="M56" s="21">
        <v>137.443</v>
      </c>
      <c r="N56" s="21">
        <v>20.450333333333333</v>
      </c>
      <c r="O56" s="21">
        <v>114.54533333333332</v>
      </c>
      <c r="P56" s="21">
        <v>22.587</v>
      </c>
      <c r="Q56" s="21">
        <v>75.105</v>
      </c>
      <c r="R56" s="21">
        <v>24.980333333333334</v>
      </c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</row>
    <row r="57">
      <c r="A57" s="13" t="s">
        <v>19</v>
      </c>
      <c r="B57" s="13" t="s">
        <v>20</v>
      </c>
      <c r="C57" s="14">
        <v>45460.0</v>
      </c>
      <c r="D57" s="15" t="s">
        <v>24</v>
      </c>
      <c r="E57" s="16">
        <v>2.4</v>
      </c>
      <c r="F57" s="15" t="s">
        <v>22</v>
      </c>
      <c r="G57" s="17">
        <v>1.0</v>
      </c>
      <c r="H57" s="18" t="s">
        <v>26</v>
      </c>
      <c r="I57" s="19">
        <v>14.63</v>
      </c>
      <c r="J57" s="20">
        <v>636.1132</v>
      </c>
      <c r="K57" s="20">
        <v>3.041</v>
      </c>
      <c r="L57" s="20">
        <v>0.046</v>
      </c>
      <c r="M57" s="21">
        <v>110.30733333333332</v>
      </c>
      <c r="N57" s="21">
        <v>23.816000000000003</v>
      </c>
      <c r="O57" s="21">
        <v>95.22666666666667</v>
      </c>
      <c r="P57" s="21">
        <v>25.457666666666668</v>
      </c>
      <c r="Q57" s="21">
        <v>61.27266666666667</v>
      </c>
      <c r="R57" s="21">
        <v>29.423333333333332</v>
      </c>
      <c r="S57" s="22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</row>
    <row r="58">
      <c r="A58" s="13" t="s">
        <v>19</v>
      </c>
      <c r="B58" s="13" t="s">
        <v>20</v>
      </c>
      <c r="C58" s="14">
        <v>45460.0</v>
      </c>
      <c r="D58" s="15" t="s">
        <v>24</v>
      </c>
      <c r="E58" s="16">
        <v>3.1</v>
      </c>
      <c r="F58" s="15" t="s">
        <v>22</v>
      </c>
      <c r="G58" s="17">
        <v>1.0</v>
      </c>
      <c r="H58" s="18" t="s">
        <v>26</v>
      </c>
      <c r="I58" s="19">
        <v>15.834</v>
      </c>
      <c r="J58" s="20">
        <v>684.3223</v>
      </c>
      <c r="K58" s="20">
        <v>4.716</v>
      </c>
      <c r="L58" s="20">
        <v>0.005</v>
      </c>
      <c r="M58" s="21">
        <v>143.442</v>
      </c>
      <c r="N58" s="21">
        <v>16.53333333333333</v>
      </c>
      <c r="O58" s="21">
        <v>115.06833333333333</v>
      </c>
      <c r="P58" s="21">
        <v>19.622333333333334</v>
      </c>
      <c r="Q58" s="21">
        <v>62.32633333333333</v>
      </c>
      <c r="R58" s="21">
        <v>22.73</v>
      </c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</row>
    <row r="59">
      <c r="A59" s="13" t="s">
        <v>19</v>
      </c>
      <c r="B59" s="13" t="s">
        <v>20</v>
      </c>
      <c r="C59" s="14">
        <v>45460.0</v>
      </c>
      <c r="D59" s="15" t="s">
        <v>24</v>
      </c>
      <c r="E59" s="16">
        <v>3.2</v>
      </c>
      <c r="F59" s="15" t="s">
        <v>22</v>
      </c>
      <c r="G59" s="17">
        <v>1.0</v>
      </c>
      <c r="H59" s="18" t="s">
        <v>26</v>
      </c>
      <c r="I59" s="19">
        <v>13.507</v>
      </c>
      <c r="J59" s="20">
        <v>761.3678</v>
      </c>
      <c r="K59" s="20">
        <v>5.284</v>
      </c>
      <c r="L59" s="20">
        <v>0.028</v>
      </c>
      <c r="M59" s="21">
        <v>148.68866666666668</v>
      </c>
      <c r="N59" s="21">
        <v>16.700999999999997</v>
      </c>
      <c r="O59" s="21">
        <v>120.69599999999998</v>
      </c>
      <c r="P59" s="21">
        <v>20.017</v>
      </c>
      <c r="Q59" s="21">
        <v>69.67433333333334</v>
      </c>
      <c r="R59" s="21">
        <v>24.73133333333333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</row>
    <row r="60">
      <c r="A60" s="13" t="s">
        <v>19</v>
      </c>
      <c r="B60" s="13" t="s">
        <v>20</v>
      </c>
      <c r="C60" s="14">
        <v>45460.0</v>
      </c>
      <c r="D60" s="15" t="s">
        <v>24</v>
      </c>
      <c r="E60" s="16">
        <v>3.3</v>
      </c>
      <c r="F60" s="15" t="s">
        <v>22</v>
      </c>
      <c r="G60" s="17">
        <v>1.0</v>
      </c>
      <c r="H60" s="18" t="s">
        <v>26</v>
      </c>
      <c r="I60" s="19">
        <v>15.242</v>
      </c>
      <c r="J60" s="20">
        <v>816.0497</v>
      </c>
      <c r="K60" s="20">
        <v>5.399</v>
      </c>
      <c r="L60" s="20">
        <v>0.053</v>
      </c>
      <c r="M60" s="21">
        <v>152.62300000000002</v>
      </c>
      <c r="N60" s="21">
        <v>19.950999999999997</v>
      </c>
      <c r="O60" s="21">
        <v>122.81599999999999</v>
      </c>
      <c r="P60" s="21">
        <v>23.88433333333333</v>
      </c>
      <c r="Q60" s="21">
        <v>75.82166666666666</v>
      </c>
      <c r="R60" s="21">
        <v>27.55933333333333</v>
      </c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</row>
    <row r="61">
      <c r="A61" s="13" t="s">
        <v>19</v>
      </c>
      <c r="B61" s="13" t="s">
        <v>20</v>
      </c>
      <c r="C61" s="14">
        <v>45460.0</v>
      </c>
      <c r="D61" s="15" t="s">
        <v>24</v>
      </c>
      <c r="E61" s="16">
        <v>3.4</v>
      </c>
      <c r="F61" s="15" t="s">
        <v>22</v>
      </c>
      <c r="G61" s="17">
        <v>1.0</v>
      </c>
      <c r="H61" s="18" t="s">
        <v>26</v>
      </c>
      <c r="I61" s="19">
        <v>20.883</v>
      </c>
      <c r="J61" s="20">
        <v>624.8216</v>
      </c>
      <c r="K61" s="20">
        <v>7.048</v>
      </c>
      <c r="L61" s="20">
        <v>0.066</v>
      </c>
      <c r="M61" s="21">
        <v>146.125</v>
      </c>
      <c r="N61" s="21">
        <v>14.748333333333333</v>
      </c>
      <c r="O61" s="21">
        <v>124.31433333333332</v>
      </c>
      <c r="P61" s="21">
        <v>17.113</v>
      </c>
      <c r="Q61" s="21">
        <v>88.551</v>
      </c>
      <c r="R61" s="21">
        <v>21.24566666666667</v>
      </c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</row>
    <row r="62">
      <c r="A62" s="13" t="s">
        <v>19</v>
      </c>
      <c r="B62" s="13" t="s">
        <v>20</v>
      </c>
      <c r="C62" s="14">
        <v>45460.0</v>
      </c>
      <c r="D62" s="15" t="s">
        <v>25</v>
      </c>
      <c r="E62" s="16">
        <v>1.1</v>
      </c>
      <c r="F62" s="15" t="s">
        <v>22</v>
      </c>
      <c r="G62" s="17">
        <v>1.0</v>
      </c>
      <c r="H62" s="18" t="s">
        <v>26</v>
      </c>
      <c r="I62" s="19">
        <v>17.208</v>
      </c>
      <c r="J62" s="20">
        <v>554.635</v>
      </c>
      <c r="K62" s="20">
        <v>5.588</v>
      </c>
      <c r="L62" s="20">
        <v>0.05</v>
      </c>
      <c r="M62" s="21">
        <v>134.562</v>
      </c>
      <c r="N62" s="21">
        <v>27.832666666666665</v>
      </c>
      <c r="O62" s="21">
        <v>115.54266666666668</v>
      </c>
      <c r="P62" s="21">
        <v>30.17</v>
      </c>
      <c r="Q62" s="21">
        <v>65.585</v>
      </c>
      <c r="R62" s="21">
        <v>29.587</v>
      </c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</row>
    <row r="63">
      <c r="A63" s="13" t="s">
        <v>19</v>
      </c>
      <c r="B63" s="13" t="s">
        <v>20</v>
      </c>
      <c r="C63" s="14">
        <v>45460.0</v>
      </c>
      <c r="D63" s="15" t="s">
        <v>25</v>
      </c>
      <c r="E63" s="16">
        <v>1.2</v>
      </c>
      <c r="F63" s="15" t="s">
        <v>22</v>
      </c>
      <c r="G63" s="17">
        <v>1.0</v>
      </c>
      <c r="H63" s="18" t="s">
        <v>26</v>
      </c>
      <c r="I63" s="19">
        <v>13.954</v>
      </c>
      <c r="J63" s="20">
        <v>753.1434</v>
      </c>
      <c r="K63" s="20">
        <v>4.594</v>
      </c>
      <c r="L63" s="20">
        <v>0.073</v>
      </c>
      <c r="M63" s="21">
        <v>141.983</v>
      </c>
      <c r="N63" s="21">
        <v>25.631666666666664</v>
      </c>
      <c r="O63" s="21">
        <v>121.40266666666666</v>
      </c>
      <c r="P63" s="21">
        <v>27.825</v>
      </c>
      <c r="Q63" s="21">
        <v>66.23766666666667</v>
      </c>
      <c r="R63" s="21">
        <v>29.646666666666665</v>
      </c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</row>
    <row r="64">
      <c r="A64" s="13" t="s">
        <v>19</v>
      </c>
      <c r="B64" s="13" t="s">
        <v>20</v>
      </c>
      <c r="C64" s="14">
        <v>45460.0</v>
      </c>
      <c r="D64" s="15" t="s">
        <v>25</v>
      </c>
      <c r="E64" s="16">
        <v>1.3</v>
      </c>
      <c r="F64" s="15" t="s">
        <v>22</v>
      </c>
      <c r="G64" s="17">
        <v>1.0</v>
      </c>
      <c r="H64" s="18" t="s">
        <v>26</v>
      </c>
      <c r="I64" s="19">
        <v>16.118</v>
      </c>
      <c r="J64" s="20">
        <v>749.1115</v>
      </c>
      <c r="K64" s="20">
        <v>4.145</v>
      </c>
      <c r="L64" s="20">
        <v>0.02</v>
      </c>
      <c r="M64" s="21">
        <v>157.81466666666665</v>
      </c>
      <c r="N64" s="21">
        <v>34.865</v>
      </c>
      <c r="O64" s="21">
        <v>138.57366666666667</v>
      </c>
      <c r="P64" s="21">
        <v>38.75266666666667</v>
      </c>
      <c r="Q64" s="21">
        <v>83.15233333333333</v>
      </c>
      <c r="R64" s="21">
        <v>40.989</v>
      </c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</row>
    <row r="65">
      <c r="A65" s="13" t="s">
        <v>19</v>
      </c>
      <c r="B65" s="13" t="s">
        <v>20</v>
      </c>
      <c r="C65" s="14">
        <v>45460.0</v>
      </c>
      <c r="D65" s="15" t="s">
        <v>25</v>
      </c>
      <c r="E65" s="16">
        <v>1.4</v>
      </c>
      <c r="F65" s="15" t="s">
        <v>22</v>
      </c>
      <c r="G65" s="17">
        <v>1.0</v>
      </c>
      <c r="H65" s="18" t="s">
        <v>26</v>
      </c>
      <c r="I65" s="19">
        <v>19.549</v>
      </c>
      <c r="J65" s="20">
        <v>608.3289</v>
      </c>
      <c r="K65" s="20">
        <v>5.979</v>
      </c>
      <c r="L65" s="20">
        <v>0.066</v>
      </c>
      <c r="M65" s="21">
        <v>127.43066666666668</v>
      </c>
      <c r="N65" s="21">
        <v>27.081333333333333</v>
      </c>
      <c r="O65" s="21">
        <v>115.724</v>
      </c>
      <c r="P65" s="21">
        <v>29.278666666666666</v>
      </c>
      <c r="Q65" s="21">
        <v>78.947</v>
      </c>
      <c r="R65" s="21">
        <v>30.217666666666663</v>
      </c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</row>
    <row r="66">
      <c r="A66" s="13" t="s">
        <v>19</v>
      </c>
      <c r="B66" s="13" t="s">
        <v>20</v>
      </c>
      <c r="C66" s="14">
        <v>45460.0</v>
      </c>
      <c r="D66" s="15" t="s">
        <v>25</v>
      </c>
      <c r="E66" s="16">
        <v>2.1</v>
      </c>
      <c r="F66" s="15" t="s">
        <v>22</v>
      </c>
      <c r="G66" s="17">
        <v>1.0</v>
      </c>
      <c r="H66" s="18" t="s">
        <v>26</v>
      </c>
      <c r="I66" s="19">
        <v>18.924</v>
      </c>
      <c r="J66" s="20">
        <v>652.5534</v>
      </c>
      <c r="K66" s="20">
        <v>5.867</v>
      </c>
      <c r="L66" s="20">
        <v>0.025</v>
      </c>
      <c r="M66" s="21">
        <v>140.53366666666668</v>
      </c>
      <c r="N66" s="21">
        <v>31.581333333333333</v>
      </c>
      <c r="O66" s="21">
        <v>118.48266666666666</v>
      </c>
      <c r="P66" s="21">
        <v>34.467666666666666</v>
      </c>
      <c r="Q66" s="21">
        <v>73.41233333333334</v>
      </c>
      <c r="R66" s="21">
        <v>35.595</v>
      </c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</row>
    <row r="67">
      <c r="A67" s="13" t="s">
        <v>19</v>
      </c>
      <c r="B67" s="13" t="s">
        <v>20</v>
      </c>
      <c r="C67" s="14">
        <v>45460.0</v>
      </c>
      <c r="D67" s="15" t="s">
        <v>25</v>
      </c>
      <c r="E67" s="16">
        <v>2.2</v>
      </c>
      <c r="F67" s="15" t="s">
        <v>22</v>
      </c>
      <c r="G67" s="17">
        <v>1.0</v>
      </c>
      <c r="H67" s="18" t="s">
        <v>26</v>
      </c>
      <c r="I67" s="19">
        <v>22.256</v>
      </c>
      <c r="J67" s="20">
        <v>474.6072</v>
      </c>
      <c r="K67" s="20">
        <v>8.479</v>
      </c>
      <c r="L67" s="20">
        <v>0.118</v>
      </c>
      <c r="M67" s="21">
        <v>137.06466666666668</v>
      </c>
      <c r="N67" s="21">
        <v>24.786</v>
      </c>
      <c r="O67" s="21">
        <v>116.81233333333334</v>
      </c>
      <c r="P67" s="21">
        <v>28.850333333333335</v>
      </c>
      <c r="Q67" s="21">
        <v>67.04266666666668</v>
      </c>
      <c r="R67" s="21">
        <v>30.489333333333335</v>
      </c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</row>
    <row r="68">
      <c r="A68" s="13" t="s">
        <v>19</v>
      </c>
      <c r="B68" s="13" t="s">
        <v>20</v>
      </c>
      <c r="C68" s="14">
        <v>45460.0</v>
      </c>
      <c r="D68" s="15" t="s">
        <v>25</v>
      </c>
      <c r="E68" s="16">
        <v>2.3</v>
      </c>
      <c r="F68" s="15" t="s">
        <v>22</v>
      </c>
      <c r="G68" s="17">
        <v>1.0</v>
      </c>
      <c r="H68" s="18" t="s">
        <v>26</v>
      </c>
      <c r="I68" s="19">
        <v>15.652</v>
      </c>
      <c r="J68" s="20">
        <v>746.9217</v>
      </c>
      <c r="K68" s="20">
        <v>4.845</v>
      </c>
      <c r="L68" s="20">
        <v>0.019</v>
      </c>
      <c r="M68" s="21">
        <v>136.93833333333333</v>
      </c>
      <c r="N68" s="21">
        <v>27.11266666666667</v>
      </c>
      <c r="O68" s="21">
        <v>114.411</v>
      </c>
      <c r="P68" s="21">
        <v>29.83566666666667</v>
      </c>
      <c r="Q68" s="21">
        <v>68.75366666666667</v>
      </c>
      <c r="R68" s="21">
        <v>31.235666666666663</v>
      </c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</row>
    <row r="69">
      <c r="A69" s="13" t="s">
        <v>19</v>
      </c>
      <c r="B69" s="13" t="s">
        <v>20</v>
      </c>
      <c r="C69" s="14">
        <v>45460.0</v>
      </c>
      <c r="D69" s="15" t="s">
        <v>25</v>
      </c>
      <c r="E69" s="16">
        <v>2.4</v>
      </c>
      <c r="F69" s="15" t="s">
        <v>22</v>
      </c>
      <c r="G69" s="17">
        <v>1.0</v>
      </c>
      <c r="H69" s="18" t="s">
        <v>26</v>
      </c>
      <c r="I69" s="19">
        <v>17.743</v>
      </c>
      <c r="J69" s="20">
        <v>512.999</v>
      </c>
      <c r="K69" s="20">
        <v>5.723</v>
      </c>
      <c r="L69" s="20">
        <v>0.073</v>
      </c>
      <c r="M69" s="21">
        <v>141.90366666666668</v>
      </c>
      <c r="N69" s="21">
        <v>28.122666666666664</v>
      </c>
      <c r="O69" s="21">
        <v>127.086</v>
      </c>
      <c r="P69" s="21">
        <v>31.002</v>
      </c>
      <c r="Q69" s="21">
        <v>91.49666666666667</v>
      </c>
      <c r="R69" s="21">
        <v>32.30866666666667</v>
      </c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</row>
    <row r="70">
      <c r="A70" s="13" t="s">
        <v>19</v>
      </c>
      <c r="B70" s="13" t="s">
        <v>20</v>
      </c>
      <c r="C70" s="14">
        <v>45460.0</v>
      </c>
      <c r="D70" s="15" t="s">
        <v>25</v>
      </c>
      <c r="E70" s="16">
        <v>3.1</v>
      </c>
      <c r="F70" s="15" t="s">
        <v>22</v>
      </c>
      <c r="G70" s="17">
        <v>1.0</v>
      </c>
      <c r="H70" s="18" t="s">
        <v>26</v>
      </c>
      <c r="I70" s="19">
        <v>17.754</v>
      </c>
      <c r="J70" s="20">
        <v>631.6051</v>
      </c>
      <c r="K70" s="20">
        <v>4.1</v>
      </c>
      <c r="L70" s="20">
        <v>0.054</v>
      </c>
      <c r="M70" s="21">
        <v>127.83699999999999</v>
      </c>
      <c r="N70" s="21">
        <v>27.772999999999996</v>
      </c>
      <c r="O70" s="21">
        <v>108.88066666666667</v>
      </c>
      <c r="P70" s="21">
        <v>31.38633333333333</v>
      </c>
      <c r="Q70" s="21">
        <v>62.431999999999995</v>
      </c>
      <c r="R70" s="21">
        <v>31.954333333333334</v>
      </c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</row>
    <row r="71">
      <c r="A71" s="13" t="s">
        <v>19</v>
      </c>
      <c r="B71" s="13" t="s">
        <v>20</v>
      </c>
      <c r="C71" s="14">
        <v>45460.0</v>
      </c>
      <c r="D71" s="15" t="s">
        <v>25</v>
      </c>
      <c r="E71" s="16">
        <v>3.2</v>
      </c>
      <c r="F71" s="15" t="s">
        <v>22</v>
      </c>
      <c r="G71" s="17">
        <v>1.0</v>
      </c>
      <c r="H71" s="18" t="s">
        <v>26</v>
      </c>
      <c r="I71" s="19">
        <v>17.939</v>
      </c>
      <c r="J71" s="24">
        <v>664.5254</v>
      </c>
      <c r="K71" s="20">
        <v>4.412</v>
      </c>
      <c r="L71" s="20">
        <v>0.019</v>
      </c>
      <c r="M71" s="21">
        <v>128.20866666666666</v>
      </c>
      <c r="N71" s="21">
        <v>25.65433333333333</v>
      </c>
      <c r="O71" s="21">
        <v>112.04200000000002</v>
      </c>
      <c r="P71" s="21">
        <v>29.483</v>
      </c>
      <c r="Q71" s="21">
        <v>68.65333333333334</v>
      </c>
      <c r="R71" s="21">
        <v>33.284</v>
      </c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</row>
    <row r="72">
      <c r="A72" s="13" t="s">
        <v>19</v>
      </c>
      <c r="B72" s="13" t="s">
        <v>20</v>
      </c>
      <c r="C72" s="14">
        <v>45460.0</v>
      </c>
      <c r="D72" s="15" t="s">
        <v>25</v>
      </c>
      <c r="E72" s="16">
        <v>3.3</v>
      </c>
      <c r="F72" s="15" t="s">
        <v>22</v>
      </c>
      <c r="G72" s="17">
        <v>1.0</v>
      </c>
      <c r="H72" s="18" t="s">
        <v>26</v>
      </c>
      <c r="I72" s="19">
        <v>14.803</v>
      </c>
      <c r="J72" s="20">
        <v>792.2045</v>
      </c>
      <c r="K72" s="20">
        <v>5.112</v>
      </c>
      <c r="L72" s="20">
        <v>0.05</v>
      </c>
      <c r="M72" s="21">
        <v>132.93066666666667</v>
      </c>
      <c r="N72" s="21">
        <v>23.203333333333333</v>
      </c>
      <c r="O72" s="21">
        <v>113.64800000000001</v>
      </c>
      <c r="P72" s="21">
        <v>26.908666666666665</v>
      </c>
      <c r="Q72" s="21">
        <v>67.43266666666666</v>
      </c>
      <c r="R72" s="21">
        <v>29.92833333333333</v>
      </c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/>
      <c r="AE72" s="22"/>
      <c r="AF72" s="22"/>
      <c r="AG72" s="22"/>
      <c r="AH72" s="22"/>
      <c r="AI72" s="22"/>
      <c r="AJ72" s="22"/>
      <c r="AK72" s="22"/>
      <c r="AL72" s="22"/>
    </row>
    <row r="73">
      <c r="A73" s="13" t="s">
        <v>19</v>
      </c>
      <c r="B73" s="13" t="s">
        <v>20</v>
      </c>
      <c r="C73" s="14">
        <v>45460.0</v>
      </c>
      <c r="D73" s="15" t="s">
        <v>25</v>
      </c>
      <c r="E73" s="16">
        <v>3.4</v>
      </c>
      <c r="F73" s="15" t="s">
        <v>22</v>
      </c>
      <c r="G73" s="17">
        <v>1.0</v>
      </c>
      <c r="H73" s="18" t="s">
        <v>26</v>
      </c>
      <c r="I73" s="19">
        <v>17.295</v>
      </c>
      <c r="J73" s="20">
        <v>597.7533</v>
      </c>
      <c r="K73" s="20">
        <v>6.136</v>
      </c>
      <c r="L73" s="20">
        <v>0.1</v>
      </c>
      <c r="M73" s="21">
        <v>133.00466666666668</v>
      </c>
      <c r="N73" s="21">
        <v>24.591333333333335</v>
      </c>
      <c r="O73" s="21">
        <v>121.11233333333332</v>
      </c>
      <c r="P73" s="21">
        <v>27.689000000000004</v>
      </c>
      <c r="Q73" s="21">
        <v>88.90033333333334</v>
      </c>
      <c r="R73" s="21">
        <v>30.371333333333336</v>
      </c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</row>
    <row r="74">
      <c r="A74" s="13" t="s">
        <v>19</v>
      </c>
      <c r="B74" s="13" t="s">
        <v>20</v>
      </c>
      <c r="C74" s="14">
        <v>45460.0</v>
      </c>
      <c r="D74" s="15" t="s">
        <v>21</v>
      </c>
      <c r="E74" s="16">
        <v>4.1</v>
      </c>
      <c r="F74" s="15" t="s">
        <v>27</v>
      </c>
      <c r="G74" s="17">
        <v>1.0</v>
      </c>
      <c r="H74" s="18" t="s">
        <v>23</v>
      </c>
      <c r="I74" s="19">
        <v>7.95</v>
      </c>
      <c r="J74" s="20">
        <v>603.6191</v>
      </c>
      <c r="K74" s="20">
        <v>2.317</v>
      </c>
      <c r="L74" s="20">
        <v>0.042</v>
      </c>
      <c r="M74" s="21">
        <v>134.72566666666668</v>
      </c>
      <c r="N74" s="21">
        <v>19.602999999999998</v>
      </c>
      <c r="O74" s="21">
        <v>116.63499999999999</v>
      </c>
      <c r="P74" s="21">
        <v>21.55333333333333</v>
      </c>
      <c r="Q74" s="21">
        <v>83.52033333333333</v>
      </c>
      <c r="R74" s="21">
        <v>26.693</v>
      </c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</row>
    <row r="75">
      <c r="A75" s="13" t="s">
        <v>19</v>
      </c>
      <c r="B75" s="13" t="s">
        <v>20</v>
      </c>
      <c r="C75" s="14">
        <v>45460.0</v>
      </c>
      <c r="D75" s="15" t="s">
        <v>21</v>
      </c>
      <c r="E75" s="16">
        <v>4.2</v>
      </c>
      <c r="F75" s="15" t="s">
        <v>27</v>
      </c>
      <c r="G75" s="17">
        <v>1.0</v>
      </c>
      <c r="H75" s="18" t="s">
        <v>23</v>
      </c>
      <c r="I75" s="19">
        <v>8.156</v>
      </c>
      <c r="J75" s="20">
        <v>574.223</v>
      </c>
      <c r="K75" s="24">
        <v>2.17</v>
      </c>
      <c r="L75" s="20">
        <v>0.006</v>
      </c>
      <c r="M75" s="21">
        <v>123.90533333333333</v>
      </c>
      <c r="N75" s="21">
        <v>19.417333333333335</v>
      </c>
      <c r="O75" s="21">
        <v>105.26866666666666</v>
      </c>
      <c r="P75" s="21">
        <v>21.623</v>
      </c>
      <c r="Q75" s="21">
        <v>74.25433333333332</v>
      </c>
      <c r="R75" s="21">
        <v>23.55333333333333</v>
      </c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</row>
    <row r="76">
      <c r="A76" s="13" t="s">
        <v>19</v>
      </c>
      <c r="B76" s="13" t="s">
        <v>20</v>
      </c>
      <c r="C76" s="14">
        <v>45460.0</v>
      </c>
      <c r="D76" s="15" t="s">
        <v>21</v>
      </c>
      <c r="E76" s="16">
        <v>4.3</v>
      </c>
      <c r="F76" s="15" t="s">
        <v>27</v>
      </c>
      <c r="G76" s="17">
        <v>1.0</v>
      </c>
      <c r="H76" s="18" t="s">
        <v>23</v>
      </c>
      <c r="I76" s="19">
        <v>7.827</v>
      </c>
      <c r="J76" s="20">
        <v>582.1684</v>
      </c>
      <c r="K76" s="20">
        <v>1.717</v>
      </c>
      <c r="L76" s="20">
        <v>0.024</v>
      </c>
      <c r="M76" s="21">
        <v>120.92666666666666</v>
      </c>
      <c r="N76" s="21">
        <v>17.555000000000003</v>
      </c>
      <c r="O76" s="21">
        <v>106.13266666666668</v>
      </c>
      <c r="P76" s="21">
        <v>19.736666666666668</v>
      </c>
      <c r="Q76" s="21">
        <v>75.15266666666666</v>
      </c>
      <c r="R76" s="21">
        <v>21.08733333333333</v>
      </c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</row>
    <row r="77">
      <c r="A77" s="13" t="s">
        <v>19</v>
      </c>
      <c r="B77" s="13" t="s">
        <v>20</v>
      </c>
      <c r="C77" s="14">
        <v>45460.0</v>
      </c>
      <c r="D77" s="15" t="s">
        <v>21</v>
      </c>
      <c r="E77" s="16">
        <v>4.4</v>
      </c>
      <c r="F77" s="15" t="s">
        <v>27</v>
      </c>
      <c r="G77" s="17">
        <v>1.0</v>
      </c>
      <c r="H77" s="18" t="s">
        <v>23</v>
      </c>
      <c r="I77" s="19">
        <v>7.344</v>
      </c>
      <c r="J77" s="20">
        <v>768.5857</v>
      </c>
      <c r="K77" s="20">
        <v>2.2</v>
      </c>
      <c r="L77" s="20">
        <v>0.018</v>
      </c>
      <c r="M77" s="21">
        <v>135.76</v>
      </c>
      <c r="N77" s="21">
        <v>27.377</v>
      </c>
      <c r="O77" s="21">
        <v>119.47699999999999</v>
      </c>
      <c r="P77" s="21">
        <v>28.730999999999998</v>
      </c>
      <c r="Q77" s="21">
        <v>94.30566666666665</v>
      </c>
      <c r="R77" s="21">
        <v>30.454666666666668</v>
      </c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</row>
    <row r="78">
      <c r="A78" s="13" t="s">
        <v>19</v>
      </c>
      <c r="B78" s="13" t="s">
        <v>20</v>
      </c>
      <c r="C78" s="14">
        <v>45460.0</v>
      </c>
      <c r="D78" s="15" t="s">
        <v>21</v>
      </c>
      <c r="E78" s="16">
        <v>5.1</v>
      </c>
      <c r="F78" s="15" t="s">
        <v>27</v>
      </c>
      <c r="G78" s="17">
        <v>1.0</v>
      </c>
      <c r="H78" s="18" t="s">
        <v>23</v>
      </c>
      <c r="I78" s="19">
        <v>8.583</v>
      </c>
      <c r="J78" s="20">
        <v>678.2389</v>
      </c>
      <c r="K78" s="20">
        <v>2.004</v>
      </c>
      <c r="L78" s="20">
        <v>0.006</v>
      </c>
      <c r="M78" s="21">
        <v>106.68066666666668</v>
      </c>
      <c r="N78" s="21">
        <v>40.556000000000004</v>
      </c>
      <c r="O78" s="21">
        <v>85.66533333333335</v>
      </c>
      <c r="P78" s="21">
        <v>41.91866666666667</v>
      </c>
      <c r="Q78" s="21">
        <v>68.44366666666666</v>
      </c>
      <c r="R78" s="21">
        <v>36.21033333333333</v>
      </c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</row>
    <row r="79">
      <c r="A79" s="13" t="s">
        <v>19</v>
      </c>
      <c r="B79" s="13" t="s">
        <v>20</v>
      </c>
      <c r="C79" s="14">
        <v>45460.0</v>
      </c>
      <c r="D79" s="15" t="s">
        <v>21</v>
      </c>
      <c r="E79" s="16">
        <v>5.2</v>
      </c>
      <c r="F79" s="15" t="s">
        <v>27</v>
      </c>
      <c r="G79" s="17">
        <v>1.0</v>
      </c>
      <c r="H79" s="18" t="s">
        <v>23</v>
      </c>
      <c r="I79" s="19">
        <v>8.998</v>
      </c>
      <c r="J79" s="20">
        <v>715.4167</v>
      </c>
      <c r="K79" s="20">
        <v>2.773</v>
      </c>
      <c r="L79" s="20">
        <v>0.014</v>
      </c>
      <c r="M79" s="21">
        <v>117.024</v>
      </c>
      <c r="N79" s="21">
        <v>39.849333333333334</v>
      </c>
      <c r="O79" s="21">
        <v>92.90566666666666</v>
      </c>
      <c r="P79" s="21">
        <v>42.400666666666666</v>
      </c>
      <c r="Q79" s="21">
        <v>71.60633333333334</v>
      </c>
      <c r="R79" s="21">
        <v>38.25333333333334</v>
      </c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</row>
    <row r="80">
      <c r="A80" s="13" t="s">
        <v>19</v>
      </c>
      <c r="B80" s="13" t="s">
        <v>20</v>
      </c>
      <c r="C80" s="14">
        <v>45460.0</v>
      </c>
      <c r="D80" s="15" t="s">
        <v>21</v>
      </c>
      <c r="E80" s="16">
        <v>5.3</v>
      </c>
      <c r="F80" s="15" t="s">
        <v>27</v>
      </c>
      <c r="G80" s="17">
        <v>1.0</v>
      </c>
      <c r="H80" s="18" t="s">
        <v>23</v>
      </c>
      <c r="I80" s="19">
        <v>9.413</v>
      </c>
      <c r="J80" s="20">
        <v>723.3049</v>
      </c>
      <c r="K80" s="20">
        <v>2.761</v>
      </c>
      <c r="L80" s="20">
        <v>0.023</v>
      </c>
      <c r="M80" s="21">
        <v>116.96966666666667</v>
      </c>
      <c r="N80" s="21">
        <v>40.51133333333333</v>
      </c>
      <c r="O80" s="21">
        <v>95.32</v>
      </c>
      <c r="P80" s="21">
        <v>41.42966666666667</v>
      </c>
      <c r="Q80" s="21">
        <v>69.29666666666667</v>
      </c>
      <c r="R80" s="21">
        <v>38.794333333333334</v>
      </c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</row>
    <row r="81">
      <c r="A81" s="13" t="s">
        <v>19</v>
      </c>
      <c r="B81" s="13" t="s">
        <v>20</v>
      </c>
      <c r="C81" s="14">
        <v>45460.0</v>
      </c>
      <c r="D81" s="15" t="s">
        <v>21</v>
      </c>
      <c r="E81" s="16">
        <v>5.4</v>
      </c>
      <c r="F81" s="15" t="s">
        <v>27</v>
      </c>
      <c r="G81" s="17">
        <v>1.0</v>
      </c>
      <c r="H81" s="18" t="s">
        <v>23</v>
      </c>
      <c r="I81" s="19">
        <v>8.6</v>
      </c>
      <c r="J81" s="20">
        <v>724.5419</v>
      </c>
      <c r="K81" s="20">
        <v>2.683</v>
      </c>
      <c r="L81" s="20">
        <v>0.015</v>
      </c>
      <c r="M81" s="21">
        <v>74.15366666666667</v>
      </c>
      <c r="N81" s="21">
        <v>29.951000000000004</v>
      </c>
      <c r="O81" s="21">
        <v>58.144</v>
      </c>
      <c r="P81" s="21">
        <v>29.998</v>
      </c>
      <c r="Q81" s="21">
        <v>47.976333333333336</v>
      </c>
      <c r="R81" s="21">
        <v>26.534333333333333</v>
      </c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2"/>
      <c r="AF81" s="22"/>
      <c r="AG81" s="22"/>
      <c r="AH81" s="22"/>
      <c r="AI81" s="22"/>
      <c r="AJ81" s="22"/>
      <c r="AK81" s="22"/>
      <c r="AL81" s="22"/>
    </row>
    <row r="82">
      <c r="A82" s="13" t="s">
        <v>19</v>
      </c>
      <c r="B82" s="13" t="s">
        <v>20</v>
      </c>
      <c r="C82" s="14">
        <v>45460.0</v>
      </c>
      <c r="D82" s="15" t="s">
        <v>21</v>
      </c>
      <c r="E82" s="16">
        <v>6.1</v>
      </c>
      <c r="F82" s="15" t="s">
        <v>27</v>
      </c>
      <c r="G82" s="17">
        <v>1.0</v>
      </c>
      <c r="H82" s="18" t="s">
        <v>23</v>
      </c>
      <c r="I82" s="19">
        <v>8.507</v>
      </c>
      <c r="J82" s="20">
        <v>788.7661</v>
      </c>
      <c r="K82" s="20">
        <v>3.045</v>
      </c>
      <c r="L82" s="20">
        <v>0.019</v>
      </c>
      <c r="M82" s="21">
        <v>133.711</v>
      </c>
      <c r="N82" s="21">
        <v>36.254333333333335</v>
      </c>
      <c r="O82" s="21">
        <v>109.88799999999999</v>
      </c>
      <c r="P82" s="21">
        <v>37.03933333333333</v>
      </c>
      <c r="Q82" s="21">
        <v>75.20066666666668</v>
      </c>
      <c r="R82" s="21">
        <v>36.359</v>
      </c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</row>
    <row r="83">
      <c r="A83" s="13" t="s">
        <v>19</v>
      </c>
      <c r="B83" s="13" t="s">
        <v>20</v>
      </c>
      <c r="C83" s="14">
        <v>45460.0</v>
      </c>
      <c r="D83" s="15" t="s">
        <v>21</v>
      </c>
      <c r="E83" s="16">
        <v>6.2</v>
      </c>
      <c r="F83" s="15" t="s">
        <v>27</v>
      </c>
      <c r="G83" s="17">
        <v>1.0</v>
      </c>
      <c r="H83" s="18" t="s">
        <v>23</v>
      </c>
      <c r="I83" s="19">
        <v>7.605</v>
      </c>
      <c r="J83" s="20">
        <v>717.3075</v>
      </c>
      <c r="K83" s="20">
        <v>2.415</v>
      </c>
      <c r="L83" s="20">
        <v>0.026</v>
      </c>
      <c r="M83" s="21">
        <v>128.83666666666667</v>
      </c>
      <c r="N83" s="21">
        <v>30.018</v>
      </c>
      <c r="O83" s="21">
        <v>106.72133333333333</v>
      </c>
      <c r="P83" s="21">
        <v>30.749333333333336</v>
      </c>
      <c r="Q83" s="21">
        <v>66.37033333333333</v>
      </c>
      <c r="R83" s="21">
        <v>31.369666666666664</v>
      </c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/>
      <c r="AE83" s="22"/>
      <c r="AF83" s="22"/>
      <c r="AG83" s="22"/>
      <c r="AH83" s="22"/>
      <c r="AI83" s="22"/>
      <c r="AJ83" s="22"/>
      <c r="AK83" s="22"/>
      <c r="AL83" s="22"/>
    </row>
    <row r="84">
      <c r="A84" s="13" t="s">
        <v>19</v>
      </c>
      <c r="B84" s="13" t="s">
        <v>20</v>
      </c>
      <c r="C84" s="14">
        <v>45460.0</v>
      </c>
      <c r="D84" s="15" t="s">
        <v>21</v>
      </c>
      <c r="E84" s="16">
        <v>6.3</v>
      </c>
      <c r="F84" s="15" t="s">
        <v>27</v>
      </c>
      <c r="G84" s="17">
        <v>1.0</v>
      </c>
      <c r="H84" s="18" t="s">
        <v>23</v>
      </c>
      <c r="I84" s="19">
        <v>8.181</v>
      </c>
      <c r="J84" s="20">
        <v>846.5317</v>
      </c>
      <c r="K84" s="20">
        <v>2.203</v>
      </c>
      <c r="L84" s="20">
        <v>0.016</v>
      </c>
      <c r="M84" s="21">
        <v>133.73766666666666</v>
      </c>
      <c r="N84" s="21">
        <v>32.041</v>
      </c>
      <c r="O84" s="21">
        <v>114.46533333333333</v>
      </c>
      <c r="P84" s="21">
        <v>32.19966666666667</v>
      </c>
      <c r="Q84" s="21">
        <v>78.624</v>
      </c>
      <c r="R84" s="21">
        <v>33.785000000000004</v>
      </c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</row>
    <row r="85">
      <c r="A85" s="13" t="s">
        <v>19</v>
      </c>
      <c r="B85" s="13" t="s">
        <v>20</v>
      </c>
      <c r="C85" s="14">
        <v>45460.0</v>
      </c>
      <c r="D85" s="15" t="s">
        <v>21</v>
      </c>
      <c r="E85" s="16">
        <v>6.4</v>
      </c>
      <c r="F85" s="15" t="s">
        <v>27</v>
      </c>
      <c r="G85" s="17">
        <v>1.0</v>
      </c>
      <c r="H85" s="18" t="s">
        <v>23</v>
      </c>
      <c r="I85" s="19">
        <v>7.705</v>
      </c>
      <c r="J85" s="20">
        <v>615.8774</v>
      </c>
      <c r="K85" s="20">
        <v>2.195</v>
      </c>
      <c r="L85" s="20">
        <v>0.022</v>
      </c>
      <c r="M85" s="21">
        <v>118.94233333333334</v>
      </c>
      <c r="N85" s="21">
        <v>27.63233333333333</v>
      </c>
      <c r="O85" s="21">
        <v>102.87299999999999</v>
      </c>
      <c r="P85" s="21">
        <v>29.022000000000002</v>
      </c>
      <c r="Q85" s="21">
        <v>71.55866666666667</v>
      </c>
      <c r="R85" s="21">
        <v>30.790999999999997</v>
      </c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22"/>
    </row>
    <row r="86">
      <c r="A86" s="13" t="s">
        <v>19</v>
      </c>
      <c r="B86" s="13" t="s">
        <v>20</v>
      </c>
      <c r="C86" s="14">
        <v>45460.0</v>
      </c>
      <c r="D86" s="15" t="s">
        <v>24</v>
      </c>
      <c r="E86" s="16">
        <v>4.1</v>
      </c>
      <c r="F86" s="15" t="s">
        <v>27</v>
      </c>
      <c r="G86" s="17">
        <v>1.0</v>
      </c>
      <c r="H86" s="18" t="s">
        <v>23</v>
      </c>
      <c r="I86" s="19">
        <v>10.992</v>
      </c>
      <c r="J86" s="20">
        <v>633.016</v>
      </c>
      <c r="K86" s="20">
        <v>6.125</v>
      </c>
      <c r="L86" s="20">
        <v>0.039</v>
      </c>
      <c r="M86" s="21">
        <v>155.15366666666668</v>
      </c>
      <c r="N86" s="21">
        <v>17.320333333333334</v>
      </c>
      <c r="O86" s="21">
        <v>131.34966666666668</v>
      </c>
      <c r="P86" s="21">
        <v>20.559666666666665</v>
      </c>
      <c r="Q86" s="21">
        <v>97.17466666666667</v>
      </c>
      <c r="R86" s="21">
        <v>26.625</v>
      </c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</row>
    <row r="87">
      <c r="A87" s="13" t="s">
        <v>19</v>
      </c>
      <c r="B87" s="13" t="s">
        <v>20</v>
      </c>
      <c r="C87" s="14">
        <v>45460.0</v>
      </c>
      <c r="D87" s="15" t="s">
        <v>24</v>
      </c>
      <c r="E87" s="16">
        <v>4.2</v>
      </c>
      <c r="F87" s="15" t="s">
        <v>27</v>
      </c>
      <c r="G87" s="17">
        <v>1.0</v>
      </c>
      <c r="H87" s="18" t="s">
        <v>23</v>
      </c>
      <c r="I87" s="19">
        <v>11.824</v>
      </c>
      <c r="J87" s="20">
        <v>721.2239</v>
      </c>
      <c r="K87" s="20">
        <v>6.32</v>
      </c>
      <c r="L87" s="20">
        <v>0.022</v>
      </c>
      <c r="M87" s="21">
        <v>149.77733333333333</v>
      </c>
      <c r="N87" s="21">
        <v>16.661666666666665</v>
      </c>
      <c r="O87" s="21">
        <v>127.29433333333333</v>
      </c>
      <c r="P87" s="21">
        <v>21.138</v>
      </c>
      <c r="Q87" s="21">
        <v>95.94566666666667</v>
      </c>
      <c r="R87" s="21">
        <v>26.796666666666667</v>
      </c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22"/>
    </row>
    <row r="88">
      <c r="A88" s="13" t="s">
        <v>19</v>
      </c>
      <c r="B88" s="13" t="s">
        <v>20</v>
      </c>
      <c r="C88" s="14">
        <v>45460.0</v>
      </c>
      <c r="D88" s="15" t="s">
        <v>24</v>
      </c>
      <c r="E88" s="16">
        <v>4.3</v>
      </c>
      <c r="F88" s="15" t="s">
        <v>27</v>
      </c>
      <c r="G88" s="17">
        <v>1.0</v>
      </c>
      <c r="H88" s="18" t="s">
        <v>23</v>
      </c>
      <c r="I88" s="19">
        <v>12.259</v>
      </c>
      <c r="J88" s="20">
        <v>638.8239</v>
      </c>
      <c r="K88" s="20">
        <v>7.532</v>
      </c>
      <c r="L88" s="20">
        <v>0.019</v>
      </c>
      <c r="M88" s="21">
        <v>156.51933333333332</v>
      </c>
      <c r="N88" s="21">
        <v>16.66133333333333</v>
      </c>
      <c r="O88" s="21">
        <v>133.75666666666666</v>
      </c>
      <c r="P88" s="21">
        <v>16.713333333333335</v>
      </c>
      <c r="Q88" s="21">
        <v>100.43733333333334</v>
      </c>
      <c r="R88" s="21">
        <v>26.316333333333333</v>
      </c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/>
      <c r="AE88" s="22"/>
      <c r="AF88" s="22"/>
      <c r="AG88" s="22"/>
      <c r="AH88" s="22"/>
      <c r="AI88" s="22"/>
      <c r="AJ88" s="22"/>
      <c r="AK88" s="22"/>
      <c r="AL88" s="22"/>
    </row>
    <row r="89">
      <c r="A89" s="13" t="s">
        <v>19</v>
      </c>
      <c r="B89" s="13" t="s">
        <v>20</v>
      </c>
      <c r="C89" s="14">
        <v>45460.0</v>
      </c>
      <c r="D89" s="15" t="s">
        <v>24</v>
      </c>
      <c r="E89" s="16">
        <v>4.4</v>
      </c>
      <c r="F89" s="15" t="s">
        <v>27</v>
      </c>
      <c r="G89" s="17">
        <v>1.0</v>
      </c>
      <c r="H89" s="18" t="s">
        <v>23</v>
      </c>
      <c r="I89" s="19">
        <v>11.874</v>
      </c>
      <c r="J89" s="20">
        <v>534.453</v>
      </c>
      <c r="K89" s="20">
        <v>5.8</v>
      </c>
      <c r="L89" s="20">
        <v>0.034</v>
      </c>
      <c r="M89" s="21">
        <v>137.07933333333335</v>
      </c>
      <c r="N89" s="21">
        <v>14.441333333333333</v>
      </c>
      <c r="O89" s="21">
        <v>113.92900000000002</v>
      </c>
      <c r="P89" s="21">
        <v>17.390333333333334</v>
      </c>
      <c r="Q89" s="21">
        <v>75.78500000000001</v>
      </c>
      <c r="R89" s="21">
        <v>22.004333333333335</v>
      </c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/>
      <c r="AE89" s="22"/>
      <c r="AF89" s="22"/>
      <c r="AG89" s="22"/>
      <c r="AH89" s="22"/>
      <c r="AI89" s="22"/>
      <c r="AJ89" s="22"/>
      <c r="AK89" s="22"/>
      <c r="AL89" s="22"/>
    </row>
    <row r="90">
      <c r="A90" s="13" t="s">
        <v>19</v>
      </c>
      <c r="B90" s="13" t="s">
        <v>20</v>
      </c>
      <c r="C90" s="14">
        <v>45460.0</v>
      </c>
      <c r="D90" s="15" t="s">
        <v>24</v>
      </c>
      <c r="E90" s="16">
        <v>5.1</v>
      </c>
      <c r="F90" s="15" t="s">
        <v>27</v>
      </c>
      <c r="G90" s="17">
        <v>1.0</v>
      </c>
      <c r="H90" s="18" t="s">
        <v>23</v>
      </c>
      <c r="I90" s="19">
        <v>9.282</v>
      </c>
      <c r="J90" s="20">
        <v>702.6407</v>
      </c>
      <c r="K90" s="20">
        <v>4.721</v>
      </c>
      <c r="L90" s="20">
        <v>0.006</v>
      </c>
      <c r="M90" s="21">
        <v>142.83666666666667</v>
      </c>
      <c r="N90" s="21">
        <v>25.101333333333333</v>
      </c>
      <c r="O90" s="21">
        <v>138.03166666666667</v>
      </c>
      <c r="P90" s="21">
        <v>24.73933333333333</v>
      </c>
      <c r="Q90" s="21">
        <v>100.14766666666667</v>
      </c>
      <c r="R90" s="21">
        <v>34.065333333333335</v>
      </c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/>
      <c r="AE90" s="22"/>
      <c r="AF90" s="22"/>
      <c r="AG90" s="22"/>
      <c r="AH90" s="22"/>
      <c r="AI90" s="22"/>
      <c r="AJ90" s="22"/>
      <c r="AK90" s="22"/>
      <c r="AL90" s="22"/>
    </row>
    <row r="91">
      <c r="A91" s="13" t="s">
        <v>19</v>
      </c>
      <c r="B91" s="13" t="s">
        <v>20</v>
      </c>
      <c r="C91" s="14">
        <v>45460.0</v>
      </c>
      <c r="D91" s="15" t="s">
        <v>24</v>
      </c>
      <c r="E91" s="16">
        <v>5.2</v>
      </c>
      <c r="F91" s="15" t="s">
        <v>27</v>
      </c>
      <c r="G91" s="17">
        <v>1.0</v>
      </c>
      <c r="H91" s="18" t="s">
        <v>23</v>
      </c>
      <c r="I91" s="19">
        <v>8.477</v>
      </c>
      <c r="J91" s="20">
        <v>653.9484</v>
      </c>
      <c r="K91" s="20">
        <v>4.257</v>
      </c>
      <c r="L91" s="20">
        <v>0.021</v>
      </c>
      <c r="M91" s="21">
        <v>130.09166666666667</v>
      </c>
      <c r="N91" s="21">
        <v>22.976</v>
      </c>
      <c r="O91" s="21">
        <v>124.318</v>
      </c>
      <c r="P91" s="21">
        <v>24.218</v>
      </c>
      <c r="Q91" s="21">
        <v>85.16533333333332</v>
      </c>
      <c r="R91" s="21">
        <v>31.615</v>
      </c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</row>
    <row r="92">
      <c r="A92" s="13" t="s">
        <v>19</v>
      </c>
      <c r="B92" s="13" t="s">
        <v>20</v>
      </c>
      <c r="C92" s="14">
        <v>45460.0</v>
      </c>
      <c r="D92" s="15" t="s">
        <v>24</v>
      </c>
      <c r="E92" s="16">
        <v>5.3</v>
      </c>
      <c r="F92" s="15" t="s">
        <v>27</v>
      </c>
      <c r="G92" s="17">
        <v>1.0</v>
      </c>
      <c r="H92" s="18" t="s">
        <v>23</v>
      </c>
      <c r="I92" s="19">
        <v>8.968</v>
      </c>
      <c r="J92" s="20">
        <v>678.8971</v>
      </c>
      <c r="K92" s="20">
        <v>4.684</v>
      </c>
      <c r="L92" s="20">
        <v>0.061</v>
      </c>
      <c r="M92" s="21">
        <v>145.87133333333335</v>
      </c>
      <c r="N92" s="21">
        <v>24.682333333333332</v>
      </c>
      <c r="O92" s="21">
        <v>138.93966666666665</v>
      </c>
      <c r="P92" s="21">
        <v>25.522333333333336</v>
      </c>
      <c r="Q92" s="21">
        <v>97.48166666666667</v>
      </c>
      <c r="R92" s="21">
        <v>35.375</v>
      </c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/>
      <c r="AE92" s="22"/>
      <c r="AF92" s="22"/>
      <c r="AG92" s="22"/>
      <c r="AH92" s="22"/>
      <c r="AI92" s="22"/>
      <c r="AJ92" s="22"/>
      <c r="AK92" s="22"/>
      <c r="AL92" s="22"/>
    </row>
    <row r="93">
      <c r="A93" s="13" t="s">
        <v>19</v>
      </c>
      <c r="B93" s="13" t="s">
        <v>20</v>
      </c>
      <c r="C93" s="14">
        <v>45460.0</v>
      </c>
      <c r="D93" s="15" t="s">
        <v>24</v>
      </c>
      <c r="E93" s="16">
        <v>5.4</v>
      </c>
      <c r="F93" s="15" t="s">
        <v>27</v>
      </c>
      <c r="G93" s="17">
        <v>1.0</v>
      </c>
      <c r="H93" s="18" t="s">
        <v>23</v>
      </c>
      <c r="I93" s="19">
        <v>9.08</v>
      </c>
      <c r="J93" s="20">
        <v>564.2269</v>
      </c>
      <c r="K93" s="20">
        <v>3.964</v>
      </c>
      <c r="L93" s="20">
        <v>0.013</v>
      </c>
      <c r="M93" s="21">
        <v>131.365</v>
      </c>
      <c r="N93" s="21">
        <v>16.782333333333334</v>
      </c>
      <c r="O93" s="21">
        <v>119.39666666666666</v>
      </c>
      <c r="P93" s="21">
        <v>20.886666666666667</v>
      </c>
      <c r="Q93" s="21">
        <v>90.28466666666667</v>
      </c>
      <c r="R93" s="21">
        <v>30.64233333333333</v>
      </c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/>
      <c r="AE93" s="22"/>
      <c r="AF93" s="22"/>
      <c r="AG93" s="22"/>
      <c r="AH93" s="22"/>
      <c r="AI93" s="22"/>
      <c r="AJ93" s="22"/>
      <c r="AK93" s="22"/>
      <c r="AL93" s="22"/>
    </row>
    <row r="94">
      <c r="A94" s="13" t="s">
        <v>19</v>
      </c>
      <c r="B94" s="13" t="s">
        <v>20</v>
      </c>
      <c r="C94" s="14">
        <v>45460.0</v>
      </c>
      <c r="D94" s="15" t="s">
        <v>24</v>
      </c>
      <c r="E94" s="16">
        <v>6.1</v>
      </c>
      <c r="F94" s="15" t="s">
        <v>27</v>
      </c>
      <c r="G94" s="17">
        <v>1.0</v>
      </c>
      <c r="H94" s="18" t="s">
        <v>23</v>
      </c>
      <c r="I94" s="19">
        <v>10.843</v>
      </c>
      <c r="J94" s="20">
        <v>636.6382</v>
      </c>
      <c r="K94" s="20">
        <v>6.202</v>
      </c>
      <c r="L94" s="20">
        <v>0.034</v>
      </c>
      <c r="M94" s="21">
        <v>148.52633333333333</v>
      </c>
      <c r="N94" s="21">
        <v>22.02633333333333</v>
      </c>
      <c r="O94" s="21">
        <v>129.10166666666666</v>
      </c>
      <c r="P94" s="21">
        <v>24.21466666666667</v>
      </c>
      <c r="Q94" s="21">
        <v>99.59400000000001</v>
      </c>
      <c r="R94" s="21">
        <v>31.44033333333333</v>
      </c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/>
      <c r="AE94" s="22"/>
      <c r="AF94" s="22"/>
      <c r="AG94" s="22"/>
      <c r="AH94" s="22"/>
      <c r="AI94" s="22"/>
      <c r="AJ94" s="22"/>
      <c r="AK94" s="22"/>
      <c r="AL94" s="22"/>
    </row>
    <row r="95">
      <c r="A95" s="13" t="s">
        <v>19</v>
      </c>
      <c r="B95" s="13" t="s">
        <v>20</v>
      </c>
      <c r="C95" s="14">
        <v>45460.0</v>
      </c>
      <c r="D95" s="15" t="s">
        <v>24</v>
      </c>
      <c r="E95" s="16">
        <v>6.2</v>
      </c>
      <c r="F95" s="15" t="s">
        <v>27</v>
      </c>
      <c r="G95" s="17">
        <v>1.0</v>
      </c>
      <c r="H95" s="18" t="s">
        <v>23</v>
      </c>
      <c r="I95" s="19">
        <v>10.379</v>
      </c>
      <c r="J95" s="20">
        <v>600.0469</v>
      </c>
      <c r="K95" s="20">
        <v>6.225</v>
      </c>
      <c r="L95" s="20">
        <v>0.01</v>
      </c>
      <c r="M95" s="21">
        <v>172.54</v>
      </c>
      <c r="N95" s="21">
        <v>20.557999999999996</v>
      </c>
      <c r="O95" s="21">
        <v>149.20633333333333</v>
      </c>
      <c r="P95" s="21">
        <v>23.255666666666666</v>
      </c>
      <c r="Q95" s="21">
        <v>110.23033333333335</v>
      </c>
      <c r="R95" s="21">
        <v>32.871</v>
      </c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/>
      <c r="AE95" s="22"/>
      <c r="AF95" s="22"/>
      <c r="AG95" s="22"/>
      <c r="AH95" s="22"/>
      <c r="AI95" s="22"/>
      <c r="AJ95" s="22"/>
      <c r="AK95" s="22"/>
      <c r="AL95" s="22"/>
    </row>
    <row r="96">
      <c r="A96" s="13" t="s">
        <v>19</v>
      </c>
      <c r="B96" s="13" t="s">
        <v>20</v>
      </c>
      <c r="C96" s="14">
        <v>45460.0</v>
      </c>
      <c r="D96" s="15" t="s">
        <v>24</v>
      </c>
      <c r="E96" s="16">
        <v>6.3</v>
      </c>
      <c r="F96" s="15" t="s">
        <v>27</v>
      </c>
      <c r="G96" s="17">
        <v>1.0</v>
      </c>
      <c r="H96" s="18" t="s">
        <v>23</v>
      </c>
      <c r="I96" s="19">
        <v>10.309</v>
      </c>
      <c r="J96" s="20">
        <v>616.2207</v>
      </c>
      <c r="K96" s="20">
        <v>5.606</v>
      </c>
      <c r="L96" s="20">
        <v>0.036</v>
      </c>
      <c r="M96" s="21">
        <v>163.84466666666665</v>
      </c>
      <c r="N96" s="21">
        <v>17.918666666666667</v>
      </c>
      <c r="O96" s="21">
        <v>137.90133333333333</v>
      </c>
      <c r="P96" s="21">
        <v>20.299333333333333</v>
      </c>
      <c r="Q96" s="21">
        <v>101.03833333333334</v>
      </c>
      <c r="R96" s="21">
        <v>27.77333333333333</v>
      </c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/>
      <c r="AE96" s="22"/>
      <c r="AF96" s="22"/>
      <c r="AG96" s="22"/>
      <c r="AH96" s="22"/>
      <c r="AI96" s="22"/>
      <c r="AJ96" s="22"/>
      <c r="AK96" s="22"/>
      <c r="AL96" s="22"/>
    </row>
    <row r="97">
      <c r="A97" s="13" t="s">
        <v>19</v>
      </c>
      <c r="B97" s="13" t="s">
        <v>20</v>
      </c>
      <c r="C97" s="14">
        <v>45460.0</v>
      </c>
      <c r="D97" s="15" t="s">
        <v>24</v>
      </c>
      <c r="E97" s="16">
        <v>6.4</v>
      </c>
      <c r="F97" s="15" t="s">
        <v>27</v>
      </c>
      <c r="G97" s="17">
        <v>1.0</v>
      </c>
      <c r="H97" s="18" t="s">
        <v>23</v>
      </c>
      <c r="I97" s="19">
        <v>9.961</v>
      </c>
      <c r="J97" s="20">
        <v>568.0141</v>
      </c>
      <c r="K97" s="20">
        <v>4.929</v>
      </c>
      <c r="L97" s="20">
        <v>0.004</v>
      </c>
      <c r="M97" s="21">
        <v>135.44266666666667</v>
      </c>
      <c r="N97" s="21">
        <v>16.913999999999998</v>
      </c>
      <c r="O97" s="21">
        <v>116.23966666666666</v>
      </c>
      <c r="P97" s="21">
        <v>19.676333333333332</v>
      </c>
      <c r="Q97" s="21">
        <v>87.31033333333333</v>
      </c>
      <c r="R97" s="21">
        <v>29.205000000000002</v>
      </c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/>
      <c r="AE97" s="22"/>
      <c r="AF97" s="22"/>
      <c r="AG97" s="22"/>
      <c r="AH97" s="22"/>
      <c r="AI97" s="22"/>
      <c r="AJ97" s="22"/>
      <c r="AK97" s="22"/>
      <c r="AL97" s="22"/>
    </row>
    <row r="98">
      <c r="A98" s="13" t="s">
        <v>19</v>
      </c>
      <c r="B98" s="13" t="s">
        <v>20</v>
      </c>
      <c r="C98" s="14">
        <v>45460.0</v>
      </c>
      <c r="D98" s="15" t="s">
        <v>25</v>
      </c>
      <c r="E98" s="16">
        <v>4.1</v>
      </c>
      <c r="F98" s="15" t="s">
        <v>27</v>
      </c>
      <c r="G98" s="17">
        <v>1.0</v>
      </c>
      <c r="H98" s="18" t="s">
        <v>23</v>
      </c>
      <c r="I98" s="19">
        <v>10.981</v>
      </c>
      <c r="J98" s="20">
        <v>884.9339</v>
      </c>
      <c r="K98" s="20">
        <v>4.364</v>
      </c>
      <c r="L98" s="20">
        <v>0.03</v>
      </c>
      <c r="M98" s="21">
        <v>156.119</v>
      </c>
      <c r="N98" s="21">
        <v>30.16033333333333</v>
      </c>
      <c r="O98" s="21">
        <v>140.88733333333334</v>
      </c>
      <c r="P98" s="21">
        <v>30.357333333333333</v>
      </c>
      <c r="Q98" s="21">
        <v>102.42099999999999</v>
      </c>
      <c r="R98" s="21">
        <v>29.753000000000004</v>
      </c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</row>
    <row r="99">
      <c r="A99" s="13" t="s">
        <v>19</v>
      </c>
      <c r="B99" s="13" t="s">
        <v>20</v>
      </c>
      <c r="C99" s="14">
        <v>45460.0</v>
      </c>
      <c r="D99" s="15" t="s">
        <v>25</v>
      </c>
      <c r="E99" s="16">
        <v>4.2</v>
      </c>
      <c r="F99" s="15" t="s">
        <v>27</v>
      </c>
      <c r="G99" s="17">
        <v>1.0</v>
      </c>
      <c r="H99" s="18" t="s">
        <v>23</v>
      </c>
      <c r="I99" s="19">
        <v>9.648</v>
      </c>
      <c r="J99" s="20">
        <v>762.0</v>
      </c>
      <c r="K99" s="20">
        <v>3.753</v>
      </c>
      <c r="L99" s="20">
        <v>0.027</v>
      </c>
      <c r="M99" s="21">
        <v>148.57533333333333</v>
      </c>
      <c r="N99" s="21">
        <v>29.630666666666666</v>
      </c>
      <c r="O99" s="21">
        <v>136.7493333333333</v>
      </c>
      <c r="P99" s="21">
        <v>30.608333333333334</v>
      </c>
      <c r="Q99" s="21">
        <v>103.027</v>
      </c>
      <c r="R99" s="21">
        <v>32.06466666666667</v>
      </c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/>
      <c r="AE99" s="22"/>
      <c r="AF99" s="22"/>
      <c r="AG99" s="22"/>
      <c r="AH99" s="22"/>
      <c r="AI99" s="22"/>
      <c r="AJ99" s="22"/>
      <c r="AK99" s="22"/>
      <c r="AL99" s="22"/>
    </row>
    <row r="100">
      <c r="A100" s="13" t="s">
        <v>19</v>
      </c>
      <c r="B100" s="13" t="s">
        <v>20</v>
      </c>
      <c r="C100" s="14">
        <v>45460.0</v>
      </c>
      <c r="D100" s="15" t="s">
        <v>25</v>
      </c>
      <c r="E100" s="16">
        <v>4.3</v>
      </c>
      <c r="F100" s="15" t="s">
        <v>27</v>
      </c>
      <c r="G100" s="17">
        <v>1.0</v>
      </c>
      <c r="H100" s="18" t="s">
        <v>23</v>
      </c>
      <c r="I100" s="19">
        <v>11.426</v>
      </c>
      <c r="J100" s="20">
        <v>642.2523</v>
      </c>
      <c r="K100" s="20">
        <v>3.837</v>
      </c>
      <c r="L100" s="20">
        <v>0.02</v>
      </c>
      <c r="M100" s="21">
        <v>141.937</v>
      </c>
      <c r="N100" s="21">
        <v>28.140666666666664</v>
      </c>
      <c r="O100" s="21">
        <v>130.88933333333333</v>
      </c>
      <c r="P100" s="21">
        <v>29.264</v>
      </c>
      <c r="Q100" s="21">
        <v>98.75833333333333</v>
      </c>
      <c r="R100" s="21">
        <v>30.514</v>
      </c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/>
      <c r="AE100" s="22"/>
      <c r="AF100" s="22"/>
      <c r="AG100" s="22"/>
      <c r="AH100" s="22"/>
      <c r="AI100" s="22"/>
      <c r="AJ100" s="22"/>
      <c r="AK100" s="22"/>
      <c r="AL100" s="22"/>
    </row>
    <row r="101">
      <c r="A101" s="13" t="s">
        <v>19</v>
      </c>
      <c r="B101" s="13" t="s">
        <v>20</v>
      </c>
      <c r="C101" s="14">
        <v>45460.0</v>
      </c>
      <c r="D101" s="15" t="s">
        <v>25</v>
      </c>
      <c r="E101" s="16">
        <v>4.4</v>
      </c>
      <c r="F101" s="15" t="s">
        <v>27</v>
      </c>
      <c r="G101" s="17">
        <v>1.0</v>
      </c>
      <c r="H101" s="18" t="s">
        <v>23</v>
      </c>
      <c r="I101" s="19">
        <v>10.494</v>
      </c>
      <c r="J101" s="20">
        <v>643.1835</v>
      </c>
      <c r="K101" s="20">
        <v>5.059</v>
      </c>
      <c r="L101" s="20">
        <v>0.016</v>
      </c>
      <c r="M101" s="21">
        <v>123.60533333333335</v>
      </c>
      <c r="N101" s="21">
        <v>26.063333333333333</v>
      </c>
      <c r="O101" s="21">
        <v>111.915</v>
      </c>
      <c r="P101" s="21">
        <v>25.950666666666667</v>
      </c>
      <c r="Q101" s="21">
        <v>80.41633333333333</v>
      </c>
      <c r="R101" s="21">
        <v>25.715666666666664</v>
      </c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/>
      <c r="AE101" s="22"/>
      <c r="AF101" s="22"/>
      <c r="AG101" s="22"/>
      <c r="AH101" s="22"/>
      <c r="AI101" s="22"/>
      <c r="AJ101" s="22"/>
      <c r="AK101" s="22"/>
      <c r="AL101" s="22"/>
    </row>
    <row r="102">
      <c r="A102" s="13" t="s">
        <v>19</v>
      </c>
      <c r="B102" s="13" t="s">
        <v>20</v>
      </c>
      <c r="C102" s="14">
        <v>45460.0</v>
      </c>
      <c r="D102" s="15" t="s">
        <v>25</v>
      </c>
      <c r="E102" s="16">
        <v>5.1</v>
      </c>
      <c r="F102" s="15" t="s">
        <v>27</v>
      </c>
      <c r="G102" s="17">
        <v>1.0</v>
      </c>
      <c r="H102" s="18" t="s">
        <v>23</v>
      </c>
      <c r="I102" s="19">
        <v>8.978</v>
      </c>
      <c r="J102" s="20">
        <v>804.5595</v>
      </c>
      <c r="K102" s="20">
        <v>2.956</v>
      </c>
      <c r="L102" s="20">
        <v>0.038</v>
      </c>
      <c r="M102" s="21">
        <v>162.08633333333333</v>
      </c>
      <c r="N102" s="21">
        <v>28.019666666666666</v>
      </c>
      <c r="O102" s="21">
        <v>145.719</v>
      </c>
      <c r="P102" s="21">
        <v>29.56266666666667</v>
      </c>
      <c r="Q102" s="21">
        <v>106.53466666666667</v>
      </c>
      <c r="R102" s="21">
        <v>32.49</v>
      </c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/>
      <c r="AE102" s="22"/>
      <c r="AF102" s="22"/>
      <c r="AG102" s="22"/>
      <c r="AH102" s="22"/>
      <c r="AI102" s="22"/>
      <c r="AJ102" s="22"/>
      <c r="AK102" s="22"/>
      <c r="AL102" s="22"/>
    </row>
    <row r="103">
      <c r="A103" s="13" t="s">
        <v>19</v>
      </c>
      <c r="B103" s="13" t="s">
        <v>20</v>
      </c>
      <c r="C103" s="14">
        <v>45460.0</v>
      </c>
      <c r="D103" s="15" t="s">
        <v>25</v>
      </c>
      <c r="E103" s="16">
        <v>5.2</v>
      </c>
      <c r="F103" s="15" t="s">
        <v>27</v>
      </c>
      <c r="G103" s="17">
        <v>1.0</v>
      </c>
      <c r="H103" s="18" t="s">
        <v>23</v>
      </c>
      <c r="I103" s="19">
        <v>8.633</v>
      </c>
      <c r="J103" s="20">
        <v>690.0261</v>
      </c>
      <c r="K103" s="20">
        <v>2.942</v>
      </c>
      <c r="L103" s="20">
        <v>0.018</v>
      </c>
      <c r="M103" s="21">
        <v>165.23166666666665</v>
      </c>
      <c r="N103" s="21">
        <v>29.712666666666667</v>
      </c>
      <c r="O103" s="21">
        <v>149.65366666666668</v>
      </c>
      <c r="P103" s="21">
        <v>31.929999999999996</v>
      </c>
      <c r="Q103" s="21">
        <v>112.18799999999999</v>
      </c>
      <c r="R103" s="21">
        <v>35.751</v>
      </c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/>
      <c r="AE103" s="22"/>
      <c r="AF103" s="22"/>
      <c r="AG103" s="22"/>
      <c r="AH103" s="22"/>
      <c r="AI103" s="22"/>
      <c r="AJ103" s="22"/>
      <c r="AK103" s="22"/>
      <c r="AL103" s="22"/>
    </row>
    <row r="104">
      <c r="A104" s="13" t="s">
        <v>19</v>
      </c>
      <c r="B104" s="13" t="s">
        <v>20</v>
      </c>
      <c r="C104" s="14">
        <v>45460.0</v>
      </c>
      <c r="D104" s="15" t="s">
        <v>25</v>
      </c>
      <c r="E104" s="16">
        <v>5.3</v>
      </c>
      <c r="F104" s="15" t="s">
        <v>27</v>
      </c>
      <c r="G104" s="17">
        <v>1.0</v>
      </c>
      <c r="H104" s="18" t="s">
        <v>23</v>
      </c>
      <c r="I104" s="19">
        <v>9.417</v>
      </c>
      <c r="J104" s="20">
        <v>795.5658</v>
      </c>
      <c r="K104" s="20">
        <v>3.97</v>
      </c>
      <c r="L104" s="20">
        <v>0.028</v>
      </c>
      <c r="M104" s="21">
        <v>146.19566666666665</v>
      </c>
      <c r="N104" s="21">
        <v>30.757666666666665</v>
      </c>
      <c r="O104" s="21">
        <v>132.19066666666666</v>
      </c>
      <c r="P104" s="21">
        <v>33.32466666666667</v>
      </c>
      <c r="Q104" s="21">
        <v>102.50166666666667</v>
      </c>
      <c r="R104" s="21">
        <v>36.36433333333333</v>
      </c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/>
      <c r="AE104" s="22"/>
      <c r="AF104" s="22"/>
      <c r="AG104" s="22"/>
      <c r="AH104" s="22"/>
      <c r="AI104" s="22"/>
      <c r="AJ104" s="22"/>
      <c r="AK104" s="22"/>
      <c r="AL104" s="22"/>
    </row>
    <row r="105">
      <c r="A105" s="13" t="s">
        <v>19</v>
      </c>
      <c r="B105" s="13" t="s">
        <v>20</v>
      </c>
      <c r="C105" s="14">
        <v>45460.0</v>
      </c>
      <c r="D105" s="15" t="s">
        <v>25</v>
      </c>
      <c r="E105" s="16">
        <v>5.4</v>
      </c>
      <c r="F105" s="15" t="s">
        <v>27</v>
      </c>
      <c r="G105" s="17">
        <v>1.0</v>
      </c>
      <c r="H105" s="18" t="s">
        <v>23</v>
      </c>
      <c r="I105" s="19">
        <v>9.876</v>
      </c>
      <c r="J105" s="20">
        <v>654.9901</v>
      </c>
      <c r="K105" s="20">
        <v>3.981</v>
      </c>
      <c r="L105" s="20">
        <v>0.047</v>
      </c>
      <c r="M105" s="21">
        <v>166.08533333333332</v>
      </c>
      <c r="N105" s="21">
        <v>29.272999999999996</v>
      </c>
      <c r="O105" s="21">
        <v>149.60933333333335</v>
      </c>
      <c r="P105" s="21">
        <v>27.229333333333333</v>
      </c>
      <c r="Q105" s="21">
        <v>114.188</v>
      </c>
      <c r="R105" s="21">
        <v>27.959999999999997</v>
      </c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</row>
    <row r="106">
      <c r="A106" s="13" t="s">
        <v>19</v>
      </c>
      <c r="B106" s="13" t="s">
        <v>20</v>
      </c>
      <c r="C106" s="14">
        <v>45460.0</v>
      </c>
      <c r="D106" s="15" t="s">
        <v>25</v>
      </c>
      <c r="E106" s="16">
        <v>6.1</v>
      </c>
      <c r="F106" s="15" t="s">
        <v>27</v>
      </c>
      <c r="G106" s="17">
        <v>1.0</v>
      </c>
      <c r="H106" s="18" t="s">
        <v>23</v>
      </c>
      <c r="I106" s="19">
        <v>9.59</v>
      </c>
      <c r="J106" s="20">
        <v>690.9385</v>
      </c>
      <c r="K106" s="20">
        <v>4.979</v>
      </c>
      <c r="L106" s="20">
        <v>0.04</v>
      </c>
      <c r="M106" s="21">
        <v>161.79733333333334</v>
      </c>
      <c r="N106" s="21">
        <v>28.480999999999998</v>
      </c>
      <c r="O106" s="21">
        <v>146.55633333333333</v>
      </c>
      <c r="P106" s="21">
        <v>30.659666666666666</v>
      </c>
      <c r="Q106" s="21">
        <v>113.14266666666667</v>
      </c>
      <c r="R106" s="21">
        <v>35.602666666666664</v>
      </c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/>
      <c r="AE106" s="22"/>
      <c r="AF106" s="22"/>
      <c r="AG106" s="22"/>
      <c r="AH106" s="22"/>
      <c r="AI106" s="22"/>
      <c r="AJ106" s="22"/>
      <c r="AK106" s="22"/>
      <c r="AL106" s="22"/>
    </row>
    <row r="107">
      <c r="A107" s="13" t="s">
        <v>19</v>
      </c>
      <c r="B107" s="13" t="s">
        <v>20</v>
      </c>
      <c r="C107" s="14">
        <v>45460.0</v>
      </c>
      <c r="D107" s="15" t="s">
        <v>25</v>
      </c>
      <c r="E107" s="16">
        <v>6.2</v>
      </c>
      <c r="F107" s="15" t="s">
        <v>27</v>
      </c>
      <c r="G107" s="17">
        <v>1.0</v>
      </c>
      <c r="H107" s="18" t="s">
        <v>23</v>
      </c>
      <c r="I107" s="19">
        <v>13.42</v>
      </c>
      <c r="J107" s="20">
        <v>630.7139</v>
      </c>
      <c r="K107" s="20">
        <v>5.472</v>
      </c>
      <c r="L107" s="20">
        <v>0.009</v>
      </c>
      <c r="M107" s="21">
        <v>159.33466666666666</v>
      </c>
      <c r="N107" s="21">
        <v>27.717333333333332</v>
      </c>
      <c r="O107" s="21">
        <v>133.98666666666668</v>
      </c>
      <c r="P107" s="21">
        <v>29.572333333333333</v>
      </c>
      <c r="Q107" s="21">
        <v>111.06066666666668</v>
      </c>
      <c r="R107" s="21">
        <v>32.105</v>
      </c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/>
      <c r="AE107" s="22"/>
      <c r="AF107" s="22"/>
      <c r="AG107" s="22"/>
      <c r="AH107" s="22"/>
      <c r="AI107" s="22"/>
      <c r="AJ107" s="22"/>
      <c r="AK107" s="22"/>
      <c r="AL107" s="22"/>
    </row>
    <row r="108">
      <c r="A108" s="13" t="s">
        <v>19</v>
      </c>
      <c r="B108" s="13" t="s">
        <v>20</v>
      </c>
      <c r="C108" s="14">
        <v>45460.0</v>
      </c>
      <c r="D108" s="15" t="s">
        <v>25</v>
      </c>
      <c r="E108" s="16">
        <v>6.3</v>
      </c>
      <c r="F108" s="15" t="s">
        <v>27</v>
      </c>
      <c r="G108" s="17">
        <v>1.0</v>
      </c>
      <c r="H108" s="18" t="s">
        <v>23</v>
      </c>
      <c r="I108" s="19">
        <v>11.964</v>
      </c>
      <c r="J108" s="20">
        <v>708.0254</v>
      </c>
      <c r="K108" s="20">
        <v>5.633</v>
      </c>
      <c r="L108" s="20">
        <v>0.036</v>
      </c>
      <c r="M108" s="21">
        <v>148.29266666666666</v>
      </c>
      <c r="N108" s="21">
        <v>31.229000000000003</v>
      </c>
      <c r="O108" s="21">
        <v>132.114</v>
      </c>
      <c r="P108" s="21">
        <v>33.885999999999996</v>
      </c>
      <c r="Q108" s="21">
        <v>84.41866666666667</v>
      </c>
      <c r="R108" s="21">
        <v>37.88933333333333</v>
      </c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/>
      <c r="AE108" s="22"/>
      <c r="AF108" s="22"/>
      <c r="AG108" s="22"/>
      <c r="AH108" s="22"/>
      <c r="AI108" s="22"/>
      <c r="AJ108" s="22"/>
      <c r="AK108" s="22"/>
      <c r="AL108" s="22"/>
    </row>
    <row r="109">
      <c r="A109" s="13" t="s">
        <v>19</v>
      </c>
      <c r="B109" s="13" t="s">
        <v>20</v>
      </c>
      <c r="C109" s="14">
        <v>45460.0</v>
      </c>
      <c r="D109" s="15" t="s">
        <v>25</v>
      </c>
      <c r="E109" s="16">
        <v>6.4</v>
      </c>
      <c r="F109" s="15" t="s">
        <v>27</v>
      </c>
      <c r="G109" s="17">
        <v>1.0</v>
      </c>
      <c r="H109" s="18" t="s">
        <v>23</v>
      </c>
      <c r="I109" s="19">
        <v>13.054</v>
      </c>
      <c r="J109" s="20">
        <v>660.0</v>
      </c>
      <c r="K109" s="20">
        <v>5.055</v>
      </c>
      <c r="L109" s="20">
        <v>0.001</v>
      </c>
      <c r="M109" s="21">
        <v>143.10233333333335</v>
      </c>
      <c r="N109" s="21">
        <v>24.828999999999997</v>
      </c>
      <c r="O109" s="21">
        <v>127.438</v>
      </c>
      <c r="P109" s="21">
        <v>26.005666666666666</v>
      </c>
      <c r="Q109" s="21">
        <v>93.121</v>
      </c>
      <c r="R109" s="21">
        <v>26.642666666666667</v>
      </c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/>
      <c r="AE109" s="22"/>
      <c r="AF109" s="22"/>
      <c r="AG109" s="22"/>
      <c r="AH109" s="22"/>
      <c r="AI109" s="22"/>
      <c r="AJ109" s="22"/>
      <c r="AK109" s="22"/>
      <c r="AL109" s="22"/>
    </row>
    <row r="110">
      <c r="A110" s="13" t="s">
        <v>19</v>
      </c>
      <c r="B110" s="13" t="s">
        <v>20</v>
      </c>
      <c r="C110" s="14">
        <v>45482.0</v>
      </c>
      <c r="D110" s="15" t="s">
        <v>21</v>
      </c>
      <c r="E110" s="16">
        <v>4.1</v>
      </c>
      <c r="F110" s="15" t="s">
        <v>27</v>
      </c>
      <c r="G110" s="17">
        <v>1.0</v>
      </c>
      <c r="H110" s="18" t="s">
        <v>26</v>
      </c>
      <c r="I110" s="19">
        <v>7.8458</v>
      </c>
      <c r="J110" s="25">
        <v>975.0</v>
      </c>
      <c r="K110" s="25">
        <v>2.831</v>
      </c>
      <c r="L110" s="25">
        <v>0.032</v>
      </c>
      <c r="M110" s="21">
        <v>150.64833333333334</v>
      </c>
      <c r="N110" s="21">
        <v>30.60966666666667</v>
      </c>
      <c r="O110" s="21">
        <v>129.67433333333335</v>
      </c>
      <c r="P110" s="21">
        <v>36.281333333333336</v>
      </c>
      <c r="Q110" s="21">
        <v>85.47166666666668</v>
      </c>
      <c r="R110" s="21">
        <v>42.111333333333334</v>
      </c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/>
      <c r="AE110" s="22"/>
      <c r="AF110" s="22"/>
      <c r="AG110" s="22"/>
      <c r="AH110" s="22"/>
      <c r="AI110" s="22"/>
      <c r="AJ110" s="22"/>
      <c r="AK110" s="22"/>
      <c r="AL110" s="22"/>
    </row>
    <row r="111">
      <c r="A111" s="13" t="s">
        <v>19</v>
      </c>
      <c r="B111" s="13" t="s">
        <v>20</v>
      </c>
      <c r="C111" s="14">
        <v>45482.0</v>
      </c>
      <c r="D111" s="15" t="s">
        <v>21</v>
      </c>
      <c r="E111" s="16">
        <v>4.2</v>
      </c>
      <c r="F111" s="15" t="s">
        <v>27</v>
      </c>
      <c r="G111" s="17">
        <v>1.0</v>
      </c>
      <c r="H111" s="18" t="s">
        <v>26</v>
      </c>
      <c r="I111" s="16">
        <v>8.1645</v>
      </c>
      <c r="J111" s="25">
        <v>1098.4958</v>
      </c>
      <c r="K111" s="25">
        <v>3.575</v>
      </c>
      <c r="L111" s="25">
        <v>0.047</v>
      </c>
      <c r="M111" s="21">
        <v>134.46099999999998</v>
      </c>
      <c r="N111" s="21">
        <v>36.6875</v>
      </c>
      <c r="O111" s="21">
        <v>107.56433333333332</v>
      </c>
      <c r="P111" s="21">
        <v>37.711666666666666</v>
      </c>
      <c r="Q111" s="21">
        <v>66.04366666666667</v>
      </c>
      <c r="R111" s="21">
        <v>34.48133333333333</v>
      </c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/>
      <c r="AE111" s="22"/>
      <c r="AF111" s="22"/>
      <c r="AG111" s="22"/>
      <c r="AH111" s="22"/>
      <c r="AI111" s="22"/>
      <c r="AJ111" s="22"/>
      <c r="AK111" s="22"/>
      <c r="AL111" s="22"/>
    </row>
    <row r="112">
      <c r="A112" s="13" t="s">
        <v>19</v>
      </c>
      <c r="B112" s="13" t="s">
        <v>20</v>
      </c>
      <c r="C112" s="14">
        <v>45482.0</v>
      </c>
      <c r="D112" s="15" t="s">
        <v>21</v>
      </c>
      <c r="E112" s="16">
        <v>4.3</v>
      </c>
      <c r="F112" s="15" t="s">
        <v>27</v>
      </c>
      <c r="G112" s="17">
        <v>1.0</v>
      </c>
      <c r="H112" s="18" t="s">
        <v>26</v>
      </c>
      <c r="I112" s="19">
        <v>7.8418</v>
      </c>
      <c r="J112" s="25">
        <v>958.5223</v>
      </c>
      <c r="K112" s="25">
        <v>2.041</v>
      </c>
      <c r="L112" s="25">
        <v>0.008</v>
      </c>
      <c r="M112" s="21">
        <v>153.692</v>
      </c>
      <c r="N112" s="21">
        <v>28.785666666666668</v>
      </c>
      <c r="O112" s="21">
        <v>124.05166666666666</v>
      </c>
      <c r="P112" s="21">
        <v>32.178666666666665</v>
      </c>
      <c r="Q112" s="21">
        <v>69.78133333333334</v>
      </c>
      <c r="R112" s="21">
        <v>30.439333333333334</v>
      </c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</row>
    <row r="113">
      <c r="A113" s="13" t="s">
        <v>19</v>
      </c>
      <c r="B113" s="13" t="s">
        <v>20</v>
      </c>
      <c r="C113" s="14">
        <v>45482.0</v>
      </c>
      <c r="D113" s="15" t="s">
        <v>21</v>
      </c>
      <c r="E113" s="16">
        <v>4.4</v>
      </c>
      <c r="F113" s="15" t="s">
        <v>27</v>
      </c>
      <c r="G113" s="17">
        <v>1.0</v>
      </c>
      <c r="H113" s="18" t="s">
        <v>26</v>
      </c>
      <c r="I113" s="19">
        <v>7.3755</v>
      </c>
      <c r="J113" s="25">
        <v>987.114</v>
      </c>
      <c r="K113" s="25">
        <v>1.883</v>
      </c>
      <c r="L113" s="25">
        <v>0.02</v>
      </c>
      <c r="M113" s="21">
        <v>117.49033333333334</v>
      </c>
      <c r="N113" s="21">
        <v>30.733666666666664</v>
      </c>
      <c r="O113" s="21">
        <v>99.82766666666667</v>
      </c>
      <c r="P113" s="21">
        <v>30.68133333333333</v>
      </c>
      <c r="Q113" s="21">
        <v>63.084333333333326</v>
      </c>
      <c r="R113" s="21">
        <v>28.795333333333332</v>
      </c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</row>
    <row r="114">
      <c r="A114" s="13" t="s">
        <v>19</v>
      </c>
      <c r="B114" s="13" t="s">
        <v>20</v>
      </c>
      <c r="C114" s="14">
        <v>45482.0</v>
      </c>
      <c r="D114" s="15" t="s">
        <v>21</v>
      </c>
      <c r="E114" s="16">
        <v>5.1</v>
      </c>
      <c r="F114" s="15" t="s">
        <v>27</v>
      </c>
      <c r="G114" s="17">
        <v>1.0</v>
      </c>
      <c r="H114" s="18" t="s">
        <v>26</v>
      </c>
      <c r="I114" s="19">
        <v>8.6497</v>
      </c>
      <c r="J114" s="25">
        <v>923.5811</v>
      </c>
      <c r="K114" s="25">
        <v>3.194</v>
      </c>
      <c r="L114" s="25">
        <v>0.037</v>
      </c>
      <c r="M114" s="21">
        <v>122.10033333333332</v>
      </c>
      <c r="N114" s="21">
        <v>39.82933333333333</v>
      </c>
      <c r="O114" s="21">
        <v>88.76066666666667</v>
      </c>
      <c r="P114" s="21">
        <v>42.205666666666666</v>
      </c>
      <c r="Q114" s="21">
        <v>50.12533333333332</v>
      </c>
      <c r="R114" s="21">
        <v>33.699333333333335</v>
      </c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/>
      <c r="AE114" s="22"/>
      <c r="AF114" s="22"/>
      <c r="AG114" s="22"/>
      <c r="AH114" s="22"/>
      <c r="AI114" s="22"/>
      <c r="AJ114" s="22"/>
      <c r="AK114" s="22"/>
      <c r="AL114" s="22"/>
    </row>
    <row r="115">
      <c r="A115" s="13" t="s">
        <v>19</v>
      </c>
      <c r="B115" s="13" t="s">
        <v>20</v>
      </c>
      <c r="C115" s="14">
        <v>45482.0</v>
      </c>
      <c r="D115" s="15" t="s">
        <v>21</v>
      </c>
      <c r="E115" s="16">
        <v>5.2</v>
      </c>
      <c r="F115" s="15" t="s">
        <v>27</v>
      </c>
      <c r="G115" s="17">
        <v>1.0</v>
      </c>
      <c r="H115" s="18" t="s">
        <v>26</v>
      </c>
      <c r="I115" s="19">
        <v>9.1212</v>
      </c>
      <c r="J115" s="25">
        <v>804.0503</v>
      </c>
      <c r="K115" s="25">
        <v>3.511</v>
      </c>
      <c r="L115" s="25">
        <v>0.034</v>
      </c>
      <c r="M115" s="21">
        <v>120.728</v>
      </c>
      <c r="N115" s="21">
        <v>44.674</v>
      </c>
      <c r="O115" s="21">
        <v>90.382</v>
      </c>
      <c r="P115" s="21">
        <v>47.75233333333333</v>
      </c>
      <c r="Q115" s="21">
        <v>58.95966666666667</v>
      </c>
      <c r="R115" s="21">
        <v>42.74866666666667</v>
      </c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/>
      <c r="AE115" s="22"/>
      <c r="AF115" s="22"/>
      <c r="AG115" s="22"/>
      <c r="AH115" s="22"/>
      <c r="AI115" s="22"/>
      <c r="AJ115" s="22"/>
      <c r="AK115" s="22"/>
      <c r="AL115" s="22"/>
    </row>
    <row r="116">
      <c r="A116" s="13" t="s">
        <v>19</v>
      </c>
      <c r="B116" s="13" t="s">
        <v>20</v>
      </c>
      <c r="C116" s="14">
        <v>45482.0</v>
      </c>
      <c r="D116" s="15" t="s">
        <v>21</v>
      </c>
      <c r="E116" s="16">
        <v>5.3</v>
      </c>
      <c r="F116" s="15" t="s">
        <v>27</v>
      </c>
      <c r="G116" s="17">
        <v>1.0</v>
      </c>
      <c r="H116" s="18" t="s">
        <v>26</v>
      </c>
      <c r="I116" s="19">
        <v>9.607</v>
      </c>
      <c r="J116" s="25">
        <v>990.3681</v>
      </c>
      <c r="K116" s="25">
        <v>3.701</v>
      </c>
      <c r="L116" s="25">
        <v>0.047</v>
      </c>
      <c r="M116" s="21">
        <v>134.25066666666666</v>
      </c>
      <c r="N116" s="21">
        <v>42.922000000000004</v>
      </c>
      <c r="O116" s="21">
        <v>100.565</v>
      </c>
      <c r="P116" s="21">
        <v>43.89433333333333</v>
      </c>
      <c r="Q116" s="21">
        <v>57.937999999999995</v>
      </c>
      <c r="R116" s="21">
        <v>37.748666666666665</v>
      </c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/>
      <c r="AE116" s="22"/>
      <c r="AF116" s="22"/>
      <c r="AG116" s="22"/>
      <c r="AH116" s="22"/>
      <c r="AI116" s="22"/>
      <c r="AJ116" s="22"/>
      <c r="AK116" s="22"/>
      <c r="AL116" s="22"/>
    </row>
    <row r="117">
      <c r="A117" s="13" t="s">
        <v>19</v>
      </c>
      <c r="B117" s="13" t="s">
        <v>20</v>
      </c>
      <c r="C117" s="14">
        <v>45482.0</v>
      </c>
      <c r="D117" s="15" t="s">
        <v>21</v>
      </c>
      <c r="E117" s="16">
        <v>5.4</v>
      </c>
      <c r="F117" s="15" t="s">
        <v>27</v>
      </c>
      <c r="G117" s="17">
        <v>1.0</v>
      </c>
      <c r="H117" s="18" t="s">
        <v>26</v>
      </c>
      <c r="I117" s="19">
        <v>8.6735</v>
      </c>
      <c r="J117" s="25">
        <v>966.0186</v>
      </c>
      <c r="K117" s="25">
        <v>2.381</v>
      </c>
      <c r="L117" s="25">
        <v>0.027</v>
      </c>
      <c r="M117" s="21">
        <v>110.71833333333332</v>
      </c>
      <c r="N117" s="21">
        <v>39.159666666666666</v>
      </c>
      <c r="O117" s="21">
        <v>89.45800000000001</v>
      </c>
      <c r="P117" s="21">
        <v>41.343333333333334</v>
      </c>
      <c r="Q117" s="21">
        <v>66.40133333333334</v>
      </c>
      <c r="R117" s="21">
        <v>36.343333333333334</v>
      </c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/>
      <c r="AE117" s="22"/>
      <c r="AF117" s="22"/>
      <c r="AG117" s="22"/>
      <c r="AH117" s="22"/>
      <c r="AI117" s="22"/>
      <c r="AJ117" s="22"/>
      <c r="AK117" s="22"/>
      <c r="AL117" s="22"/>
    </row>
    <row r="118">
      <c r="A118" s="13" t="s">
        <v>19</v>
      </c>
      <c r="B118" s="13" t="s">
        <v>20</v>
      </c>
      <c r="C118" s="14">
        <v>45482.0</v>
      </c>
      <c r="D118" s="15" t="s">
        <v>21</v>
      </c>
      <c r="E118" s="16">
        <v>6.1</v>
      </c>
      <c r="F118" s="15" t="s">
        <v>27</v>
      </c>
      <c r="G118" s="17">
        <v>1.0</v>
      </c>
      <c r="H118" s="18" t="s">
        <v>26</v>
      </c>
      <c r="I118" s="19">
        <v>8.4517</v>
      </c>
      <c r="J118" s="25">
        <v>1029.4328</v>
      </c>
      <c r="K118" s="25">
        <v>2.692</v>
      </c>
      <c r="L118" s="25">
        <v>0.018</v>
      </c>
      <c r="M118" s="21">
        <v>132.83866666666668</v>
      </c>
      <c r="N118" s="21">
        <v>39.844</v>
      </c>
      <c r="O118" s="21">
        <v>102.158</v>
      </c>
      <c r="P118" s="21">
        <v>42.062666666666665</v>
      </c>
      <c r="Q118" s="21">
        <v>55.248333333333335</v>
      </c>
      <c r="R118" s="21">
        <v>36.834</v>
      </c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/>
      <c r="AE118" s="22"/>
      <c r="AF118" s="22"/>
      <c r="AG118" s="22"/>
      <c r="AH118" s="22"/>
      <c r="AI118" s="22"/>
      <c r="AJ118" s="22"/>
      <c r="AK118" s="22"/>
      <c r="AL118" s="22"/>
    </row>
    <row r="119">
      <c r="A119" s="13" t="s">
        <v>19</v>
      </c>
      <c r="B119" s="13" t="s">
        <v>20</v>
      </c>
      <c r="C119" s="14">
        <v>45482.0</v>
      </c>
      <c r="D119" s="15" t="s">
        <v>21</v>
      </c>
      <c r="E119" s="16">
        <v>6.2</v>
      </c>
      <c r="F119" s="15" t="s">
        <v>27</v>
      </c>
      <c r="G119" s="17">
        <v>1.0</v>
      </c>
      <c r="H119" s="18" t="s">
        <v>26</v>
      </c>
      <c r="I119" s="19">
        <v>7.6445</v>
      </c>
      <c r="J119" s="25">
        <v>1149.7674</v>
      </c>
      <c r="K119" s="25">
        <v>1.863</v>
      </c>
      <c r="L119" s="25">
        <v>0.005</v>
      </c>
      <c r="M119" s="21">
        <v>149.73133333333337</v>
      </c>
      <c r="N119" s="21">
        <v>34.559</v>
      </c>
      <c r="O119" s="21">
        <v>117.76733333333334</v>
      </c>
      <c r="P119" s="21">
        <v>37.900666666666666</v>
      </c>
      <c r="Q119" s="21">
        <v>61.29</v>
      </c>
      <c r="R119" s="21">
        <v>34.711666666666666</v>
      </c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</row>
    <row r="120">
      <c r="A120" s="13" t="s">
        <v>19</v>
      </c>
      <c r="B120" s="13" t="s">
        <v>20</v>
      </c>
      <c r="C120" s="14">
        <v>45482.0</v>
      </c>
      <c r="D120" s="15" t="s">
        <v>21</v>
      </c>
      <c r="E120" s="16">
        <v>6.3</v>
      </c>
      <c r="F120" s="15" t="s">
        <v>27</v>
      </c>
      <c r="G120" s="17">
        <v>1.0</v>
      </c>
      <c r="H120" s="18" t="s">
        <v>26</v>
      </c>
      <c r="I120" s="19">
        <v>8.1226</v>
      </c>
      <c r="J120" s="25">
        <v>954.0189</v>
      </c>
      <c r="K120" s="25">
        <v>2.433</v>
      </c>
      <c r="L120" s="25">
        <v>0.026</v>
      </c>
      <c r="M120" s="21">
        <v>138.685</v>
      </c>
      <c r="N120" s="21">
        <v>34.904</v>
      </c>
      <c r="O120" s="21">
        <v>109.88799999999999</v>
      </c>
      <c r="P120" s="21">
        <v>36.64</v>
      </c>
      <c r="Q120" s="21">
        <v>59.67666666666667</v>
      </c>
      <c r="R120" s="21">
        <v>34.162</v>
      </c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/>
      <c r="AE120" s="22"/>
      <c r="AF120" s="22"/>
      <c r="AG120" s="22"/>
      <c r="AH120" s="22"/>
      <c r="AI120" s="22"/>
      <c r="AJ120" s="22"/>
      <c r="AK120" s="22"/>
      <c r="AL120" s="22"/>
    </row>
    <row r="121">
      <c r="A121" s="13" t="s">
        <v>19</v>
      </c>
      <c r="B121" s="13" t="s">
        <v>20</v>
      </c>
      <c r="C121" s="14">
        <v>45482.0</v>
      </c>
      <c r="D121" s="15" t="s">
        <v>21</v>
      </c>
      <c r="E121" s="16">
        <v>6.4</v>
      </c>
      <c r="F121" s="15" t="s">
        <v>27</v>
      </c>
      <c r="G121" s="17">
        <v>1.0</v>
      </c>
      <c r="H121" s="18" t="s">
        <v>26</v>
      </c>
      <c r="I121" s="19">
        <v>7.7438</v>
      </c>
      <c r="J121" s="25">
        <v>990.0727</v>
      </c>
      <c r="K121" s="25">
        <v>2.204</v>
      </c>
      <c r="L121" s="25">
        <v>0.025</v>
      </c>
      <c r="M121" s="21">
        <v>138.14933333333332</v>
      </c>
      <c r="N121" s="21">
        <v>36.49333333333333</v>
      </c>
      <c r="O121" s="21">
        <v>114.03633333333335</v>
      </c>
      <c r="P121" s="21">
        <v>37.22666666666667</v>
      </c>
      <c r="Q121" s="21">
        <v>62.135333333333335</v>
      </c>
      <c r="R121" s="21">
        <v>35.97566666666667</v>
      </c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/>
      <c r="AE121" s="22"/>
      <c r="AF121" s="22"/>
      <c r="AG121" s="22"/>
      <c r="AH121" s="22"/>
      <c r="AI121" s="22"/>
      <c r="AJ121" s="22"/>
      <c r="AK121" s="22"/>
      <c r="AL121" s="22"/>
    </row>
    <row r="122">
      <c r="A122" s="13" t="s">
        <v>19</v>
      </c>
      <c r="B122" s="13" t="s">
        <v>20</v>
      </c>
      <c r="C122" s="14">
        <v>45482.0</v>
      </c>
      <c r="D122" s="15" t="s">
        <v>24</v>
      </c>
      <c r="E122" s="16">
        <v>4.1</v>
      </c>
      <c r="F122" s="15" t="s">
        <v>27</v>
      </c>
      <c r="G122" s="17">
        <v>1.0</v>
      </c>
      <c r="H122" s="18" t="s">
        <v>26</v>
      </c>
      <c r="I122" s="19">
        <v>11.2026</v>
      </c>
      <c r="J122" s="25">
        <v>807.2732</v>
      </c>
      <c r="K122" s="25">
        <v>7.225</v>
      </c>
      <c r="L122" s="25">
        <v>0.077</v>
      </c>
      <c r="M122" s="21">
        <v>155.16633333333334</v>
      </c>
      <c r="N122" s="21">
        <v>30.836666666666662</v>
      </c>
      <c r="O122" s="21">
        <v>123.46100000000001</v>
      </c>
      <c r="P122" s="21">
        <v>25.919</v>
      </c>
      <c r="Q122" s="21">
        <v>71.759</v>
      </c>
      <c r="R122" s="21">
        <v>31.145333333333337</v>
      </c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/>
      <c r="AE122" s="22"/>
      <c r="AF122" s="22"/>
      <c r="AG122" s="22"/>
      <c r="AH122" s="22"/>
      <c r="AI122" s="22"/>
      <c r="AJ122" s="22"/>
      <c r="AK122" s="22"/>
      <c r="AL122" s="22"/>
    </row>
    <row r="123">
      <c r="A123" s="13" t="s">
        <v>19</v>
      </c>
      <c r="B123" s="13" t="s">
        <v>20</v>
      </c>
      <c r="C123" s="14">
        <v>45482.0</v>
      </c>
      <c r="D123" s="15" t="s">
        <v>24</v>
      </c>
      <c r="E123" s="16">
        <v>4.2</v>
      </c>
      <c r="F123" s="15" t="s">
        <v>27</v>
      </c>
      <c r="G123" s="17">
        <v>1.0</v>
      </c>
      <c r="H123" s="18" t="s">
        <v>26</v>
      </c>
      <c r="I123" s="19">
        <v>11.998</v>
      </c>
      <c r="J123" s="25">
        <v>723.056</v>
      </c>
      <c r="K123" s="25">
        <v>6.644</v>
      </c>
      <c r="L123" s="25">
        <v>0.019</v>
      </c>
      <c r="M123" s="21">
        <v>171.242</v>
      </c>
      <c r="N123" s="21">
        <v>29.638</v>
      </c>
      <c r="O123" s="21">
        <v>143.92766666666668</v>
      </c>
      <c r="P123" s="21">
        <v>22.307</v>
      </c>
      <c r="Q123" s="21">
        <v>95.008</v>
      </c>
      <c r="R123" s="21">
        <v>29.13966666666667</v>
      </c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/>
      <c r="AE123" s="22"/>
      <c r="AF123" s="22"/>
      <c r="AG123" s="22"/>
      <c r="AH123" s="22"/>
      <c r="AI123" s="22"/>
      <c r="AJ123" s="22"/>
      <c r="AK123" s="22"/>
      <c r="AL123" s="22"/>
    </row>
    <row r="124">
      <c r="A124" s="13" t="s">
        <v>19</v>
      </c>
      <c r="B124" s="13" t="s">
        <v>20</v>
      </c>
      <c r="C124" s="14">
        <v>45482.0</v>
      </c>
      <c r="D124" s="15" t="s">
        <v>24</v>
      </c>
      <c r="E124" s="16">
        <v>4.3</v>
      </c>
      <c r="F124" s="15" t="s">
        <v>27</v>
      </c>
      <c r="G124" s="17">
        <v>1.0</v>
      </c>
      <c r="H124" s="18" t="s">
        <v>26</v>
      </c>
      <c r="I124" s="19">
        <v>12.3529</v>
      </c>
      <c r="J124" s="25">
        <v>814.0842</v>
      </c>
      <c r="K124" s="25">
        <v>6.571</v>
      </c>
      <c r="L124" s="25">
        <v>0.029</v>
      </c>
      <c r="M124" s="21">
        <v>155.16233333333332</v>
      </c>
      <c r="N124" s="21">
        <v>32.736666666666665</v>
      </c>
      <c r="O124" s="21">
        <v>118.36333333333334</v>
      </c>
      <c r="P124" s="21">
        <v>22.143666666666665</v>
      </c>
      <c r="Q124" s="21">
        <v>66.25833333333333</v>
      </c>
      <c r="R124" s="21">
        <v>25.35366666666667</v>
      </c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/>
      <c r="AE124" s="22"/>
      <c r="AF124" s="22"/>
      <c r="AG124" s="22"/>
      <c r="AH124" s="22"/>
      <c r="AI124" s="22"/>
      <c r="AJ124" s="22"/>
      <c r="AK124" s="22"/>
      <c r="AL124" s="22"/>
    </row>
    <row r="125">
      <c r="A125" s="13" t="s">
        <v>19</v>
      </c>
      <c r="B125" s="13" t="s">
        <v>20</v>
      </c>
      <c r="C125" s="14">
        <v>45482.0</v>
      </c>
      <c r="D125" s="15" t="s">
        <v>24</v>
      </c>
      <c r="E125" s="16">
        <v>4.4</v>
      </c>
      <c r="F125" s="15" t="s">
        <v>27</v>
      </c>
      <c r="G125" s="17">
        <v>1.0</v>
      </c>
      <c r="H125" s="18" t="s">
        <v>26</v>
      </c>
      <c r="I125" s="19">
        <v>12.0233</v>
      </c>
      <c r="J125" s="25">
        <v>694.0641</v>
      </c>
      <c r="K125" s="25">
        <v>6.383</v>
      </c>
      <c r="L125" s="25">
        <v>0.042</v>
      </c>
      <c r="M125" s="21">
        <v>143.29266666666666</v>
      </c>
      <c r="N125" s="21">
        <v>17.667</v>
      </c>
      <c r="O125" s="21">
        <v>116.16366666666666</v>
      </c>
      <c r="P125" s="21">
        <v>21.798333333333336</v>
      </c>
      <c r="Q125" s="21">
        <v>73.32133333333334</v>
      </c>
      <c r="R125" s="21">
        <v>26.364</v>
      </c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/>
      <c r="AE125" s="22"/>
      <c r="AF125" s="22"/>
      <c r="AG125" s="22"/>
      <c r="AH125" s="22"/>
      <c r="AI125" s="22"/>
      <c r="AJ125" s="22"/>
      <c r="AK125" s="22"/>
      <c r="AL125" s="22"/>
    </row>
    <row r="126">
      <c r="A126" s="13" t="s">
        <v>19</v>
      </c>
      <c r="B126" s="13" t="s">
        <v>20</v>
      </c>
      <c r="C126" s="14">
        <v>45482.0</v>
      </c>
      <c r="D126" s="15" t="s">
        <v>24</v>
      </c>
      <c r="E126" s="16">
        <v>5.1</v>
      </c>
      <c r="F126" s="15" t="s">
        <v>27</v>
      </c>
      <c r="G126" s="17">
        <v>1.0</v>
      </c>
      <c r="H126" s="18" t="s">
        <v>26</v>
      </c>
      <c r="I126" s="19">
        <v>9.4545</v>
      </c>
      <c r="J126" s="25">
        <v>812.0739</v>
      </c>
      <c r="K126" s="25">
        <v>5.322</v>
      </c>
      <c r="L126" s="25">
        <v>0.013</v>
      </c>
      <c r="M126" s="21">
        <v>162.41599999999997</v>
      </c>
      <c r="N126" s="21">
        <v>24.941666666666663</v>
      </c>
      <c r="O126" s="21">
        <v>139.84733333333335</v>
      </c>
      <c r="P126" s="21">
        <v>21.54433333333333</v>
      </c>
      <c r="Q126" s="21">
        <v>94.87166666666667</v>
      </c>
      <c r="R126" s="21">
        <v>26.266000000000002</v>
      </c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22"/>
      <c r="AK126" s="22"/>
      <c r="AL126" s="22"/>
    </row>
    <row r="127">
      <c r="A127" s="13" t="s">
        <v>19</v>
      </c>
      <c r="B127" s="13" t="s">
        <v>20</v>
      </c>
      <c r="C127" s="14">
        <v>45482.0</v>
      </c>
      <c r="D127" s="15" t="s">
        <v>24</v>
      </c>
      <c r="E127" s="16">
        <v>5.2</v>
      </c>
      <c r="F127" s="15" t="s">
        <v>27</v>
      </c>
      <c r="G127" s="17">
        <v>1.0</v>
      </c>
      <c r="H127" s="18" t="s">
        <v>26</v>
      </c>
      <c r="I127" s="19">
        <v>8.6177</v>
      </c>
      <c r="J127" s="25">
        <v>897.1806</v>
      </c>
      <c r="K127" s="25">
        <v>3.66</v>
      </c>
      <c r="L127" s="25">
        <v>0.017</v>
      </c>
      <c r="M127" s="21">
        <v>143.1</v>
      </c>
      <c r="N127" s="21">
        <v>19.893</v>
      </c>
      <c r="O127" s="21">
        <v>123.17199999999998</v>
      </c>
      <c r="P127" s="21">
        <v>22.298666666666666</v>
      </c>
      <c r="Q127" s="21">
        <v>73.90166666666666</v>
      </c>
      <c r="R127" s="21">
        <v>25.164666666666665</v>
      </c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/>
      <c r="AE127" s="22"/>
      <c r="AF127" s="22"/>
      <c r="AG127" s="22"/>
      <c r="AH127" s="22"/>
      <c r="AI127" s="22"/>
      <c r="AJ127" s="22"/>
      <c r="AK127" s="22"/>
      <c r="AL127" s="22"/>
    </row>
    <row r="128">
      <c r="A128" s="13" t="s">
        <v>19</v>
      </c>
      <c r="B128" s="13" t="s">
        <v>20</v>
      </c>
      <c r="C128" s="14">
        <v>45482.0</v>
      </c>
      <c r="D128" s="15" t="s">
        <v>24</v>
      </c>
      <c r="E128" s="16">
        <v>5.3</v>
      </c>
      <c r="F128" s="15" t="s">
        <v>27</v>
      </c>
      <c r="G128" s="17">
        <v>1.0</v>
      </c>
      <c r="H128" s="18" t="s">
        <v>26</v>
      </c>
      <c r="I128" s="19">
        <v>9.0098</v>
      </c>
      <c r="J128" s="25">
        <v>808.6544</v>
      </c>
      <c r="K128" s="25">
        <v>3.839</v>
      </c>
      <c r="L128" s="25">
        <v>0.022</v>
      </c>
      <c r="M128" s="21">
        <v>157.94500000000002</v>
      </c>
      <c r="N128" s="21">
        <v>19.816</v>
      </c>
      <c r="O128" s="21">
        <v>138.36266666666668</v>
      </c>
      <c r="P128" s="21">
        <v>22.104</v>
      </c>
      <c r="Q128" s="21">
        <v>96.37966666666667</v>
      </c>
      <c r="R128" s="21">
        <v>25.00933333333333</v>
      </c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/>
      <c r="AE128" s="22"/>
      <c r="AF128" s="22"/>
      <c r="AG128" s="22"/>
      <c r="AH128" s="22"/>
      <c r="AI128" s="22"/>
      <c r="AJ128" s="22"/>
      <c r="AK128" s="22"/>
      <c r="AL128" s="22"/>
    </row>
    <row r="129">
      <c r="A129" s="13" t="s">
        <v>19</v>
      </c>
      <c r="B129" s="13" t="s">
        <v>20</v>
      </c>
      <c r="C129" s="14">
        <v>45482.0</v>
      </c>
      <c r="D129" s="15" t="s">
        <v>24</v>
      </c>
      <c r="E129" s="16">
        <v>5.4</v>
      </c>
      <c r="F129" s="15" t="s">
        <v>27</v>
      </c>
      <c r="G129" s="17">
        <v>1.0</v>
      </c>
      <c r="H129" s="18" t="s">
        <v>26</v>
      </c>
      <c r="I129" s="19">
        <v>9.2022</v>
      </c>
      <c r="J129" s="25">
        <v>830.2602</v>
      </c>
      <c r="K129" s="25">
        <v>4.017</v>
      </c>
      <c r="L129" s="25">
        <v>0.015</v>
      </c>
      <c r="M129" s="21">
        <v>128.08966666666666</v>
      </c>
      <c r="N129" s="21">
        <v>22.040666666666667</v>
      </c>
      <c r="O129" s="21">
        <v>109.86966666666666</v>
      </c>
      <c r="P129" s="21">
        <v>26.782333333333337</v>
      </c>
      <c r="Q129" s="21">
        <v>71.49733333333334</v>
      </c>
      <c r="R129" s="21">
        <v>32.84633333333334</v>
      </c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/>
      <c r="AE129" s="22"/>
      <c r="AF129" s="22"/>
      <c r="AG129" s="22"/>
      <c r="AH129" s="22"/>
      <c r="AI129" s="22"/>
      <c r="AJ129" s="22"/>
      <c r="AK129" s="22"/>
      <c r="AL129" s="22"/>
    </row>
    <row r="130">
      <c r="A130" s="13" t="s">
        <v>19</v>
      </c>
      <c r="B130" s="13" t="s">
        <v>20</v>
      </c>
      <c r="C130" s="14">
        <v>45482.0</v>
      </c>
      <c r="D130" s="15" t="s">
        <v>24</v>
      </c>
      <c r="E130" s="16">
        <v>6.1</v>
      </c>
      <c r="F130" s="15" t="s">
        <v>27</v>
      </c>
      <c r="G130" s="17">
        <v>1.0</v>
      </c>
      <c r="H130" s="18" t="s">
        <v>26</v>
      </c>
      <c r="I130" s="19">
        <v>11.0545</v>
      </c>
      <c r="J130" s="25">
        <v>846.0479</v>
      </c>
      <c r="K130" s="25">
        <v>5.497</v>
      </c>
      <c r="L130" s="25">
        <v>0.014</v>
      </c>
      <c r="M130" s="21">
        <v>151.42133333333334</v>
      </c>
      <c r="N130" s="21">
        <v>19.739</v>
      </c>
      <c r="O130" s="21">
        <v>130.43666666666664</v>
      </c>
      <c r="P130" s="21">
        <v>20.661</v>
      </c>
      <c r="Q130" s="21">
        <v>90.45666666666666</v>
      </c>
      <c r="R130" s="21">
        <v>28.665333333333333</v>
      </c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/>
      <c r="AE130" s="22"/>
      <c r="AF130" s="22"/>
      <c r="AG130" s="22"/>
      <c r="AH130" s="22"/>
      <c r="AI130" s="22"/>
      <c r="AJ130" s="22"/>
      <c r="AK130" s="22"/>
      <c r="AL130" s="22"/>
    </row>
    <row r="131">
      <c r="A131" s="13" t="s">
        <v>19</v>
      </c>
      <c r="B131" s="13" t="s">
        <v>20</v>
      </c>
      <c r="C131" s="14">
        <v>45482.0</v>
      </c>
      <c r="D131" s="15" t="s">
        <v>24</v>
      </c>
      <c r="E131" s="16">
        <v>6.2</v>
      </c>
      <c r="F131" s="15" t="s">
        <v>27</v>
      </c>
      <c r="G131" s="17">
        <v>1.0</v>
      </c>
      <c r="H131" s="18" t="s">
        <v>26</v>
      </c>
      <c r="I131" s="19">
        <v>10.5511</v>
      </c>
      <c r="J131" s="25">
        <v>841.0494</v>
      </c>
      <c r="K131" s="25">
        <v>5.65</v>
      </c>
      <c r="L131" s="25">
        <v>0.029</v>
      </c>
      <c r="M131" s="21">
        <v>159.485</v>
      </c>
      <c r="N131" s="21">
        <v>21.319</v>
      </c>
      <c r="O131" s="21">
        <v>133.74633333333333</v>
      </c>
      <c r="P131" s="21">
        <v>21.033666666666665</v>
      </c>
      <c r="Q131" s="21">
        <v>85.85700000000001</v>
      </c>
      <c r="R131" s="21">
        <v>28.999666666666666</v>
      </c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/>
      <c r="AE131" s="22"/>
      <c r="AF131" s="22"/>
      <c r="AG131" s="22"/>
      <c r="AH131" s="22"/>
      <c r="AI131" s="22"/>
      <c r="AJ131" s="22"/>
      <c r="AK131" s="22"/>
      <c r="AL131" s="22"/>
    </row>
    <row r="132">
      <c r="A132" s="13" t="s">
        <v>19</v>
      </c>
      <c r="B132" s="13" t="s">
        <v>20</v>
      </c>
      <c r="C132" s="14">
        <v>45482.0</v>
      </c>
      <c r="D132" s="15" t="s">
        <v>24</v>
      </c>
      <c r="E132" s="16">
        <v>6.3</v>
      </c>
      <c r="F132" s="15" t="s">
        <v>27</v>
      </c>
      <c r="G132" s="17">
        <v>1.0</v>
      </c>
      <c r="H132" s="18" t="s">
        <v>26</v>
      </c>
      <c r="I132" s="19">
        <v>10.5282</v>
      </c>
      <c r="J132" s="25">
        <v>735.6766</v>
      </c>
      <c r="K132" s="25">
        <v>6.03</v>
      </c>
      <c r="L132" s="25">
        <v>0.014</v>
      </c>
      <c r="M132" s="21">
        <v>174.91933333333336</v>
      </c>
      <c r="N132" s="21">
        <v>24.322666666666667</v>
      </c>
      <c r="O132" s="21">
        <v>147.28566666666669</v>
      </c>
      <c r="P132" s="21">
        <v>18.538333333333334</v>
      </c>
      <c r="Q132" s="21">
        <v>95.25099999999999</v>
      </c>
      <c r="R132" s="21">
        <v>24.226666666666663</v>
      </c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/>
      <c r="AE132" s="22"/>
      <c r="AF132" s="22"/>
      <c r="AG132" s="22"/>
      <c r="AH132" s="22"/>
      <c r="AI132" s="22"/>
      <c r="AJ132" s="22"/>
      <c r="AK132" s="22"/>
      <c r="AL132" s="22"/>
    </row>
    <row r="133">
      <c r="A133" s="13" t="s">
        <v>19</v>
      </c>
      <c r="B133" s="13" t="s">
        <v>20</v>
      </c>
      <c r="C133" s="14">
        <v>45482.0</v>
      </c>
      <c r="D133" s="15" t="s">
        <v>24</v>
      </c>
      <c r="E133" s="16">
        <v>6.4</v>
      </c>
      <c r="F133" s="15" t="s">
        <v>27</v>
      </c>
      <c r="G133" s="17">
        <v>1.0</v>
      </c>
      <c r="H133" s="18" t="s">
        <v>26</v>
      </c>
      <c r="I133" s="19">
        <v>10.0715</v>
      </c>
      <c r="J133" s="25">
        <v>822.0024</v>
      </c>
      <c r="K133" s="25">
        <v>5.155</v>
      </c>
      <c r="L133" s="25">
        <v>0.014</v>
      </c>
      <c r="M133" s="21">
        <v>150.07233333333332</v>
      </c>
      <c r="N133" s="21">
        <v>21.99266666666667</v>
      </c>
      <c r="O133" s="21">
        <v>128.90866666666668</v>
      </c>
      <c r="P133" s="21">
        <v>25.88733333333333</v>
      </c>
      <c r="Q133" s="21">
        <v>94.29433333333333</v>
      </c>
      <c r="R133" s="21">
        <v>36.42933333333334</v>
      </c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22"/>
      <c r="AK133" s="22"/>
      <c r="AL133" s="22"/>
    </row>
    <row r="134">
      <c r="A134" s="13" t="s">
        <v>19</v>
      </c>
      <c r="B134" s="13" t="s">
        <v>20</v>
      </c>
      <c r="C134" s="14">
        <v>45482.0</v>
      </c>
      <c r="D134" s="15" t="s">
        <v>25</v>
      </c>
      <c r="E134" s="16">
        <v>4.1</v>
      </c>
      <c r="F134" s="15" t="s">
        <v>27</v>
      </c>
      <c r="G134" s="17">
        <v>1.0</v>
      </c>
      <c r="H134" s="18" t="s">
        <v>26</v>
      </c>
      <c r="I134" s="19">
        <v>11.1894</v>
      </c>
      <c r="J134" s="25">
        <v>738.3901</v>
      </c>
      <c r="K134" s="25">
        <v>6.371</v>
      </c>
      <c r="L134" s="25">
        <v>0.031</v>
      </c>
      <c r="M134" s="21">
        <v>127.66966666666667</v>
      </c>
      <c r="N134" s="21">
        <v>33.197333333333326</v>
      </c>
      <c r="O134" s="21">
        <v>110.10033333333335</v>
      </c>
      <c r="P134" s="21">
        <v>35.532</v>
      </c>
      <c r="Q134" s="21">
        <v>61.84966666666667</v>
      </c>
      <c r="R134" s="21">
        <v>34.366</v>
      </c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/>
      <c r="AE134" s="22"/>
      <c r="AF134" s="22"/>
      <c r="AG134" s="22"/>
      <c r="AH134" s="22"/>
      <c r="AI134" s="22"/>
      <c r="AJ134" s="22"/>
      <c r="AK134" s="22"/>
      <c r="AL134" s="22"/>
    </row>
    <row r="135">
      <c r="A135" s="13" t="s">
        <v>19</v>
      </c>
      <c r="B135" s="13" t="s">
        <v>20</v>
      </c>
      <c r="C135" s="14">
        <v>45482.0</v>
      </c>
      <c r="D135" s="15" t="s">
        <v>25</v>
      </c>
      <c r="E135" s="16">
        <v>4.2</v>
      </c>
      <c r="F135" s="15" t="s">
        <v>27</v>
      </c>
      <c r="G135" s="17">
        <v>1.0</v>
      </c>
      <c r="H135" s="18" t="s">
        <v>26</v>
      </c>
      <c r="I135" s="19">
        <v>9.7954</v>
      </c>
      <c r="J135" s="25">
        <v>834.0216</v>
      </c>
      <c r="K135" s="25">
        <v>4.709</v>
      </c>
      <c r="L135" s="25">
        <v>0.028</v>
      </c>
      <c r="M135" s="21">
        <v>135.65266666666665</v>
      </c>
      <c r="N135" s="21">
        <v>40.11933333333334</v>
      </c>
      <c r="O135" s="21">
        <v>118.915</v>
      </c>
      <c r="P135" s="21">
        <v>43.727000000000004</v>
      </c>
      <c r="Q135" s="21">
        <v>73.303</v>
      </c>
      <c r="R135" s="21">
        <v>43.60066666666666</v>
      </c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/>
      <c r="AE135" s="22"/>
      <c r="AF135" s="22"/>
      <c r="AG135" s="22"/>
      <c r="AH135" s="22"/>
      <c r="AI135" s="22"/>
      <c r="AJ135" s="22"/>
      <c r="AK135" s="22"/>
      <c r="AL135" s="22"/>
    </row>
    <row r="136">
      <c r="A136" s="13" t="s">
        <v>19</v>
      </c>
      <c r="B136" s="13" t="s">
        <v>20</v>
      </c>
      <c r="C136" s="14">
        <v>45482.0</v>
      </c>
      <c r="D136" s="15" t="s">
        <v>25</v>
      </c>
      <c r="E136" s="16">
        <v>4.3</v>
      </c>
      <c r="F136" s="15" t="s">
        <v>27</v>
      </c>
      <c r="G136" s="17">
        <v>1.0</v>
      </c>
      <c r="H136" s="18" t="s">
        <v>26</v>
      </c>
      <c r="I136" s="19">
        <v>11.5657</v>
      </c>
      <c r="J136" s="25">
        <v>884.9339</v>
      </c>
      <c r="K136" s="25">
        <v>6.579</v>
      </c>
      <c r="L136" s="25">
        <v>0.012</v>
      </c>
      <c r="M136" s="21">
        <v>142.69766666666666</v>
      </c>
      <c r="N136" s="21">
        <v>41.01766666666666</v>
      </c>
      <c r="O136" s="21">
        <v>120.72266666666667</v>
      </c>
      <c r="P136" s="21">
        <v>46.388000000000005</v>
      </c>
      <c r="Q136" s="21">
        <v>76.61433333333333</v>
      </c>
      <c r="R136" s="21">
        <v>43.43933333333333</v>
      </c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/>
      <c r="AE136" s="22"/>
      <c r="AF136" s="22"/>
      <c r="AG136" s="22"/>
      <c r="AH136" s="22"/>
      <c r="AI136" s="22"/>
      <c r="AJ136" s="22"/>
      <c r="AK136" s="22"/>
      <c r="AL136" s="22"/>
    </row>
    <row r="137">
      <c r="A137" s="13" t="s">
        <v>19</v>
      </c>
      <c r="B137" s="13" t="s">
        <v>20</v>
      </c>
      <c r="C137" s="14">
        <v>45482.0</v>
      </c>
      <c r="D137" s="15" t="s">
        <v>25</v>
      </c>
      <c r="E137" s="16">
        <v>4.4</v>
      </c>
      <c r="F137" s="15" t="s">
        <v>27</v>
      </c>
      <c r="G137" s="17">
        <v>1.0</v>
      </c>
      <c r="H137" s="18" t="s">
        <v>26</v>
      </c>
      <c r="I137" s="19">
        <v>10.4824</v>
      </c>
      <c r="J137" s="25">
        <v>666.1081</v>
      </c>
      <c r="K137" s="25">
        <v>5.445</v>
      </c>
      <c r="L137" s="25">
        <v>0.036</v>
      </c>
      <c r="M137" s="21">
        <v>152.32266666666666</v>
      </c>
      <c r="N137" s="21">
        <v>29.176</v>
      </c>
      <c r="O137" s="21">
        <v>136.20600000000002</v>
      </c>
      <c r="P137" s="21">
        <v>29.819666666666667</v>
      </c>
      <c r="Q137" s="21">
        <v>93.20163333333333</v>
      </c>
      <c r="R137" s="21">
        <v>29.043666666666667</v>
      </c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/>
      <c r="AE137" s="22"/>
      <c r="AF137" s="22"/>
      <c r="AG137" s="22"/>
      <c r="AH137" s="22"/>
      <c r="AI137" s="22"/>
      <c r="AJ137" s="22"/>
      <c r="AK137" s="22"/>
      <c r="AL137" s="22"/>
    </row>
    <row r="138">
      <c r="A138" s="13" t="s">
        <v>19</v>
      </c>
      <c r="B138" s="13" t="s">
        <v>20</v>
      </c>
      <c r="C138" s="14">
        <v>45482.0</v>
      </c>
      <c r="D138" s="15" t="s">
        <v>25</v>
      </c>
      <c r="E138" s="16">
        <v>5.1</v>
      </c>
      <c r="F138" s="15" t="s">
        <v>27</v>
      </c>
      <c r="G138" s="17">
        <v>1.0</v>
      </c>
      <c r="H138" s="18" t="s">
        <v>26</v>
      </c>
      <c r="I138" s="19">
        <v>9.0623</v>
      </c>
      <c r="J138" s="25">
        <v>912.7102</v>
      </c>
      <c r="K138" s="25">
        <v>4.003</v>
      </c>
      <c r="L138" s="25">
        <v>0.018</v>
      </c>
      <c r="M138" s="21">
        <v>138.47733333333335</v>
      </c>
      <c r="N138" s="21">
        <v>35.341</v>
      </c>
      <c r="O138" s="21">
        <v>114.91733333333333</v>
      </c>
      <c r="P138" s="21">
        <v>39.019666666666666</v>
      </c>
      <c r="Q138" s="21">
        <v>58.79366666666667</v>
      </c>
      <c r="R138" s="21">
        <v>36.576</v>
      </c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/>
      <c r="AE138" s="22"/>
      <c r="AF138" s="22"/>
      <c r="AG138" s="22"/>
      <c r="AH138" s="22"/>
      <c r="AI138" s="22"/>
      <c r="AJ138" s="22"/>
      <c r="AK138" s="22"/>
      <c r="AL138" s="22"/>
    </row>
    <row r="139">
      <c r="A139" s="13" t="s">
        <v>19</v>
      </c>
      <c r="B139" s="13" t="s">
        <v>20</v>
      </c>
      <c r="C139" s="14">
        <v>45482.0</v>
      </c>
      <c r="D139" s="15" t="s">
        <v>25</v>
      </c>
      <c r="E139" s="16">
        <v>5.2</v>
      </c>
      <c r="F139" s="15" t="s">
        <v>27</v>
      </c>
      <c r="G139" s="17">
        <v>1.0</v>
      </c>
      <c r="H139" s="18" t="s">
        <v>26</v>
      </c>
      <c r="I139" s="19">
        <v>8.82107</v>
      </c>
      <c r="J139" s="25">
        <v>872.0</v>
      </c>
      <c r="K139" s="25">
        <v>3.561</v>
      </c>
      <c r="L139" s="25">
        <v>0.052</v>
      </c>
      <c r="M139" s="21">
        <v>136.39133333333334</v>
      </c>
      <c r="N139" s="21">
        <v>43.359</v>
      </c>
      <c r="O139" s="21">
        <v>117.907</v>
      </c>
      <c r="P139" s="21">
        <v>45.736333333333334</v>
      </c>
      <c r="Q139" s="21">
        <v>66.67966666666666</v>
      </c>
      <c r="R139" s="21">
        <v>41.31066666666667</v>
      </c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/>
      <c r="AE139" s="22"/>
      <c r="AF139" s="22"/>
      <c r="AG139" s="22"/>
      <c r="AH139" s="22"/>
      <c r="AI139" s="22"/>
      <c r="AJ139" s="22"/>
      <c r="AK139" s="22"/>
      <c r="AL139" s="22"/>
    </row>
    <row r="140">
      <c r="A140" s="13" t="s">
        <v>19</v>
      </c>
      <c r="B140" s="13" t="s">
        <v>20</v>
      </c>
      <c r="C140" s="14">
        <v>45482.0</v>
      </c>
      <c r="D140" s="15" t="s">
        <v>25</v>
      </c>
      <c r="E140" s="16">
        <v>5.3</v>
      </c>
      <c r="F140" s="15" t="s">
        <v>27</v>
      </c>
      <c r="G140" s="17">
        <v>1.0</v>
      </c>
      <c r="H140" s="18" t="s">
        <v>26</v>
      </c>
      <c r="I140" s="19">
        <v>9.2964</v>
      </c>
      <c r="J140" s="25">
        <v>790.4588</v>
      </c>
      <c r="K140" s="25">
        <v>3.579</v>
      </c>
      <c r="L140" s="25">
        <v>0.013</v>
      </c>
      <c r="M140" s="21">
        <v>118.10933333333332</v>
      </c>
      <c r="N140" s="21">
        <v>33.675</v>
      </c>
      <c r="O140" s="21">
        <v>103.258</v>
      </c>
      <c r="P140" s="21">
        <v>37.687999999999995</v>
      </c>
      <c r="Q140" s="21">
        <v>70.813</v>
      </c>
      <c r="R140" s="21">
        <v>39.37733333333333</v>
      </c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22"/>
      <c r="AK140" s="22"/>
      <c r="AL140" s="22"/>
    </row>
    <row r="141">
      <c r="A141" s="13" t="s">
        <v>19</v>
      </c>
      <c r="B141" s="13" t="s">
        <v>20</v>
      </c>
      <c r="C141" s="14">
        <v>45482.0</v>
      </c>
      <c r="D141" s="15" t="s">
        <v>25</v>
      </c>
      <c r="E141" s="16">
        <v>5.4</v>
      </c>
      <c r="F141" s="15" t="s">
        <v>27</v>
      </c>
      <c r="G141" s="17">
        <v>1.0</v>
      </c>
      <c r="H141" s="18" t="s">
        <v>26</v>
      </c>
      <c r="I141" s="19">
        <v>9.8956</v>
      </c>
      <c r="J141" s="25">
        <v>897.5723</v>
      </c>
      <c r="K141" s="25">
        <v>3.693</v>
      </c>
      <c r="L141" s="25">
        <v>0.032</v>
      </c>
      <c r="M141" s="21">
        <v>122.36200000000001</v>
      </c>
      <c r="N141" s="21">
        <v>32.714</v>
      </c>
      <c r="O141" s="21">
        <v>103.99000000000001</v>
      </c>
      <c r="P141" s="21">
        <v>33.95666666666667</v>
      </c>
      <c r="Q141" s="21">
        <v>65.544</v>
      </c>
      <c r="R141" s="21">
        <v>29.32133333333333</v>
      </c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/>
      <c r="AE141" s="22"/>
      <c r="AF141" s="22"/>
      <c r="AG141" s="22"/>
      <c r="AH141" s="22"/>
      <c r="AI141" s="22"/>
      <c r="AJ141" s="22"/>
      <c r="AK141" s="22"/>
      <c r="AL141" s="22"/>
    </row>
    <row r="142">
      <c r="A142" s="13" t="s">
        <v>19</v>
      </c>
      <c r="B142" s="13" t="s">
        <v>20</v>
      </c>
      <c r="C142" s="14">
        <v>45482.0</v>
      </c>
      <c r="D142" s="15" t="s">
        <v>25</v>
      </c>
      <c r="E142" s="16">
        <v>6.1</v>
      </c>
      <c r="F142" s="15" t="s">
        <v>27</v>
      </c>
      <c r="G142" s="17">
        <v>1.0</v>
      </c>
      <c r="H142" s="18" t="s">
        <v>26</v>
      </c>
      <c r="I142" s="19">
        <v>9.5666</v>
      </c>
      <c r="J142" s="25">
        <v>795.0056</v>
      </c>
      <c r="K142" s="25">
        <v>5.228</v>
      </c>
      <c r="L142" s="25">
        <v>0.012</v>
      </c>
      <c r="M142" s="21">
        <v>144.581</v>
      </c>
      <c r="N142" s="21">
        <v>39.196</v>
      </c>
      <c r="O142" s="21">
        <v>123.12333333333333</v>
      </c>
      <c r="P142" s="21">
        <v>42.775666666666666</v>
      </c>
      <c r="Q142" s="21">
        <v>74.53566666666667</v>
      </c>
      <c r="R142" s="21">
        <v>41.922666666666665</v>
      </c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/>
      <c r="AE142" s="22"/>
      <c r="AF142" s="22"/>
      <c r="AG142" s="22"/>
      <c r="AH142" s="22"/>
      <c r="AI142" s="22"/>
      <c r="AJ142" s="22"/>
      <c r="AK142" s="22"/>
      <c r="AL142" s="22"/>
    </row>
    <row r="143">
      <c r="A143" s="13" t="s">
        <v>19</v>
      </c>
      <c r="B143" s="13" t="s">
        <v>20</v>
      </c>
      <c r="C143" s="14">
        <v>45482.0</v>
      </c>
      <c r="D143" s="15" t="s">
        <v>25</v>
      </c>
      <c r="E143" s="16">
        <v>6.2</v>
      </c>
      <c r="F143" s="15" t="s">
        <v>27</v>
      </c>
      <c r="G143" s="17">
        <v>1.0</v>
      </c>
      <c r="H143" s="18" t="s">
        <v>26</v>
      </c>
      <c r="I143" s="19">
        <v>13.4401</v>
      </c>
      <c r="J143" s="25">
        <v>742.1893</v>
      </c>
      <c r="K143" s="25">
        <v>6.83</v>
      </c>
      <c r="L143" s="25">
        <v>0.092</v>
      </c>
      <c r="M143" s="21">
        <v>139.14166666666665</v>
      </c>
      <c r="N143" s="21">
        <v>39.08766666666667</v>
      </c>
      <c r="O143" s="21">
        <v>120.51066666666667</v>
      </c>
      <c r="P143" s="21">
        <v>43.072</v>
      </c>
      <c r="Q143" s="21">
        <v>64.97066666666666</v>
      </c>
      <c r="R143" s="21">
        <v>42.911</v>
      </c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/>
      <c r="AE143" s="22"/>
      <c r="AF143" s="22"/>
      <c r="AG143" s="22"/>
      <c r="AH143" s="22"/>
      <c r="AI143" s="22"/>
      <c r="AJ143" s="22"/>
      <c r="AK143" s="22"/>
      <c r="AL143" s="22"/>
    </row>
    <row r="144">
      <c r="A144" s="13" t="s">
        <v>19</v>
      </c>
      <c r="B144" s="13" t="s">
        <v>20</v>
      </c>
      <c r="C144" s="14">
        <v>45482.0</v>
      </c>
      <c r="D144" s="15" t="s">
        <v>25</v>
      </c>
      <c r="E144" s="16">
        <v>6.3</v>
      </c>
      <c r="F144" s="15" t="s">
        <v>27</v>
      </c>
      <c r="G144" s="17">
        <v>1.0</v>
      </c>
      <c r="H144" s="18" t="s">
        <v>26</v>
      </c>
      <c r="I144" s="16">
        <v>11.991</v>
      </c>
      <c r="J144" s="25">
        <v>747.6022</v>
      </c>
      <c r="K144" s="25">
        <v>5.976</v>
      </c>
      <c r="L144" s="25">
        <v>0.023</v>
      </c>
      <c r="M144" s="21">
        <v>145.162</v>
      </c>
      <c r="N144" s="21">
        <v>39.629</v>
      </c>
      <c r="O144" s="21">
        <v>122.67033333333335</v>
      </c>
      <c r="P144" s="21">
        <v>43.123333333333335</v>
      </c>
      <c r="Q144" s="21">
        <v>73.82833333333333</v>
      </c>
      <c r="R144" s="21">
        <v>43.37166666666667</v>
      </c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/>
      <c r="AE144" s="22"/>
      <c r="AF144" s="22"/>
      <c r="AG144" s="22"/>
      <c r="AH144" s="22"/>
      <c r="AI144" s="22"/>
      <c r="AJ144" s="22"/>
      <c r="AK144" s="22"/>
      <c r="AL144" s="22"/>
    </row>
    <row r="145">
      <c r="A145" s="13" t="s">
        <v>19</v>
      </c>
      <c r="B145" s="13" t="s">
        <v>20</v>
      </c>
      <c r="C145" s="14">
        <v>45482.0</v>
      </c>
      <c r="D145" s="15" t="s">
        <v>25</v>
      </c>
      <c r="E145" s="16">
        <v>6.4</v>
      </c>
      <c r="F145" s="15" t="s">
        <v>27</v>
      </c>
      <c r="G145" s="17">
        <v>1.0</v>
      </c>
      <c r="H145" s="18" t="s">
        <v>26</v>
      </c>
      <c r="I145" s="19">
        <v>13.1361</v>
      </c>
      <c r="J145" s="25">
        <v>676.5665</v>
      </c>
      <c r="K145" s="25">
        <v>6.188</v>
      </c>
      <c r="L145" s="25">
        <v>0.028</v>
      </c>
      <c r="M145" s="21">
        <v>145.39333333333335</v>
      </c>
      <c r="N145" s="21">
        <v>29.626666666666665</v>
      </c>
      <c r="O145" s="21">
        <v>128.499</v>
      </c>
      <c r="P145" s="21">
        <v>31.558000000000003</v>
      </c>
      <c r="Q145" s="21">
        <v>86.18633333333332</v>
      </c>
      <c r="R145" s="21">
        <v>32.53366666666667</v>
      </c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/>
      <c r="AE145" s="22"/>
      <c r="AF145" s="22"/>
      <c r="AG145" s="22"/>
      <c r="AH145" s="22"/>
      <c r="AI145" s="22"/>
      <c r="AJ145" s="22"/>
      <c r="AK145" s="22"/>
      <c r="AL145" s="22"/>
    </row>
    <row r="146">
      <c r="A146" s="13" t="s">
        <v>20</v>
      </c>
      <c r="B146" s="13" t="s">
        <v>20</v>
      </c>
      <c r="C146" s="26">
        <v>45607.0</v>
      </c>
      <c r="D146" s="13" t="s">
        <v>21</v>
      </c>
      <c r="E146" s="13">
        <v>4.1</v>
      </c>
      <c r="F146" s="13" t="s">
        <v>27</v>
      </c>
      <c r="G146" s="13">
        <v>2.0</v>
      </c>
      <c r="H146" s="18" t="s">
        <v>23</v>
      </c>
      <c r="I146" s="23">
        <v>8.347</v>
      </c>
      <c r="J146" s="23">
        <v>522.0345</v>
      </c>
      <c r="K146" s="23">
        <v>1.408</v>
      </c>
      <c r="L146" s="23">
        <v>0.03</v>
      </c>
      <c r="M146" s="22">
        <v>146.55166666666665</v>
      </c>
      <c r="N146" s="22">
        <v>29.054333333333332</v>
      </c>
      <c r="O146" s="22">
        <v>122.972</v>
      </c>
      <c r="P146" s="22">
        <v>28.109333333333336</v>
      </c>
      <c r="Q146" s="22">
        <v>75.77033333333333</v>
      </c>
      <c r="R146" s="22">
        <v>25.383</v>
      </c>
      <c r="S146" s="22"/>
      <c r="T146" s="22"/>
      <c r="U146" s="22"/>
      <c r="V146" s="22"/>
      <c r="W146" s="22"/>
      <c r="X146" s="22"/>
      <c r="Y146" s="22"/>
      <c r="Z146" s="22"/>
      <c r="AA146" s="22"/>
      <c r="AB146" s="22"/>
      <c r="AC146" s="22"/>
      <c r="AD146" s="22"/>
      <c r="AE146" s="22"/>
      <c r="AF146" s="22"/>
      <c r="AG146" s="22"/>
      <c r="AH146" s="22"/>
      <c r="AI146" s="22"/>
      <c r="AJ146" s="22"/>
      <c r="AK146" s="22"/>
      <c r="AL146" s="22"/>
    </row>
    <row r="147">
      <c r="A147" s="13" t="s">
        <v>20</v>
      </c>
      <c r="B147" s="13" t="s">
        <v>20</v>
      </c>
      <c r="C147" s="26">
        <v>45607.0</v>
      </c>
      <c r="D147" s="13" t="s">
        <v>21</v>
      </c>
      <c r="E147" s="13">
        <v>4.2</v>
      </c>
      <c r="F147" s="13" t="s">
        <v>27</v>
      </c>
      <c r="G147" s="13">
        <v>2.0</v>
      </c>
      <c r="H147" s="18" t="s">
        <v>23</v>
      </c>
      <c r="I147" s="23">
        <v>8.6</v>
      </c>
      <c r="J147" s="23">
        <v>537.6214</v>
      </c>
      <c r="K147" s="23">
        <v>1.551</v>
      </c>
      <c r="L147" s="23">
        <v>0.028</v>
      </c>
      <c r="M147" s="22">
        <v>148.091</v>
      </c>
      <c r="N147" s="22">
        <v>31.825666666666667</v>
      </c>
      <c r="O147" s="22">
        <v>121.46699999999998</v>
      </c>
      <c r="P147" s="22">
        <v>31.050333333333338</v>
      </c>
      <c r="Q147" s="22">
        <v>73.68266666666666</v>
      </c>
      <c r="R147" s="22">
        <v>28.831000000000003</v>
      </c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22"/>
      <c r="AK147" s="22"/>
      <c r="AL147" s="22"/>
    </row>
    <row r="148">
      <c r="A148" s="13" t="s">
        <v>20</v>
      </c>
      <c r="B148" s="13" t="s">
        <v>20</v>
      </c>
      <c r="C148" s="26">
        <v>45607.0</v>
      </c>
      <c r="D148" s="13" t="s">
        <v>21</v>
      </c>
      <c r="E148" s="13">
        <v>4.3</v>
      </c>
      <c r="F148" s="13" t="s">
        <v>27</v>
      </c>
      <c r="G148" s="13">
        <v>2.0</v>
      </c>
      <c r="H148" s="18" t="s">
        <v>23</v>
      </c>
      <c r="I148" s="23">
        <v>8.324</v>
      </c>
      <c r="J148" s="23">
        <v>517.2682</v>
      </c>
      <c r="K148" s="23">
        <v>1.951</v>
      </c>
      <c r="L148" s="23">
        <v>0.034</v>
      </c>
      <c r="M148" s="22">
        <v>157.95766666666668</v>
      </c>
      <c r="N148" s="22">
        <v>24.849</v>
      </c>
      <c r="O148" s="22">
        <v>130.49533333333332</v>
      </c>
      <c r="P148" s="22">
        <v>24.17833333333333</v>
      </c>
      <c r="Q148" s="22">
        <v>77.71600000000001</v>
      </c>
      <c r="R148" s="22">
        <v>21.719333333333335</v>
      </c>
      <c r="S148" s="22"/>
      <c r="T148" s="22"/>
      <c r="U148" s="22"/>
      <c r="V148" s="22"/>
      <c r="W148" s="22"/>
      <c r="X148" s="22"/>
      <c r="Y148" s="22"/>
      <c r="Z148" s="22"/>
      <c r="AA148" s="22"/>
      <c r="AB148" s="22"/>
      <c r="AC148" s="22"/>
      <c r="AD148" s="22"/>
      <c r="AE148" s="22"/>
      <c r="AF148" s="22"/>
      <c r="AG148" s="22"/>
      <c r="AH148" s="22"/>
      <c r="AI148" s="22"/>
      <c r="AJ148" s="22"/>
      <c r="AK148" s="22"/>
      <c r="AL148" s="22"/>
    </row>
    <row r="149">
      <c r="A149" s="13" t="s">
        <v>20</v>
      </c>
      <c r="B149" s="13" t="s">
        <v>20</v>
      </c>
      <c r="C149" s="26">
        <v>45607.0</v>
      </c>
      <c r="D149" s="13" t="s">
        <v>21</v>
      </c>
      <c r="E149" s="13">
        <v>4.4</v>
      </c>
      <c r="F149" s="13" t="s">
        <v>27</v>
      </c>
      <c r="G149" s="13">
        <v>2.0</v>
      </c>
      <c r="H149" s="18" t="s">
        <v>23</v>
      </c>
      <c r="I149" s="23">
        <v>7.6093</v>
      </c>
      <c r="J149" s="23">
        <v>546.0013</v>
      </c>
      <c r="K149" s="23">
        <v>1.256</v>
      </c>
      <c r="L149" s="23">
        <v>0.025</v>
      </c>
      <c r="M149" s="22">
        <v>182.8183333333333</v>
      </c>
      <c r="N149" s="22">
        <v>28.36633333333333</v>
      </c>
      <c r="O149" s="22">
        <v>164.61366666666666</v>
      </c>
      <c r="P149" s="22">
        <v>32.06133333333333</v>
      </c>
      <c r="Q149" s="22">
        <v>141.833</v>
      </c>
      <c r="R149" s="22">
        <v>39.05133333333333</v>
      </c>
      <c r="S149" s="22"/>
      <c r="T149" s="22"/>
      <c r="U149" s="22"/>
      <c r="V149" s="22"/>
      <c r="W149" s="22"/>
      <c r="X149" s="22"/>
      <c r="Y149" s="22"/>
      <c r="Z149" s="22"/>
      <c r="AA149" s="22"/>
      <c r="AB149" s="22"/>
      <c r="AC149" s="22"/>
      <c r="AD149" s="22"/>
      <c r="AE149" s="22"/>
      <c r="AF149" s="22"/>
      <c r="AG149" s="22"/>
      <c r="AH149" s="22"/>
      <c r="AI149" s="22"/>
      <c r="AJ149" s="22"/>
      <c r="AK149" s="22"/>
      <c r="AL149" s="22"/>
    </row>
    <row r="150">
      <c r="A150" s="13" t="s">
        <v>20</v>
      </c>
      <c r="B150" s="13" t="s">
        <v>20</v>
      </c>
      <c r="C150" s="26">
        <v>45607.0</v>
      </c>
      <c r="D150" s="13" t="s">
        <v>21</v>
      </c>
      <c r="E150" s="13">
        <v>5.1</v>
      </c>
      <c r="F150" s="13" t="s">
        <v>27</v>
      </c>
      <c r="G150" s="13">
        <v>2.0</v>
      </c>
      <c r="H150" s="18" t="s">
        <v>23</v>
      </c>
      <c r="I150" s="23">
        <v>8.985</v>
      </c>
      <c r="J150" s="23">
        <v>514.8503</v>
      </c>
      <c r="K150" s="23">
        <v>1.819</v>
      </c>
      <c r="L150" s="23">
        <v>0.013</v>
      </c>
      <c r="M150" s="22">
        <v>96.37566666666667</v>
      </c>
      <c r="N150" s="22">
        <v>34.23933333333333</v>
      </c>
      <c r="O150" s="22">
        <v>55.83166666666667</v>
      </c>
      <c r="P150" s="22">
        <v>35.55733333333333</v>
      </c>
      <c r="Q150" s="22">
        <v>38.92933333333334</v>
      </c>
      <c r="R150" s="22">
        <v>22.50066666666667</v>
      </c>
      <c r="S150" s="22"/>
      <c r="T150" s="22"/>
      <c r="U150" s="22"/>
      <c r="V150" s="22"/>
      <c r="W150" s="22"/>
      <c r="X150" s="22"/>
      <c r="Y150" s="22"/>
      <c r="Z150" s="22"/>
      <c r="AA150" s="22"/>
      <c r="AB150" s="22"/>
      <c r="AC150" s="22"/>
      <c r="AD150" s="22"/>
      <c r="AE150" s="22"/>
      <c r="AF150" s="22"/>
      <c r="AG150" s="22"/>
      <c r="AH150" s="22"/>
      <c r="AI150" s="22"/>
      <c r="AJ150" s="22"/>
      <c r="AK150" s="22"/>
      <c r="AL150" s="22"/>
    </row>
    <row r="151">
      <c r="A151" s="13" t="s">
        <v>20</v>
      </c>
      <c r="B151" s="13" t="s">
        <v>20</v>
      </c>
      <c r="C151" s="26">
        <v>45607.0</v>
      </c>
      <c r="D151" s="13" t="s">
        <v>21</v>
      </c>
      <c r="E151" s="13">
        <v>5.2</v>
      </c>
      <c r="F151" s="13" t="s">
        <v>27</v>
      </c>
      <c r="G151" s="13">
        <v>2.0</v>
      </c>
      <c r="H151" s="18" t="s">
        <v>23</v>
      </c>
      <c r="I151" s="23">
        <v>9.514</v>
      </c>
      <c r="J151" s="23">
        <v>532.8338</v>
      </c>
      <c r="K151" s="23">
        <v>2.475</v>
      </c>
      <c r="L151" s="23">
        <v>0.024</v>
      </c>
      <c r="M151" s="22">
        <v>97.71999999999998</v>
      </c>
      <c r="N151" s="22">
        <v>33.58266666666666</v>
      </c>
      <c r="O151" s="22">
        <v>70.52799999999999</v>
      </c>
      <c r="P151" s="22">
        <v>33.878</v>
      </c>
      <c r="Q151" s="22">
        <v>43.80433333333334</v>
      </c>
      <c r="R151" s="22">
        <v>24.152666666666665</v>
      </c>
      <c r="S151" s="22"/>
      <c r="T151" s="22"/>
      <c r="U151" s="22"/>
      <c r="V151" s="22"/>
      <c r="W151" s="22"/>
      <c r="X151" s="22"/>
      <c r="Y151" s="22"/>
      <c r="Z151" s="22"/>
      <c r="AA151" s="22"/>
      <c r="AB151" s="22"/>
      <c r="AC151" s="22"/>
      <c r="AD151" s="22"/>
      <c r="AE151" s="22"/>
      <c r="AF151" s="22"/>
      <c r="AG151" s="22"/>
      <c r="AH151" s="22"/>
      <c r="AI151" s="22"/>
      <c r="AJ151" s="22"/>
      <c r="AK151" s="22"/>
      <c r="AL151" s="22"/>
    </row>
    <row r="152">
      <c r="A152" s="13" t="s">
        <v>20</v>
      </c>
      <c r="B152" s="13" t="s">
        <v>20</v>
      </c>
      <c r="C152" s="26">
        <v>45607.0</v>
      </c>
      <c r="D152" s="13" t="s">
        <v>21</v>
      </c>
      <c r="E152" s="13">
        <v>5.3</v>
      </c>
      <c r="F152" s="13" t="s">
        <v>27</v>
      </c>
      <c r="G152" s="13">
        <v>2.0</v>
      </c>
      <c r="H152" s="18" t="s">
        <v>23</v>
      </c>
      <c r="I152" s="23">
        <v>9.808</v>
      </c>
      <c r="J152" s="23">
        <v>514.005</v>
      </c>
      <c r="K152" s="23">
        <v>2.311</v>
      </c>
      <c r="L152" s="23">
        <v>0.027</v>
      </c>
      <c r="M152" s="22">
        <v>106.21133333333334</v>
      </c>
      <c r="N152" s="22">
        <v>28.282</v>
      </c>
      <c r="O152" s="22">
        <v>76.76</v>
      </c>
      <c r="P152" s="22">
        <v>30.081333333333333</v>
      </c>
      <c r="Q152" s="22">
        <v>44.258</v>
      </c>
      <c r="R152" s="22">
        <v>22.34266666666667</v>
      </c>
      <c r="S152" s="22"/>
      <c r="T152" s="22"/>
      <c r="U152" s="22"/>
      <c r="V152" s="22"/>
      <c r="W152" s="22"/>
      <c r="X152" s="22"/>
      <c r="Y152" s="22"/>
      <c r="Z152" s="22"/>
      <c r="AA152" s="22"/>
      <c r="AB152" s="22"/>
      <c r="AC152" s="22"/>
      <c r="AD152" s="22"/>
      <c r="AE152" s="22"/>
      <c r="AF152" s="22"/>
      <c r="AG152" s="22"/>
      <c r="AH152" s="22"/>
      <c r="AI152" s="22"/>
      <c r="AJ152" s="22"/>
      <c r="AK152" s="22"/>
      <c r="AL152" s="22"/>
    </row>
    <row r="153">
      <c r="A153" s="13" t="s">
        <v>20</v>
      </c>
      <c r="B153" s="13" t="s">
        <v>20</v>
      </c>
      <c r="C153" s="26">
        <v>45607.0</v>
      </c>
      <c r="D153" s="13" t="s">
        <v>21</v>
      </c>
      <c r="E153" s="13">
        <v>5.4</v>
      </c>
      <c r="F153" s="13" t="s">
        <v>27</v>
      </c>
      <c r="G153" s="13">
        <v>2.0</v>
      </c>
      <c r="H153" s="18" t="s">
        <v>23</v>
      </c>
      <c r="I153" s="23">
        <v>8.9352</v>
      </c>
      <c r="J153" s="23">
        <v>555.6013</v>
      </c>
      <c r="K153" s="23">
        <v>1.719</v>
      </c>
      <c r="L153" s="23">
        <v>0.021</v>
      </c>
      <c r="M153" s="22">
        <v>124.69099999999999</v>
      </c>
      <c r="N153" s="22">
        <v>25.842333333333332</v>
      </c>
      <c r="O153" s="22">
        <v>93.64333333333333</v>
      </c>
      <c r="P153" s="22">
        <v>28.666333333333338</v>
      </c>
      <c r="Q153" s="22">
        <v>65.54166666666667</v>
      </c>
      <c r="R153" s="22">
        <v>31.018999999999995</v>
      </c>
      <c r="S153" s="22"/>
      <c r="T153" s="22"/>
      <c r="U153" s="22"/>
      <c r="V153" s="22"/>
      <c r="W153" s="22"/>
      <c r="X153" s="22"/>
      <c r="Y153" s="22"/>
      <c r="Z153" s="22"/>
      <c r="AA153" s="22"/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</row>
    <row r="154">
      <c r="A154" s="13" t="s">
        <v>20</v>
      </c>
      <c r="B154" s="13" t="s">
        <v>20</v>
      </c>
      <c r="C154" s="26">
        <v>45607.0</v>
      </c>
      <c r="D154" s="13" t="s">
        <v>21</v>
      </c>
      <c r="E154" s="13">
        <v>6.1</v>
      </c>
      <c r="F154" s="13" t="s">
        <v>27</v>
      </c>
      <c r="G154" s="13">
        <v>2.0</v>
      </c>
      <c r="H154" s="18" t="s">
        <v>23</v>
      </c>
      <c r="I154" s="23">
        <v>8.958</v>
      </c>
      <c r="J154" s="23">
        <v>573.6013</v>
      </c>
      <c r="K154" s="23">
        <v>2.076</v>
      </c>
      <c r="L154" s="23">
        <v>0.075</v>
      </c>
      <c r="M154" s="22">
        <v>119.16566666666667</v>
      </c>
      <c r="N154" s="22">
        <v>31.673999999999996</v>
      </c>
      <c r="O154" s="22">
        <v>86.67533333333334</v>
      </c>
      <c r="P154" s="22">
        <v>28.927000000000003</v>
      </c>
      <c r="Q154" s="22">
        <v>43.395</v>
      </c>
      <c r="R154" s="22">
        <v>19.825666666666667</v>
      </c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22"/>
      <c r="AK154" s="22"/>
      <c r="AL154" s="22"/>
    </row>
    <row r="155">
      <c r="A155" s="13" t="s">
        <v>20</v>
      </c>
      <c r="B155" s="13" t="s">
        <v>20</v>
      </c>
      <c r="C155" s="26">
        <v>45607.0</v>
      </c>
      <c r="D155" s="13" t="s">
        <v>21</v>
      </c>
      <c r="E155" s="13">
        <v>6.2</v>
      </c>
      <c r="F155" s="13" t="s">
        <v>27</v>
      </c>
      <c r="G155" s="13">
        <v>2.0</v>
      </c>
      <c r="H155" s="18" t="s">
        <v>23</v>
      </c>
      <c r="I155" s="23">
        <v>7.962</v>
      </c>
      <c r="J155" s="23">
        <v>511.3408</v>
      </c>
      <c r="K155" s="23">
        <v>1.559</v>
      </c>
      <c r="L155" s="23">
        <v>0.004</v>
      </c>
      <c r="M155" s="22">
        <v>125.30066666666666</v>
      </c>
      <c r="N155" s="22">
        <v>31.167333333333335</v>
      </c>
      <c r="O155" s="22">
        <v>98.56933333333332</v>
      </c>
      <c r="P155" s="22">
        <v>29.782666666666668</v>
      </c>
      <c r="Q155" s="22">
        <v>50.21</v>
      </c>
      <c r="R155" s="22">
        <v>21.849333333333334</v>
      </c>
      <c r="S155" s="22"/>
      <c r="T155" s="22"/>
      <c r="U155" s="22"/>
      <c r="V155" s="22"/>
      <c r="W155" s="22"/>
      <c r="X155" s="22"/>
      <c r="Y155" s="22"/>
      <c r="Z155" s="22"/>
      <c r="AA155" s="22"/>
      <c r="AB155" s="22"/>
      <c r="AC155" s="22"/>
      <c r="AD155" s="22"/>
      <c r="AE155" s="22"/>
      <c r="AF155" s="22"/>
      <c r="AG155" s="22"/>
      <c r="AH155" s="22"/>
      <c r="AI155" s="22"/>
      <c r="AJ155" s="22"/>
      <c r="AK155" s="22"/>
      <c r="AL155" s="22"/>
    </row>
    <row r="156">
      <c r="A156" s="13" t="s">
        <v>20</v>
      </c>
      <c r="B156" s="13" t="s">
        <v>20</v>
      </c>
      <c r="C156" s="26">
        <v>45607.0</v>
      </c>
      <c r="D156" s="13" t="s">
        <v>21</v>
      </c>
      <c r="E156" s="13">
        <v>6.3</v>
      </c>
      <c r="F156" s="13" t="s">
        <v>27</v>
      </c>
      <c r="G156" s="13">
        <v>2.0</v>
      </c>
      <c r="H156" s="18" t="s">
        <v>23</v>
      </c>
      <c r="I156" s="23">
        <v>8.596</v>
      </c>
      <c r="J156" s="23">
        <v>520.8498</v>
      </c>
      <c r="K156" s="23">
        <v>1.574</v>
      </c>
      <c r="L156" s="23">
        <v>0.024</v>
      </c>
      <c r="M156" s="22">
        <v>150.77466666666666</v>
      </c>
      <c r="N156" s="22">
        <v>33.769</v>
      </c>
      <c r="O156" s="22">
        <v>119.29766666666666</v>
      </c>
      <c r="P156" s="22">
        <v>32.39766666666666</v>
      </c>
      <c r="Q156" s="22">
        <v>64.02433333333333</v>
      </c>
      <c r="R156" s="22">
        <v>28.616666666666664</v>
      </c>
      <c r="S156" s="22"/>
      <c r="T156" s="22"/>
      <c r="U156" s="22"/>
      <c r="V156" s="22"/>
      <c r="W156" s="22"/>
      <c r="X156" s="22"/>
      <c r="Y156" s="22"/>
      <c r="Z156" s="22"/>
      <c r="AA156" s="22"/>
      <c r="AB156" s="22"/>
      <c r="AC156" s="22"/>
      <c r="AD156" s="22"/>
      <c r="AE156" s="22"/>
      <c r="AF156" s="22"/>
      <c r="AG156" s="22"/>
      <c r="AH156" s="22"/>
      <c r="AI156" s="22"/>
      <c r="AJ156" s="22"/>
      <c r="AK156" s="22"/>
      <c r="AL156" s="22"/>
    </row>
    <row r="157">
      <c r="A157" s="13" t="s">
        <v>20</v>
      </c>
      <c r="B157" s="13" t="s">
        <v>20</v>
      </c>
      <c r="C157" s="26">
        <v>45607.0</v>
      </c>
      <c r="D157" s="13" t="s">
        <v>21</v>
      </c>
      <c r="E157" s="13">
        <v>6.4</v>
      </c>
      <c r="F157" s="13" t="s">
        <v>27</v>
      </c>
      <c r="G157" s="13">
        <v>2.0</v>
      </c>
      <c r="H157" s="18" t="s">
        <v>23</v>
      </c>
      <c r="I157" s="23">
        <v>8.0069</v>
      </c>
      <c r="J157" s="23">
        <v>560.463</v>
      </c>
      <c r="K157" s="23">
        <v>1.529</v>
      </c>
      <c r="L157" s="23">
        <v>0.022</v>
      </c>
      <c r="M157" s="22">
        <v>153.442</v>
      </c>
      <c r="N157" s="22">
        <v>34.42933333333333</v>
      </c>
      <c r="O157" s="22">
        <v>126.735</v>
      </c>
      <c r="P157" s="22">
        <v>35.952666666666666</v>
      </c>
      <c r="Q157" s="22">
        <v>89.402</v>
      </c>
      <c r="R157" s="22">
        <v>36.38733333333334</v>
      </c>
      <c r="S157" s="22"/>
      <c r="T157" s="22"/>
      <c r="U157" s="22"/>
      <c r="V157" s="22"/>
      <c r="W157" s="22"/>
      <c r="X157" s="22"/>
      <c r="Y157" s="22"/>
      <c r="Z157" s="22"/>
      <c r="AA157" s="22"/>
      <c r="AB157" s="22"/>
      <c r="AC157" s="22"/>
      <c r="AD157" s="22"/>
      <c r="AE157" s="22"/>
      <c r="AF157" s="22"/>
      <c r="AG157" s="22"/>
      <c r="AH157" s="22"/>
      <c r="AI157" s="22"/>
      <c r="AJ157" s="22"/>
      <c r="AK157" s="22"/>
      <c r="AL157" s="22"/>
    </row>
    <row r="158">
      <c r="A158" s="13" t="s">
        <v>20</v>
      </c>
      <c r="B158" s="13" t="s">
        <v>20</v>
      </c>
      <c r="C158" s="26">
        <v>45607.0</v>
      </c>
      <c r="D158" s="13" t="s">
        <v>24</v>
      </c>
      <c r="E158" s="13">
        <v>4.1</v>
      </c>
      <c r="F158" s="13" t="s">
        <v>27</v>
      </c>
      <c r="G158" s="13">
        <v>2.0</v>
      </c>
      <c r="H158" s="18" t="s">
        <v>23</v>
      </c>
      <c r="I158" s="23">
        <v>12.255</v>
      </c>
      <c r="J158" s="23">
        <v>498.0361</v>
      </c>
      <c r="K158" s="23">
        <v>5.55</v>
      </c>
      <c r="L158" s="23">
        <v>0.063</v>
      </c>
      <c r="M158" s="22">
        <v>161.53466666666668</v>
      </c>
      <c r="N158" s="22">
        <v>24.548333333333336</v>
      </c>
      <c r="O158" s="22">
        <v>121.12733333333334</v>
      </c>
      <c r="P158" s="22">
        <v>22.930999999999997</v>
      </c>
      <c r="Q158" s="22">
        <v>54.939666666666675</v>
      </c>
      <c r="R158" s="22">
        <v>18.761666666666667</v>
      </c>
      <c r="S158" s="22"/>
      <c r="T158" s="22"/>
      <c r="U158" s="22"/>
      <c r="V158" s="22"/>
      <c r="W158" s="22"/>
      <c r="X158" s="22"/>
      <c r="Y158" s="22"/>
      <c r="Z158" s="22"/>
      <c r="AA158" s="22"/>
      <c r="AB158" s="22"/>
      <c r="AC158" s="22"/>
      <c r="AD158" s="22"/>
      <c r="AE158" s="22"/>
      <c r="AF158" s="22"/>
      <c r="AG158" s="22"/>
      <c r="AH158" s="22"/>
      <c r="AI158" s="22"/>
      <c r="AJ158" s="22"/>
      <c r="AK158" s="22"/>
      <c r="AL158" s="22"/>
    </row>
    <row r="159">
      <c r="A159" s="13" t="s">
        <v>20</v>
      </c>
      <c r="B159" s="13" t="s">
        <v>20</v>
      </c>
      <c r="C159" s="26">
        <v>45607.0</v>
      </c>
      <c r="D159" s="13" t="s">
        <v>24</v>
      </c>
      <c r="E159" s="13">
        <v>4.2</v>
      </c>
      <c r="F159" s="13" t="s">
        <v>27</v>
      </c>
      <c r="G159" s="13">
        <v>2.0</v>
      </c>
      <c r="H159" s="18" t="s">
        <v>23</v>
      </c>
      <c r="I159" s="23">
        <v>13.025</v>
      </c>
      <c r="J159" s="23">
        <v>536.5342</v>
      </c>
      <c r="K159" s="23">
        <v>5.844</v>
      </c>
      <c r="L159" s="23">
        <v>0.039</v>
      </c>
      <c r="M159" s="22">
        <v>167.25533333333334</v>
      </c>
      <c r="N159" s="22">
        <v>22.000666666666664</v>
      </c>
      <c r="O159" s="22">
        <v>130.127</v>
      </c>
      <c r="P159" s="22">
        <v>21.489333333333335</v>
      </c>
      <c r="Q159" s="22">
        <v>68.01833333333333</v>
      </c>
      <c r="R159" s="22">
        <v>21.564333333333334</v>
      </c>
      <c r="S159" s="22"/>
      <c r="T159" s="22"/>
      <c r="U159" s="22"/>
      <c r="V159" s="22"/>
      <c r="W159" s="22"/>
      <c r="X159" s="22"/>
      <c r="Y159" s="22"/>
      <c r="Z159" s="22"/>
      <c r="AA159" s="22"/>
      <c r="AB159" s="22"/>
      <c r="AC159" s="22"/>
      <c r="AD159" s="22"/>
      <c r="AE159" s="22"/>
      <c r="AF159" s="22"/>
      <c r="AG159" s="22"/>
      <c r="AH159" s="22"/>
      <c r="AI159" s="22"/>
      <c r="AJ159" s="22"/>
      <c r="AK159" s="22"/>
      <c r="AL159" s="22"/>
    </row>
    <row r="160">
      <c r="A160" s="13" t="s">
        <v>20</v>
      </c>
      <c r="B160" s="13" t="s">
        <v>20</v>
      </c>
      <c r="C160" s="26">
        <v>45607.0</v>
      </c>
      <c r="D160" s="13" t="s">
        <v>24</v>
      </c>
      <c r="E160" s="13">
        <v>4.3</v>
      </c>
      <c r="F160" s="13" t="s">
        <v>27</v>
      </c>
      <c r="G160" s="13">
        <v>2.0</v>
      </c>
      <c r="H160" s="18" t="s">
        <v>23</v>
      </c>
      <c r="I160" s="23">
        <v>13.296</v>
      </c>
      <c r="J160" s="23">
        <v>478.8376</v>
      </c>
      <c r="K160" s="23">
        <v>5.931</v>
      </c>
      <c r="L160" s="23">
        <v>0.056</v>
      </c>
      <c r="M160" s="22">
        <v>153.34966666666668</v>
      </c>
      <c r="N160" s="22">
        <v>20.778000000000002</v>
      </c>
      <c r="O160" s="22">
        <v>116.09166666666665</v>
      </c>
      <c r="P160" s="22">
        <v>18.856333333333335</v>
      </c>
      <c r="Q160" s="22">
        <v>55.245</v>
      </c>
      <c r="R160" s="22">
        <v>15.923666666666668</v>
      </c>
      <c r="S160" s="22"/>
      <c r="T160" s="22"/>
      <c r="U160" s="22"/>
      <c r="V160" s="22"/>
      <c r="W160" s="22"/>
      <c r="X160" s="22"/>
      <c r="Y160" s="22"/>
      <c r="Z160" s="22"/>
      <c r="AA160" s="22"/>
      <c r="AB160" s="22"/>
      <c r="AC160" s="22"/>
      <c r="AD160" s="22"/>
      <c r="AE160" s="22"/>
      <c r="AF160" s="22"/>
      <c r="AG160" s="22"/>
      <c r="AH160" s="22"/>
      <c r="AI160" s="22"/>
      <c r="AJ160" s="22"/>
      <c r="AK160" s="22"/>
      <c r="AL160" s="22"/>
    </row>
    <row r="161">
      <c r="A161" s="13" t="s">
        <v>20</v>
      </c>
      <c r="B161" s="13" t="s">
        <v>20</v>
      </c>
      <c r="C161" s="26">
        <v>45607.0</v>
      </c>
      <c r="D161" s="13" t="s">
        <v>24</v>
      </c>
      <c r="E161" s="13">
        <v>4.4</v>
      </c>
      <c r="F161" s="13" t="s">
        <v>27</v>
      </c>
      <c r="G161" s="13">
        <v>2.0</v>
      </c>
      <c r="H161" s="18" t="s">
        <v>23</v>
      </c>
      <c r="I161" s="23">
        <v>12.8728</v>
      </c>
      <c r="J161" s="23">
        <v>542.265</v>
      </c>
      <c r="K161" s="23">
        <v>5.59</v>
      </c>
      <c r="L161" s="23">
        <v>0.04</v>
      </c>
      <c r="M161" s="22">
        <v>164.768</v>
      </c>
      <c r="N161" s="22">
        <v>24.398666666666667</v>
      </c>
      <c r="O161" s="22">
        <v>129.593</v>
      </c>
      <c r="P161" s="22">
        <v>23.23</v>
      </c>
      <c r="Q161" s="22">
        <v>77.48199999999999</v>
      </c>
      <c r="R161" s="22">
        <v>18.677666666666667</v>
      </c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22"/>
      <c r="AK161" s="22"/>
      <c r="AL161" s="22"/>
    </row>
    <row r="162">
      <c r="A162" s="13" t="s">
        <v>20</v>
      </c>
      <c r="B162" s="13" t="s">
        <v>20</v>
      </c>
      <c r="C162" s="26">
        <v>45607.0</v>
      </c>
      <c r="D162" s="13" t="s">
        <v>24</v>
      </c>
      <c r="E162" s="13">
        <v>5.1</v>
      </c>
      <c r="F162" s="13" t="s">
        <v>27</v>
      </c>
      <c r="G162" s="13">
        <v>2.0</v>
      </c>
      <c r="H162" s="18" t="s">
        <v>23</v>
      </c>
      <c r="I162" s="23">
        <v>9.965</v>
      </c>
      <c r="J162" s="23">
        <v>484.895</v>
      </c>
      <c r="K162" s="23">
        <v>4.559</v>
      </c>
      <c r="L162" s="23">
        <v>0.006</v>
      </c>
      <c r="M162" s="22">
        <v>150.037</v>
      </c>
      <c r="N162" s="22">
        <v>22.566999999999997</v>
      </c>
      <c r="O162" s="22">
        <v>117.10233333333333</v>
      </c>
      <c r="P162" s="22">
        <v>20.20566666666667</v>
      </c>
      <c r="Q162" s="22">
        <v>44.105333333333334</v>
      </c>
      <c r="R162" s="22">
        <v>16.407666666666668</v>
      </c>
      <c r="S162" s="22"/>
      <c r="T162" s="22"/>
      <c r="U162" s="22"/>
      <c r="V162" s="22"/>
      <c r="W162" s="22"/>
      <c r="X162" s="22"/>
      <c r="Y162" s="22"/>
      <c r="Z162" s="22"/>
      <c r="AA162" s="22"/>
      <c r="AB162" s="22"/>
      <c r="AC162" s="22"/>
      <c r="AD162" s="22"/>
      <c r="AE162" s="22"/>
      <c r="AF162" s="22"/>
      <c r="AG162" s="22"/>
      <c r="AH162" s="22"/>
      <c r="AI162" s="22"/>
      <c r="AJ162" s="22"/>
      <c r="AK162" s="22"/>
      <c r="AL162" s="22"/>
    </row>
    <row r="163">
      <c r="A163" s="13" t="s">
        <v>20</v>
      </c>
      <c r="B163" s="13" t="s">
        <v>20</v>
      </c>
      <c r="C163" s="26">
        <v>45607.0</v>
      </c>
      <c r="D163" s="13" t="s">
        <v>24</v>
      </c>
      <c r="E163" s="13">
        <v>5.2</v>
      </c>
      <c r="F163" s="13" t="s">
        <v>27</v>
      </c>
      <c r="G163" s="13">
        <v>2.0</v>
      </c>
      <c r="H163" s="18" t="s">
        <v>23</v>
      </c>
      <c r="I163" s="23">
        <v>9.021</v>
      </c>
      <c r="J163" s="23">
        <v>515.3217</v>
      </c>
      <c r="K163" s="23">
        <v>3.652</v>
      </c>
      <c r="L163" s="23">
        <v>0.022</v>
      </c>
      <c r="M163" s="22">
        <v>150.9896666666667</v>
      </c>
      <c r="N163" s="22">
        <v>24.689000000000004</v>
      </c>
      <c r="O163" s="22">
        <v>116.454</v>
      </c>
      <c r="P163" s="22">
        <v>23.608999999999998</v>
      </c>
      <c r="Q163" s="22">
        <v>47.16</v>
      </c>
      <c r="R163" s="22">
        <v>18.883</v>
      </c>
      <c r="S163" s="22"/>
      <c r="T163" s="22"/>
      <c r="U163" s="22"/>
      <c r="V163" s="22"/>
      <c r="W163" s="22"/>
      <c r="X163" s="22"/>
      <c r="Y163" s="22"/>
      <c r="Z163" s="22"/>
      <c r="AA163" s="22"/>
      <c r="AB163" s="22"/>
      <c r="AC163" s="22"/>
      <c r="AD163" s="22"/>
      <c r="AE163" s="22"/>
      <c r="AF163" s="22"/>
      <c r="AG163" s="22"/>
      <c r="AH163" s="22"/>
      <c r="AI163" s="22"/>
      <c r="AJ163" s="22"/>
      <c r="AK163" s="22"/>
      <c r="AL163" s="22"/>
    </row>
    <row r="164">
      <c r="A164" s="13" t="s">
        <v>20</v>
      </c>
      <c r="B164" s="13" t="s">
        <v>20</v>
      </c>
      <c r="C164" s="26">
        <v>45607.0</v>
      </c>
      <c r="D164" s="13" t="s">
        <v>24</v>
      </c>
      <c r="E164" s="13">
        <v>5.3</v>
      </c>
      <c r="F164" s="13" t="s">
        <v>27</v>
      </c>
      <c r="G164" s="13">
        <v>2.0</v>
      </c>
      <c r="H164" s="18" t="s">
        <v>23</v>
      </c>
      <c r="I164" s="23">
        <v>9.584</v>
      </c>
      <c r="J164" s="23">
        <v>523.2612</v>
      </c>
      <c r="K164" s="23">
        <v>3.613</v>
      </c>
      <c r="L164" s="23">
        <v>0.024</v>
      </c>
      <c r="M164" s="22">
        <v>155.68966666666668</v>
      </c>
      <c r="N164" s="22">
        <v>22.87366666666667</v>
      </c>
      <c r="O164" s="22">
        <v>121.99</v>
      </c>
      <c r="P164" s="22">
        <v>20.331</v>
      </c>
      <c r="Q164" s="22">
        <v>49.584</v>
      </c>
      <c r="R164" s="22">
        <v>17.767666666666667</v>
      </c>
      <c r="S164" s="22"/>
      <c r="T164" s="22"/>
      <c r="U164" s="22"/>
      <c r="V164" s="22"/>
      <c r="W164" s="22"/>
      <c r="X164" s="22"/>
      <c r="Y164" s="22"/>
      <c r="Z164" s="22"/>
      <c r="AA164" s="22"/>
      <c r="AB164" s="22"/>
      <c r="AC164" s="22"/>
      <c r="AD164" s="22"/>
      <c r="AE164" s="22"/>
      <c r="AF164" s="22"/>
      <c r="AG164" s="22"/>
      <c r="AH164" s="22"/>
      <c r="AI164" s="22"/>
      <c r="AJ164" s="22"/>
      <c r="AK164" s="22"/>
      <c r="AL164" s="22"/>
    </row>
    <row r="165">
      <c r="A165" s="13" t="s">
        <v>20</v>
      </c>
      <c r="B165" s="13" t="s">
        <v>20</v>
      </c>
      <c r="C165" s="26">
        <v>45607.0</v>
      </c>
      <c r="D165" s="13" t="s">
        <v>24</v>
      </c>
      <c r="E165" s="13">
        <v>5.4</v>
      </c>
      <c r="F165" s="13" t="s">
        <v>27</v>
      </c>
      <c r="G165" s="13">
        <v>2.0</v>
      </c>
      <c r="H165" s="18" t="s">
        <v>23</v>
      </c>
      <c r="I165" s="23">
        <v>9.7634</v>
      </c>
      <c r="J165" s="23">
        <v>548.821</v>
      </c>
      <c r="K165" s="23">
        <v>3.844</v>
      </c>
      <c r="L165" s="23">
        <v>0.017</v>
      </c>
      <c r="M165" s="22">
        <v>142.80166666666668</v>
      </c>
      <c r="N165" s="22">
        <v>28.650333333333336</v>
      </c>
      <c r="O165" s="22">
        <v>114.63566666666667</v>
      </c>
      <c r="P165" s="22">
        <v>26.27</v>
      </c>
      <c r="Q165" s="22">
        <v>63.27333333333333</v>
      </c>
      <c r="R165" s="22">
        <v>24.236</v>
      </c>
      <c r="S165" s="22"/>
      <c r="T165" s="22"/>
      <c r="U165" s="22"/>
      <c r="V165" s="22"/>
      <c r="W165" s="22"/>
      <c r="X165" s="22"/>
      <c r="Y165" s="22"/>
      <c r="Z165" s="22"/>
      <c r="AA165" s="22"/>
      <c r="AB165" s="22"/>
      <c r="AC165" s="22"/>
      <c r="AD165" s="22"/>
      <c r="AE165" s="22"/>
      <c r="AF165" s="22"/>
      <c r="AG165" s="22"/>
      <c r="AH165" s="22"/>
      <c r="AI165" s="22"/>
      <c r="AJ165" s="22"/>
      <c r="AK165" s="22"/>
      <c r="AL165" s="22"/>
    </row>
    <row r="166">
      <c r="A166" s="13" t="s">
        <v>20</v>
      </c>
      <c r="B166" s="13" t="s">
        <v>20</v>
      </c>
      <c r="C166" s="26">
        <v>45607.0</v>
      </c>
      <c r="D166" s="13" t="s">
        <v>24</v>
      </c>
      <c r="E166" s="13">
        <v>6.1</v>
      </c>
      <c r="F166" s="13" t="s">
        <v>27</v>
      </c>
      <c r="G166" s="13">
        <v>2.0</v>
      </c>
      <c r="H166" s="18" t="s">
        <v>23</v>
      </c>
      <c r="I166" s="23">
        <v>12.24</v>
      </c>
      <c r="J166" s="23">
        <v>564.8204</v>
      </c>
      <c r="K166" s="23">
        <v>5.746</v>
      </c>
      <c r="L166" s="23">
        <v>0.068</v>
      </c>
      <c r="M166" s="22">
        <v>143.343</v>
      </c>
      <c r="N166" s="22">
        <v>21.628666666666664</v>
      </c>
      <c r="O166" s="22">
        <v>107.74666666666667</v>
      </c>
      <c r="P166" s="22">
        <v>20.747666666666664</v>
      </c>
      <c r="Q166" s="22">
        <v>47.028999999999996</v>
      </c>
      <c r="R166" s="22">
        <v>19.948</v>
      </c>
      <c r="S166" s="22"/>
      <c r="T166" s="22"/>
      <c r="U166" s="22"/>
      <c r="V166" s="22"/>
      <c r="W166" s="22"/>
      <c r="X166" s="22"/>
      <c r="Y166" s="22"/>
      <c r="Z166" s="22"/>
      <c r="AA166" s="22"/>
      <c r="AB166" s="22"/>
      <c r="AC166" s="22"/>
      <c r="AD166" s="22"/>
      <c r="AE166" s="22"/>
      <c r="AF166" s="22"/>
      <c r="AG166" s="22"/>
      <c r="AH166" s="22"/>
      <c r="AI166" s="22"/>
      <c r="AJ166" s="22"/>
      <c r="AK166" s="22"/>
      <c r="AL166" s="22"/>
    </row>
    <row r="167">
      <c r="A167" s="13" t="s">
        <v>20</v>
      </c>
      <c r="B167" s="13" t="s">
        <v>20</v>
      </c>
      <c r="C167" s="26">
        <v>45607.0</v>
      </c>
      <c r="D167" s="13" t="s">
        <v>24</v>
      </c>
      <c r="E167" s="13">
        <v>6.2</v>
      </c>
      <c r="F167" s="13" t="s">
        <v>27</v>
      </c>
      <c r="G167" s="13">
        <v>2.0</v>
      </c>
      <c r="H167" s="18" t="s">
        <v>23</v>
      </c>
      <c r="I167" s="23">
        <v>11.751</v>
      </c>
      <c r="J167" s="23">
        <v>537.6214</v>
      </c>
      <c r="K167" s="23">
        <v>5.462</v>
      </c>
      <c r="L167" s="23">
        <v>0.062</v>
      </c>
      <c r="M167" s="22">
        <v>154.269</v>
      </c>
      <c r="N167" s="22">
        <v>16.710666666666665</v>
      </c>
      <c r="O167" s="22">
        <v>118.23166666666668</v>
      </c>
      <c r="P167" s="22">
        <v>14.207999999999998</v>
      </c>
      <c r="Q167" s="22">
        <v>52.75899999999999</v>
      </c>
      <c r="R167" s="22">
        <v>15.692333333333332</v>
      </c>
      <c r="S167" s="22"/>
      <c r="T167" s="22"/>
      <c r="U167" s="22"/>
      <c r="V167" s="22"/>
      <c r="W167" s="22"/>
      <c r="X167" s="22"/>
      <c r="Y167" s="22"/>
      <c r="Z167" s="22"/>
      <c r="AA167" s="22"/>
      <c r="AB167" s="22"/>
      <c r="AC167" s="22"/>
      <c r="AD167" s="22"/>
      <c r="AE167" s="22"/>
      <c r="AF167" s="22"/>
      <c r="AG167" s="22"/>
      <c r="AH167" s="22"/>
      <c r="AI167" s="22"/>
      <c r="AJ167" s="22"/>
      <c r="AK167" s="22"/>
      <c r="AL167" s="22"/>
    </row>
    <row r="168">
      <c r="A168" s="13" t="s">
        <v>20</v>
      </c>
      <c r="B168" s="13" t="s">
        <v>20</v>
      </c>
      <c r="C168" s="26">
        <v>45607.0</v>
      </c>
      <c r="D168" s="13" t="s">
        <v>24</v>
      </c>
      <c r="E168" s="13">
        <v>6.3</v>
      </c>
      <c r="F168" s="13" t="s">
        <v>27</v>
      </c>
      <c r="G168" s="13">
        <v>2.0</v>
      </c>
      <c r="H168" s="18" t="s">
        <v>23</v>
      </c>
      <c r="I168" s="23">
        <v>11.696</v>
      </c>
      <c r="J168" s="23">
        <v>481.6027</v>
      </c>
      <c r="K168" s="23">
        <v>5.633</v>
      </c>
      <c r="L168" s="23">
        <v>0.011</v>
      </c>
      <c r="M168" s="22">
        <v>151.56933333333333</v>
      </c>
      <c r="N168" s="22">
        <v>21.49866666666667</v>
      </c>
      <c r="O168" s="22">
        <v>113.27466666666668</v>
      </c>
      <c r="P168" s="22">
        <v>18.482333333333333</v>
      </c>
      <c r="Q168" s="22">
        <v>46.915</v>
      </c>
      <c r="R168" s="22">
        <v>17.472666666666665</v>
      </c>
      <c r="S168" s="22"/>
      <c r="T168" s="22"/>
      <c r="U168" s="22"/>
      <c r="V168" s="22"/>
      <c r="W168" s="22"/>
      <c r="X168" s="22"/>
      <c r="Y168" s="22"/>
      <c r="Z168" s="22"/>
      <c r="AA168" s="22"/>
      <c r="AB168" s="22"/>
      <c r="AC168" s="22"/>
      <c r="AD168" s="22"/>
      <c r="AE168" s="22"/>
      <c r="AF168" s="22"/>
      <c r="AG168" s="22"/>
      <c r="AH168" s="22"/>
      <c r="AI168" s="22"/>
      <c r="AJ168" s="22"/>
      <c r="AK168" s="22"/>
      <c r="AL168" s="22"/>
    </row>
    <row r="169">
      <c r="A169" s="13" t="s">
        <v>20</v>
      </c>
      <c r="B169" s="13" t="s">
        <v>20</v>
      </c>
      <c r="C169" s="26">
        <v>45607.0</v>
      </c>
      <c r="D169" s="13" t="s">
        <v>24</v>
      </c>
      <c r="E169" s="13">
        <v>6.4</v>
      </c>
      <c r="F169" s="13" t="s">
        <v>27</v>
      </c>
      <c r="G169" s="13">
        <v>2.0</v>
      </c>
      <c r="H169" s="18" t="s">
        <v>23</v>
      </c>
      <c r="I169" s="23">
        <v>11.0871</v>
      </c>
      <c r="J169" s="23">
        <v>532.8865</v>
      </c>
      <c r="K169" s="23">
        <v>4.88</v>
      </c>
      <c r="L169" s="23">
        <v>0.08</v>
      </c>
      <c r="M169" s="22">
        <v>164.69033333333334</v>
      </c>
      <c r="N169" s="22">
        <v>22.547666666666668</v>
      </c>
      <c r="O169" s="22">
        <v>130.97433333333333</v>
      </c>
      <c r="P169" s="22">
        <v>19.275666666666666</v>
      </c>
      <c r="Q169" s="22">
        <v>82.812</v>
      </c>
      <c r="R169" s="22">
        <v>19.820999999999998</v>
      </c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22"/>
      <c r="AK169" s="22"/>
      <c r="AL169" s="22"/>
    </row>
    <row r="170">
      <c r="A170" s="13" t="s">
        <v>20</v>
      </c>
      <c r="B170" s="13" t="s">
        <v>20</v>
      </c>
      <c r="C170" s="26">
        <v>45607.0</v>
      </c>
      <c r="D170" s="13" t="s">
        <v>25</v>
      </c>
      <c r="E170" s="13">
        <v>4.1</v>
      </c>
      <c r="F170" s="13" t="s">
        <v>27</v>
      </c>
      <c r="G170" s="13">
        <v>2.0</v>
      </c>
      <c r="H170" s="18" t="s">
        <v>23</v>
      </c>
      <c r="I170" s="23">
        <v>11.956</v>
      </c>
      <c r="J170" s="23">
        <v>521.6098</v>
      </c>
      <c r="K170" s="23">
        <v>4.204</v>
      </c>
      <c r="L170" s="23">
        <v>0.064</v>
      </c>
      <c r="M170" s="22">
        <v>137.57933333333332</v>
      </c>
      <c r="N170" s="22">
        <v>23.638333333333332</v>
      </c>
      <c r="O170" s="22">
        <v>112.903</v>
      </c>
      <c r="P170" s="22">
        <v>22.981666666666666</v>
      </c>
      <c r="Q170" s="22">
        <v>62.74166666666667</v>
      </c>
      <c r="R170" s="22">
        <v>21.198333333333334</v>
      </c>
      <c r="S170" s="22"/>
      <c r="T170" s="22"/>
      <c r="U170" s="22"/>
      <c r="V170" s="22"/>
      <c r="W170" s="22"/>
      <c r="X170" s="22"/>
      <c r="Y170" s="22"/>
      <c r="Z170" s="22"/>
      <c r="AA170" s="22"/>
      <c r="AB170" s="22"/>
      <c r="AC170" s="22"/>
      <c r="AD170" s="22"/>
      <c r="AE170" s="22"/>
      <c r="AF170" s="22"/>
      <c r="AG170" s="22"/>
      <c r="AH170" s="22"/>
      <c r="AI170" s="22"/>
      <c r="AJ170" s="22"/>
      <c r="AK170" s="22"/>
      <c r="AL170" s="22"/>
    </row>
    <row r="171">
      <c r="A171" s="13" t="s">
        <v>20</v>
      </c>
      <c r="B171" s="13" t="s">
        <v>20</v>
      </c>
      <c r="C171" s="26">
        <v>45607.0</v>
      </c>
      <c r="D171" s="13" t="s">
        <v>25</v>
      </c>
      <c r="E171" s="13">
        <v>4.2</v>
      </c>
      <c r="F171" s="13" t="s">
        <v>27</v>
      </c>
      <c r="G171" s="13">
        <v>2.0</v>
      </c>
      <c r="H171" s="18" t="s">
        <v>23</v>
      </c>
      <c r="I171" s="23">
        <v>10.358</v>
      </c>
      <c r="J171" s="23">
        <v>521.6098</v>
      </c>
      <c r="K171" s="23">
        <v>3.355</v>
      </c>
      <c r="L171" s="23">
        <v>0.023</v>
      </c>
      <c r="M171" s="22">
        <v>127.89833333333333</v>
      </c>
      <c r="N171" s="22">
        <v>27.402</v>
      </c>
      <c r="O171" s="22">
        <v>105.49933333333333</v>
      </c>
      <c r="P171" s="22">
        <v>27.108333333333334</v>
      </c>
      <c r="Q171" s="22">
        <v>55.98266666666667</v>
      </c>
      <c r="R171" s="22">
        <v>22.024333333333335</v>
      </c>
      <c r="S171" s="22"/>
      <c r="T171" s="22"/>
      <c r="U171" s="22"/>
      <c r="V171" s="22"/>
      <c r="W171" s="22"/>
      <c r="X171" s="22"/>
      <c r="Y171" s="22"/>
      <c r="Z171" s="22"/>
      <c r="AA171" s="22"/>
      <c r="AB171" s="22"/>
      <c r="AC171" s="22"/>
      <c r="AD171" s="22"/>
      <c r="AE171" s="22"/>
      <c r="AF171" s="22"/>
      <c r="AG171" s="22"/>
      <c r="AH171" s="22"/>
      <c r="AI171" s="22"/>
      <c r="AJ171" s="22"/>
      <c r="AK171" s="22"/>
      <c r="AL171" s="22"/>
    </row>
    <row r="172">
      <c r="A172" s="13" t="s">
        <v>20</v>
      </c>
      <c r="B172" s="13" t="s">
        <v>20</v>
      </c>
      <c r="C172" s="26">
        <v>45607.0</v>
      </c>
      <c r="D172" s="13" t="s">
        <v>25</v>
      </c>
      <c r="E172" s="13">
        <v>4.3</v>
      </c>
      <c r="F172" s="13" t="s">
        <v>27</v>
      </c>
      <c r="G172" s="13">
        <v>2.0</v>
      </c>
      <c r="H172" s="18" t="s">
        <v>23</v>
      </c>
      <c r="I172" s="23">
        <v>12.419</v>
      </c>
      <c r="J172" s="23">
        <v>512.09</v>
      </c>
      <c r="K172" s="23">
        <v>4.317</v>
      </c>
      <c r="L172" s="23">
        <v>0.029</v>
      </c>
      <c r="M172" s="22">
        <v>127.60466666666666</v>
      </c>
      <c r="N172" s="22">
        <v>25.238</v>
      </c>
      <c r="O172" s="22">
        <v>106.00733333333334</v>
      </c>
      <c r="P172" s="22">
        <v>24.877666666666666</v>
      </c>
      <c r="Q172" s="22">
        <v>58.943000000000005</v>
      </c>
      <c r="R172" s="22">
        <v>20.064666666666668</v>
      </c>
      <c r="S172" s="22"/>
      <c r="T172" s="22"/>
      <c r="U172" s="22"/>
      <c r="V172" s="22"/>
      <c r="W172" s="22"/>
      <c r="X172" s="22"/>
      <c r="Y172" s="22"/>
      <c r="Z172" s="22"/>
      <c r="AA172" s="22"/>
      <c r="AB172" s="22"/>
      <c r="AC172" s="22"/>
      <c r="AD172" s="22"/>
      <c r="AE172" s="22"/>
      <c r="AF172" s="22"/>
      <c r="AG172" s="22"/>
      <c r="AH172" s="22"/>
      <c r="AI172" s="22"/>
      <c r="AJ172" s="22"/>
      <c r="AK172" s="22"/>
      <c r="AL172" s="22"/>
    </row>
    <row r="173">
      <c r="A173" s="13" t="s">
        <v>20</v>
      </c>
      <c r="B173" s="13" t="s">
        <v>20</v>
      </c>
      <c r="C173" s="26">
        <v>45607.0</v>
      </c>
      <c r="D173" s="13" t="s">
        <v>25</v>
      </c>
      <c r="E173" s="13">
        <v>4.4</v>
      </c>
      <c r="F173" s="13" t="s">
        <v>27</v>
      </c>
      <c r="G173" s="13">
        <v>2.0</v>
      </c>
      <c r="H173" s="18" t="s">
        <v>23</v>
      </c>
      <c r="I173" s="23">
        <v>11.1352</v>
      </c>
      <c r="J173" s="23">
        <v>512.0225</v>
      </c>
      <c r="K173" s="23">
        <v>4.077</v>
      </c>
      <c r="L173" s="23">
        <v>0.005</v>
      </c>
      <c r="M173" s="22">
        <v>130.85866666666666</v>
      </c>
      <c r="N173" s="22">
        <v>31.438666666666666</v>
      </c>
      <c r="O173" s="22">
        <v>115.253</v>
      </c>
      <c r="P173" s="22">
        <v>30.397333333333332</v>
      </c>
      <c r="Q173" s="22">
        <v>83.58300000000001</v>
      </c>
      <c r="R173" s="22">
        <v>26.584666666666664</v>
      </c>
      <c r="S173" s="22"/>
      <c r="T173" s="22"/>
      <c r="U173" s="22"/>
      <c r="V173" s="22"/>
      <c r="W173" s="22"/>
      <c r="X173" s="22"/>
      <c r="Y173" s="22"/>
      <c r="Z173" s="22"/>
      <c r="AA173" s="22"/>
      <c r="AB173" s="22"/>
      <c r="AC173" s="22"/>
      <c r="AD173" s="22"/>
      <c r="AE173" s="22"/>
      <c r="AF173" s="22"/>
      <c r="AG173" s="22"/>
      <c r="AH173" s="22"/>
      <c r="AI173" s="22"/>
      <c r="AJ173" s="22"/>
      <c r="AK173" s="22"/>
      <c r="AL173" s="22"/>
    </row>
    <row r="174">
      <c r="A174" s="13" t="s">
        <v>20</v>
      </c>
      <c r="B174" s="13" t="s">
        <v>20</v>
      </c>
      <c r="C174" s="26">
        <v>45607.0</v>
      </c>
      <c r="D174" s="13" t="s">
        <v>25</v>
      </c>
      <c r="E174" s="13">
        <v>5.1</v>
      </c>
      <c r="F174" s="13" t="s">
        <v>27</v>
      </c>
      <c r="G174" s="13">
        <v>2.0</v>
      </c>
      <c r="H174" s="18" t="s">
        <v>23</v>
      </c>
      <c r="I174" s="23">
        <v>9.584</v>
      </c>
      <c r="J174" s="23">
        <v>512.04</v>
      </c>
      <c r="K174" s="23">
        <v>3.243</v>
      </c>
      <c r="L174" s="23">
        <v>0.065</v>
      </c>
      <c r="M174" s="22">
        <v>122.952</v>
      </c>
      <c r="N174" s="22">
        <v>29.42866666666667</v>
      </c>
      <c r="O174" s="22">
        <v>97.51566666666668</v>
      </c>
      <c r="P174" s="22">
        <v>28.450000000000003</v>
      </c>
      <c r="Q174" s="22">
        <v>48.40566666666667</v>
      </c>
      <c r="R174" s="22">
        <v>21.498333333333335</v>
      </c>
      <c r="S174" s="22"/>
      <c r="T174" s="22"/>
      <c r="U174" s="22"/>
      <c r="V174" s="22"/>
      <c r="W174" s="22"/>
      <c r="X174" s="22"/>
      <c r="Y174" s="22"/>
      <c r="Z174" s="22"/>
      <c r="AA174" s="22"/>
      <c r="AB174" s="22"/>
      <c r="AC174" s="22"/>
      <c r="AD174" s="22"/>
      <c r="AE174" s="22"/>
      <c r="AF174" s="22"/>
      <c r="AG174" s="22"/>
      <c r="AH174" s="22"/>
      <c r="AI174" s="22"/>
      <c r="AJ174" s="22"/>
      <c r="AK174" s="22"/>
      <c r="AL174" s="22"/>
    </row>
    <row r="175">
      <c r="A175" s="13" t="s">
        <v>20</v>
      </c>
      <c r="B175" s="13" t="s">
        <v>20</v>
      </c>
      <c r="C175" s="26">
        <v>45607.0</v>
      </c>
      <c r="D175" s="13" t="s">
        <v>25</v>
      </c>
      <c r="E175" s="13">
        <v>5.2</v>
      </c>
      <c r="F175" s="13" t="s">
        <v>27</v>
      </c>
      <c r="G175" s="13">
        <v>2.0</v>
      </c>
      <c r="H175" s="18" t="s">
        <v>23</v>
      </c>
      <c r="I175" s="23">
        <v>9.334</v>
      </c>
      <c r="J175" s="23">
        <v>510.4627</v>
      </c>
      <c r="K175" s="23">
        <v>2.868</v>
      </c>
      <c r="L175" s="23">
        <v>0.04</v>
      </c>
      <c r="M175" s="22">
        <v>131.48166666666668</v>
      </c>
      <c r="N175" s="22">
        <v>22.907333333333337</v>
      </c>
      <c r="O175" s="22">
        <v>105.71933333333334</v>
      </c>
      <c r="P175" s="22">
        <v>23.366</v>
      </c>
      <c r="Q175" s="22">
        <v>58.135</v>
      </c>
      <c r="R175" s="22">
        <v>20.097333333333335</v>
      </c>
      <c r="S175" s="22"/>
      <c r="T175" s="22"/>
      <c r="U175" s="22"/>
      <c r="V175" s="22"/>
      <c r="W175" s="22"/>
      <c r="X175" s="22"/>
      <c r="Y175" s="22"/>
      <c r="Z175" s="22"/>
      <c r="AA175" s="22"/>
      <c r="AB175" s="22"/>
      <c r="AC175" s="22"/>
      <c r="AD175" s="22"/>
      <c r="AE175" s="22"/>
      <c r="AF175" s="22"/>
      <c r="AG175" s="22"/>
      <c r="AH175" s="22"/>
      <c r="AI175" s="22"/>
      <c r="AJ175" s="22"/>
      <c r="AK175" s="22"/>
      <c r="AL175" s="22"/>
    </row>
    <row r="176">
      <c r="A176" s="13" t="s">
        <v>20</v>
      </c>
      <c r="B176" s="13" t="s">
        <v>20</v>
      </c>
      <c r="C176" s="26">
        <v>45607.0</v>
      </c>
      <c r="D176" s="13" t="s">
        <v>25</v>
      </c>
      <c r="E176" s="13">
        <v>5.3</v>
      </c>
      <c r="F176" s="13" t="s">
        <v>27</v>
      </c>
      <c r="G176" s="13">
        <v>2.0</v>
      </c>
      <c r="H176" s="18" t="s">
        <v>23</v>
      </c>
      <c r="I176" s="23">
        <v>9.818</v>
      </c>
      <c r="J176" s="23">
        <v>521.6393</v>
      </c>
      <c r="K176" s="23">
        <v>2.793</v>
      </c>
      <c r="L176" s="23">
        <v>0.008</v>
      </c>
      <c r="M176" s="22">
        <v>147.85933333333335</v>
      </c>
      <c r="N176" s="22">
        <v>22.19366666666667</v>
      </c>
      <c r="O176" s="22">
        <v>123.37266666666666</v>
      </c>
      <c r="P176" s="22">
        <v>22.41633333333333</v>
      </c>
      <c r="Q176" s="22">
        <v>67.22866666666667</v>
      </c>
      <c r="R176" s="22">
        <v>20.646333333333335</v>
      </c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22"/>
      <c r="AK176" s="22"/>
      <c r="AL176" s="22"/>
    </row>
    <row r="177">
      <c r="A177" s="13" t="s">
        <v>20</v>
      </c>
      <c r="B177" s="13" t="s">
        <v>20</v>
      </c>
      <c r="C177" s="26">
        <v>45607.0</v>
      </c>
      <c r="D177" s="13" t="s">
        <v>25</v>
      </c>
      <c r="E177" s="13">
        <v>5.4</v>
      </c>
      <c r="F177" s="13" t="s">
        <v>27</v>
      </c>
      <c r="G177" s="13">
        <v>2.0</v>
      </c>
      <c r="H177" s="18" t="s">
        <v>23</v>
      </c>
      <c r="I177" s="23">
        <v>10.6118</v>
      </c>
      <c r="J177" s="23">
        <v>544.0024</v>
      </c>
      <c r="K177" s="23">
        <v>3.282</v>
      </c>
      <c r="L177" s="23">
        <v>0.028</v>
      </c>
      <c r="M177" s="22">
        <v>143.60433333333333</v>
      </c>
      <c r="N177" s="22">
        <v>21.247333333333334</v>
      </c>
      <c r="O177" s="22">
        <v>123.488</v>
      </c>
      <c r="P177" s="22">
        <v>20.853666666666665</v>
      </c>
      <c r="Q177" s="22">
        <v>91.72066666666667</v>
      </c>
      <c r="R177" s="22">
        <v>19.536</v>
      </c>
      <c r="S177" s="22"/>
      <c r="T177" s="22"/>
      <c r="U177" s="22"/>
      <c r="V177" s="22"/>
      <c r="W177" s="22"/>
      <c r="X177" s="22"/>
      <c r="Y177" s="22"/>
      <c r="Z177" s="22"/>
      <c r="AA177" s="22"/>
      <c r="AB177" s="22"/>
      <c r="AC177" s="22"/>
      <c r="AD177" s="22"/>
      <c r="AE177" s="22"/>
      <c r="AF177" s="22"/>
      <c r="AG177" s="22"/>
      <c r="AH177" s="22"/>
      <c r="AI177" s="22"/>
      <c r="AJ177" s="22"/>
      <c r="AK177" s="22"/>
      <c r="AL177" s="22"/>
    </row>
    <row r="178">
      <c r="A178" s="13" t="s">
        <v>20</v>
      </c>
      <c r="B178" s="13" t="s">
        <v>20</v>
      </c>
      <c r="C178" s="26">
        <v>45607.0</v>
      </c>
      <c r="D178" s="13" t="s">
        <v>25</v>
      </c>
      <c r="E178" s="13">
        <v>6.1</v>
      </c>
      <c r="F178" s="13" t="s">
        <v>27</v>
      </c>
      <c r="G178" s="13">
        <v>2.0</v>
      </c>
      <c r="H178" s="18" t="s">
        <v>23</v>
      </c>
      <c r="I178" s="23">
        <v>10.422</v>
      </c>
      <c r="J178" s="23">
        <v>563.2568</v>
      </c>
      <c r="K178" s="23">
        <v>3.245</v>
      </c>
      <c r="L178" s="23">
        <v>0.019</v>
      </c>
      <c r="M178" s="22">
        <v>117.09533333333333</v>
      </c>
      <c r="N178" s="22">
        <v>20.523333333333337</v>
      </c>
      <c r="O178" s="22">
        <v>92.18</v>
      </c>
      <c r="P178" s="22">
        <v>20.984333333333332</v>
      </c>
      <c r="Q178" s="22">
        <v>48.56766666666667</v>
      </c>
      <c r="R178" s="22">
        <v>17.496</v>
      </c>
      <c r="S178" s="22"/>
      <c r="T178" s="22"/>
      <c r="U178" s="22"/>
      <c r="V178" s="22"/>
      <c r="W178" s="22"/>
      <c r="X178" s="22"/>
      <c r="Y178" s="22"/>
      <c r="Z178" s="22"/>
      <c r="AA178" s="22"/>
      <c r="AB178" s="22"/>
      <c r="AC178" s="22"/>
      <c r="AD178" s="22"/>
      <c r="AE178" s="22"/>
      <c r="AF178" s="22"/>
      <c r="AG178" s="22"/>
      <c r="AH178" s="22"/>
      <c r="AI178" s="22"/>
      <c r="AJ178" s="22"/>
      <c r="AK178" s="22"/>
      <c r="AL178" s="22"/>
    </row>
    <row r="179">
      <c r="A179" s="13" t="s">
        <v>20</v>
      </c>
      <c r="B179" s="13" t="s">
        <v>20</v>
      </c>
      <c r="C179" s="26">
        <v>45607.0</v>
      </c>
      <c r="D179" s="13" t="s">
        <v>25</v>
      </c>
      <c r="E179" s="13">
        <v>6.2</v>
      </c>
      <c r="F179" s="13" t="s">
        <v>27</v>
      </c>
      <c r="G179" s="13">
        <v>2.0</v>
      </c>
      <c r="H179" s="18" t="s">
        <v>23</v>
      </c>
      <c r="I179" s="23">
        <v>14.281</v>
      </c>
      <c r="J179" s="23">
        <v>500.823</v>
      </c>
      <c r="K179" s="23">
        <v>4.777</v>
      </c>
      <c r="L179" s="23">
        <v>0.021</v>
      </c>
      <c r="M179" s="22">
        <v>114.75266666666666</v>
      </c>
      <c r="N179" s="22">
        <v>36.09</v>
      </c>
      <c r="O179" s="22">
        <v>90.70533333333333</v>
      </c>
      <c r="P179" s="22">
        <v>33.269999999999996</v>
      </c>
      <c r="Q179" s="22">
        <v>45.674</v>
      </c>
      <c r="R179" s="22">
        <v>22.278333333333336</v>
      </c>
      <c r="S179" s="22"/>
      <c r="T179" s="22"/>
      <c r="U179" s="22"/>
      <c r="V179" s="22"/>
      <c r="W179" s="22"/>
      <c r="X179" s="22"/>
      <c r="Y179" s="22"/>
      <c r="Z179" s="22"/>
      <c r="AA179" s="22"/>
      <c r="AB179" s="22"/>
      <c r="AC179" s="22"/>
      <c r="AD179" s="22"/>
      <c r="AE179" s="22"/>
      <c r="AF179" s="22"/>
      <c r="AG179" s="22"/>
      <c r="AH179" s="22"/>
      <c r="AI179" s="22"/>
      <c r="AJ179" s="22"/>
      <c r="AK179" s="22"/>
      <c r="AL179" s="22"/>
    </row>
    <row r="180">
      <c r="A180" s="13" t="s">
        <v>20</v>
      </c>
      <c r="B180" s="13" t="s">
        <v>20</v>
      </c>
      <c r="C180" s="26">
        <v>45607.0</v>
      </c>
      <c r="D180" s="13" t="s">
        <v>25</v>
      </c>
      <c r="E180" s="13">
        <v>6.3</v>
      </c>
      <c r="F180" s="13" t="s">
        <v>27</v>
      </c>
      <c r="G180" s="13">
        <v>2.0</v>
      </c>
      <c r="H180" s="18" t="s">
        <v>23</v>
      </c>
      <c r="I180" s="23">
        <v>12.84</v>
      </c>
      <c r="J180" s="23">
        <v>486.5289</v>
      </c>
      <c r="K180" s="23">
        <v>4.002</v>
      </c>
      <c r="L180" s="23">
        <v>0.02</v>
      </c>
      <c r="M180" s="22">
        <v>123.95299999999999</v>
      </c>
      <c r="N180" s="22">
        <v>29.721333333333334</v>
      </c>
      <c r="O180" s="22">
        <v>97.53566666666666</v>
      </c>
      <c r="P180" s="22">
        <v>28.623666666666665</v>
      </c>
      <c r="Q180" s="22">
        <v>49.43266666666667</v>
      </c>
      <c r="R180" s="22">
        <v>20.78233333333333</v>
      </c>
      <c r="S180" s="22"/>
      <c r="T180" s="22"/>
      <c r="U180" s="22"/>
      <c r="V180" s="22"/>
      <c r="W180" s="22"/>
      <c r="X180" s="22"/>
      <c r="Y180" s="22"/>
      <c r="Z180" s="22"/>
      <c r="AA180" s="22"/>
      <c r="AB180" s="22"/>
      <c r="AC180" s="22"/>
      <c r="AD180" s="22"/>
      <c r="AE180" s="22"/>
      <c r="AF180" s="22"/>
      <c r="AG180" s="22"/>
      <c r="AH180" s="22"/>
      <c r="AI180" s="22"/>
      <c r="AJ180" s="22"/>
      <c r="AK180" s="22"/>
      <c r="AL180" s="22"/>
    </row>
    <row r="181">
      <c r="A181" s="13" t="s">
        <v>20</v>
      </c>
      <c r="B181" s="13" t="s">
        <v>20</v>
      </c>
      <c r="C181" s="26">
        <v>45607.0</v>
      </c>
      <c r="D181" s="13" t="s">
        <v>25</v>
      </c>
      <c r="E181" s="13">
        <v>6.4</v>
      </c>
      <c r="F181" s="13" t="s">
        <v>27</v>
      </c>
      <c r="G181" s="13">
        <v>2.0</v>
      </c>
      <c r="H181" s="18" t="s">
        <v>23</v>
      </c>
      <c r="I181" s="23">
        <v>13.9517</v>
      </c>
      <c r="J181" s="23">
        <v>553.7133</v>
      </c>
      <c r="K181" s="23">
        <v>4.824</v>
      </c>
      <c r="L181" s="23">
        <v>0.019</v>
      </c>
      <c r="M181" s="22">
        <v>140.75366666666667</v>
      </c>
      <c r="N181" s="22">
        <v>30.053</v>
      </c>
      <c r="O181" s="22">
        <v>120.67233333333333</v>
      </c>
      <c r="P181" s="22">
        <v>29.144000000000002</v>
      </c>
      <c r="Q181" s="22">
        <v>84.65233333333335</v>
      </c>
      <c r="R181" s="22">
        <v>23.830666666666662</v>
      </c>
      <c r="S181" s="22"/>
      <c r="T181" s="22"/>
      <c r="U181" s="22"/>
      <c r="V181" s="22"/>
      <c r="W181" s="22"/>
      <c r="X181" s="22"/>
      <c r="Y181" s="22"/>
      <c r="Z181" s="22"/>
      <c r="AA181" s="22"/>
      <c r="AB181" s="22"/>
      <c r="AC181" s="22"/>
      <c r="AD181" s="22"/>
      <c r="AE181" s="22"/>
      <c r="AF181" s="22"/>
      <c r="AG181" s="22"/>
      <c r="AH181" s="22"/>
      <c r="AI181" s="22"/>
      <c r="AJ181" s="22"/>
      <c r="AK181" s="22"/>
      <c r="AL181" s="22"/>
    </row>
    <row r="182">
      <c r="A182" s="13" t="s">
        <v>20</v>
      </c>
      <c r="B182" s="13" t="s">
        <v>20</v>
      </c>
      <c r="C182" s="26">
        <v>45646.0</v>
      </c>
      <c r="D182" s="13" t="s">
        <v>21</v>
      </c>
      <c r="E182" s="13">
        <v>4.1</v>
      </c>
      <c r="F182" s="13" t="s">
        <v>27</v>
      </c>
      <c r="G182" s="13">
        <v>2.0</v>
      </c>
      <c r="H182" s="18" t="s">
        <v>26</v>
      </c>
      <c r="I182" s="23">
        <v>8.2117</v>
      </c>
      <c r="J182" s="23">
        <v>615.6187</v>
      </c>
      <c r="K182" s="23">
        <v>1.82</v>
      </c>
      <c r="L182" s="23">
        <v>0.013</v>
      </c>
      <c r="M182" s="22">
        <v>137.177</v>
      </c>
      <c r="N182" s="22">
        <v>27.402666666666665</v>
      </c>
      <c r="O182" s="22">
        <v>114.483</v>
      </c>
      <c r="P182" s="22">
        <v>31.670333333333335</v>
      </c>
      <c r="Q182" s="22">
        <v>63.25633333333334</v>
      </c>
      <c r="R182" s="22">
        <v>32.339666666666666</v>
      </c>
      <c r="S182" s="22"/>
      <c r="T182" s="22"/>
      <c r="U182" s="22"/>
      <c r="V182" s="22"/>
      <c r="W182" s="22"/>
      <c r="X182" s="22"/>
      <c r="Y182" s="22"/>
      <c r="Z182" s="22"/>
      <c r="AA182" s="22"/>
      <c r="AB182" s="22"/>
      <c r="AC182" s="22"/>
      <c r="AD182" s="22"/>
      <c r="AE182" s="22"/>
      <c r="AF182" s="22"/>
      <c r="AG182" s="22"/>
      <c r="AH182" s="22"/>
      <c r="AI182" s="22"/>
      <c r="AJ182" s="22"/>
      <c r="AK182" s="22"/>
      <c r="AL182" s="22"/>
    </row>
    <row r="183">
      <c r="A183" s="13" t="s">
        <v>20</v>
      </c>
      <c r="B183" s="13" t="s">
        <v>20</v>
      </c>
      <c r="C183" s="26">
        <v>45646.0</v>
      </c>
      <c r="D183" s="13" t="s">
        <v>21</v>
      </c>
      <c r="E183" s="13">
        <v>4.2</v>
      </c>
      <c r="F183" s="13" t="s">
        <v>27</v>
      </c>
      <c r="G183" s="13">
        <v>2.0</v>
      </c>
      <c r="H183" s="18" t="s">
        <v>26</v>
      </c>
      <c r="I183" s="23">
        <v>8.6298</v>
      </c>
      <c r="J183" s="23">
        <v>572.4</v>
      </c>
      <c r="K183" s="23">
        <v>2.15</v>
      </c>
      <c r="L183" s="23">
        <v>0.017</v>
      </c>
      <c r="M183" s="22">
        <v>131.90933333333334</v>
      </c>
      <c r="N183" s="22">
        <v>20.57133333333333</v>
      </c>
      <c r="O183" s="22">
        <v>99.25566666666667</v>
      </c>
      <c r="P183" s="22">
        <v>22.534666666666666</v>
      </c>
      <c r="Q183" s="22">
        <v>48.542</v>
      </c>
      <c r="R183" s="22">
        <v>23.273333333333337</v>
      </c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22"/>
      <c r="AK183" s="22"/>
      <c r="AL183" s="22"/>
    </row>
    <row r="184">
      <c r="A184" s="13" t="s">
        <v>20</v>
      </c>
      <c r="B184" s="13" t="s">
        <v>20</v>
      </c>
      <c r="C184" s="26">
        <v>45646.0</v>
      </c>
      <c r="D184" s="13" t="s">
        <v>21</v>
      </c>
      <c r="E184" s="13">
        <v>4.3</v>
      </c>
      <c r="F184" s="13" t="s">
        <v>27</v>
      </c>
      <c r="G184" s="13">
        <v>2.0</v>
      </c>
      <c r="H184" s="18" t="s">
        <v>26</v>
      </c>
      <c r="I184" s="23">
        <v>8.4614</v>
      </c>
      <c r="J184" s="23">
        <v>606.0582</v>
      </c>
      <c r="K184" s="23">
        <v>2.456</v>
      </c>
      <c r="L184" s="23">
        <v>0.015</v>
      </c>
      <c r="M184" s="22">
        <v>147.3903333333333</v>
      </c>
      <c r="N184" s="22">
        <v>28.400333333333336</v>
      </c>
      <c r="O184" s="22">
        <v>115.90466666666667</v>
      </c>
      <c r="P184" s="22">
        <v>27.075666666666667</v>
      </c>
      <c r="Q184" s="22">
        <v>56.97233333333333</v>
      </c>
      <c r="R184" s="22">
        <v>23.252</v>
      </c>
      <c r="S184" s="22"/>
      <c r="T184" s="22"/>
      <c r="U184" s="22"/>
      <c r="V184" s="22"/>
      <c r="W184" s="22"/>
      <c r="X184" s="22"/>
      <c r="Y184" s="22"/>
      <c r="Z184" s="22"/>
      <c r="AA184" s="22"/>
      <c r="AB184" s="22"/>
      <c r="AC184" s="22"/>
      <c r="AD184" s="22"/>
      <c r="AE184" s="22"/>
      <c r="AF184" s="22"/>
      <c r="AG184" s="22"/>
      <c r="AH184" s="22"/>
      <c r="AI184" s="22"/>
      <c r="AJ184" s="22"/>
      <c r="AK184" s="22"/>
      <c r="AL184" s="22"/>
    </row>
    <row r="185">
      <c r="A185" s="13" t="s">
        <v>20</v>
      </c>
      <c r="B185" s="13" t="s">
        <v>20</v>
      </c>
      <c r="C185" s="26">
        <v>45646.0</v>
      </c>
      <c r="D185" s="13" t="s">
        <v>21</v>
      </c>
      <c r="E185" s="13">
        <v>4.4</v>
      </c>
      <c r="F185" s="13" t="s">
        <v>27</v>
      </c>
      <c r="G185" s="13">
        <v>2.0</v>
      </c>
      <c r="H185" s="18" t="s">
        <v>26</v>
      </c>
      <c r="I185" s="23">
        <v>7.8591</v>
      </c>
      <c r="J185" s="23">
        <v>607.2</v>
      </c>
      <c r="K185" s="23">
        <v>1.429</v>
      </c>
      <c r="L185" s="23">
        <v>0.067</v>
      </c>
      <c r="M185" s="22">
        <v>154.2386666666667</v>
      </c>
      <c r="N185" s="22">
        <v>33.18966666666667</v>
      </c>
      <c r="O185" s="22">
        <v>131.696</v>
      </c>
      <c r="P185" s="22">
        <v>32.28666666666667</v>
      </c>
      <c r="Q185" s="22">
        <v>81.61566666666666</v>
      </c>
      <c r="R185" s="22">
        <v>32.375</v>
      </c>
      <c r="S185" s="22"/>
      <c r="T185" s="22"/>
      <c r="U185" s="22"/>
      <c r="V185" s="22"/>
      <c r="W185" s="22"/>
      <c r="X185" s="22"/>
      <c r="Y185" s="22"/>
      <c r="Z185" s="22"/>
      <c r="AA185" s="22"/>
      <c r="AB185" s="22"/>
      <c r="AC185" s="22"/>
      <c r="AD185" s="22"/>
      <c r="AE185" s="22"/>
      <c r="AF185" s="22"/>
      <c r="AG185" s="22"/>
      <c r="AH185" s="22"/>
      <c r="AI185" s="22"/>
      <c r="AJ185" s="22"/>
      <c r="AK185" s="22"/>
      <c r="AL185" s="22"/>
    </row>
    <row r="186">
      <c r="A186" s="13" t="s">
        <v>20</v>
      </c>
      <c r="B186" s="13" t="s">
        <v>20</v>
      </c>
      <c r="C186" s="26">
        <v>45646.0</v>
      </c>
      <c r="D186" s="13" t="s">
        <v>21</v>
      </c>
      <c r="E186" s="13">
        <v>5.1</v>
      </c>
      <c r="F186" s="13" t="s">
        <v>27</v>
      </c>
      <c r="G186" s="13">
        <v>2.0</v>
      </c>
      <c r="H186" s="18" t="s">
        <v>26</v>
      </c>
      <c r="I186" s="23">
        <v>9.0137</v>
      </c>
      <c r="J186" s="23">
        <v>554.4013</v>
      </c>
      <c r="K186" s="23">
        <v>2.439</v>
      </c>
      <c r="L186" s="23">
        <v>0.051</v>
      </c>
      <c r="M186" s="22">
        <v>129.17933333333335</v>
      </c>
      <c r="N186" s="22">
        <v>40.60833333333333</v>
      </c>
      <c r="O186" s="22">
        <v>100.64966666666668</v>
      </c>
      <c r="P186" s="22">
        <v>42.83566666666667</v>
      </c>
      <c r="Q186" s="22">
        <v>52.022</v>
      </c>
      <c r="R186" s="22">
        <v>33.312000000000005</v>
      </c>
      <c r="S186" s="22"/>
      <c r="T186" s="22"/>
      <c r="U186" s="22"/>
      <c r="V186" s="22"/>
      <c r="W186" s="22"/>
      <c r="X186" s="22"/>
      <c r="Y186" s="22"/>
      <c r="Z186" s="22"/>
      <c r="AA186" s="22"/>
      <c r="AB186" s="22"/>
      <c r="AC186" s="22"/>
      <c r="AD186" s="22"/>
      <c r="AE186" s="22"/>
      <c r="AF186" s="22"/>
      <c r="AG186" s="22"/>
      <c r="AH186" s="22"/>
      <c r="AI186" s="22"/>
      <c r="AJ186" s="22"/>
      <c r="AK186" s="22"/>
      <c r="AL186" s="22"/>
    </row>
    <row r="187">
      <c r="A187" s="13" t="s">
        <v>20</v>
      </c>
      <c r="B187" s="13" t="s">
        <v>20</v>
      </c>
      <c r="C187" s="26">
        <v>45646.0</v>
      </c>
      <c r="D187" s="13" t="s">
        <v>21</v>
      </c>
      <c r="E187" s="13">
        <v>5.2</v>
      </c>
      <c r="F187" s="13" t="s">
        <v>27</v>
      </c>
      <c r="G187" s="13">
        <v>2.0</v>
      </c>
      <c r="H187" s="18" t="s">
        <v>26</v>
      </c>
      <c r="I187" s="23">
        <v>9.5268</v>
      </c>
      <c r="J187" s="23">
        <v>601.2192</v>
      </c>
      <c r="K187" s="23">
        <v>2.089</v>
      </c>
      <c r="L187" s="23">
        <v>0.009</v>
      </c>
      <c r="M187" s="22">
        <v>103.52866666666667</v>
      </c>
      <c r="N187" s="22">
        <v>34.39566666666667</v>
      </c>
      <c r="O187" s="22">
        <v>78.44133333333333</v>
      </c>
      <c r="P187" s="22">
        <v>42.63233333333333</v>
      </c>
      <c r="Q187" s="22">
        <v>40.37433333333333</v>
      </c>
      <c r="R187" s="22">
        <v>32.226000000000006</v>
      </c>
      <c r="S187" s="22"/>
      <c r="T187" s="22"/>
      <c r="U187" s="22"/>
      <c r="V187" s="22"/>
      <c r="W187" s="22"/>
      <c r="X187" s="22"/>
      <c r="Y187" s="22"/>
      <c r="Z187" s="22"/>
      <c r="AA187" s="22"/>
      <c r="AB187" s="22"/>
      <c r="AC187" s="22"/>
      <c r="AD187" s="22"/>
      <c r="AE187" s="22"/>
      <c r="AF187" s="22"/>
      <c r="AG187" s="22"/>
      <c r="AH187" s="22"/>
      <c r="AI187" s="22"/>
      <c r="AJ187" s="22"/>
      <c r="AK187" s="22"/>
      <c r="AL187" s="22"/>
    </row>
    <row r="188">
      <c r="A188" s="13" t="s">
        <v>20</v>
      </c>
      <c r="B188" s="13" t="s">
        <v>20</v>
      </c>
      <c r="C188" s="26">
        <v>45646.0</v>
      </c>
      <c r="D188" s="13" t="s">
        <v>21</v>
      </c>
      <c r="E188" s="13">
        <v>5.3</v>
      </c>
      <c r="F188" s="13" t="s">
        <v>27</v>
      </c>
      <c r="G188" s="13">
        <v>2.0</v>
      </c>
      <c r="H188" s="18" t="s">
        <v>26</v>
      </c>
      <c r="I188" s="23">
        <v>9.9137</v>
      </c>
      <c r="J188" s="23">
        <v>574.8113</v>
      </c>
      <c r="K188" s="23">
        <v>2.71</v>
      </c>
      <c r="L188" s="23">
        <v>0.038</v>
      </c>
      <c r="M188" s="22">
        <v>114.50333333333333</v>
      </c>
      <c r="N188" s="22">
        <v>36.88766666666666</v>
      </c>
      <c r="O188" s="22">
        <v>84.34766666666665</v>
      </c>
      <c r="P188" s="22">
        <v>43.14833333333333</v>
      </c>
      <c r="Q188" s="22">
        <v>41.24633333333333</v>
      </c>
      <c r="R188" s="22">
        <v>30.401999999999997</v>
      </c>
      <c r="S188" s="22"/>
      <c r="T188" s="22"/>
      <c r="U188" s="22"/>
      <c r="V188" s="22"/>
      <c r="W188" s="22"/>
      <c r="X188" s="22"/>
      <c r="Y188" s="22"/>
      <c r="Z188" s="22"/>
      <c r="AA188" s="22"/>
      <c r="AB188" s="22"/>
      <c r="AC188" s="22"/>
      <c r="AD188" s="22"/>
      <c r="AE188" s="22"/>
      <c r="AF188" s="22"/>
      <c r="AG188" s="22"/>
      <c r="AH188" s="22"/>
      <c r="AI188" s="22"/>
      <c r="AJ188" s="22"/>
      <c r="AK188" s="22"/>
      <c r="AL188" s="22"/>
    </row>
    <row r="189">
      <c r="A189" s="13" t="s">
        <v>20</v>
      </c>
      <c r="B189" s="13" t="s">
        <v>20</v>
      </c>
      <c r="C189" s="26">
        <v>45646.0</v>
      </c>
      <c r="D189" s="13" t="s">
        <v>21</v>
      </c>
      <c r="E189" s="13">
        <v>5.4</v>
      </c>
      <c r="F189" s="13" t="s">
        <v>27</v>
      </c>
      <c r="G189" s="13">
        <v>2.0</v>
      </c>
      <c r="H189" s="18" t="s">
        <v>26</v>
      </c>
      <c r="I189" s="23">
        <v>9.2648</v>
      </c>
      <c r="J189" s="23">
        <v>531.6014</v>
      </c>
      <c r="K189" s="23">
        <v>2.341</v>
      </c>
      <c r="L189" s="23">
        <v>0.01</v>
      </c>
      <c r="M189" s="22">
        <v>104.22000000000001</v>
      </c>
      <c r="N189" s="22">
        <v>28.765</v>
      </c>
      <c r="O189" s="22">
        <v>78.44266666666667</v>
      </c>
      <c r="P189" s="22">
        <v>31.034666666666666</v>
      </c>
      <c r="Q189" s="22">
        <v>55.81933333333333</v>
      </c>
      <c r="R189" s="22">
        <v>29.427666666666667</v>
      </c>
      <c r="S189" s="22"/>
      <c r="T189" s="22"/>
      <c r="U189" s="22"/>
      <c r="V189" s="22"/>
      <c r="W189" s="22"/>
      <c r="X189" s="22"/>
      <c r="Y189" s="22"/>
      <c r="Z189" s="22"/>
      <c r="AA189" s="22"/>
      <c r="AB189" s="22"/>
      <c r="AC189" s="22"/>
      <c r="AD189" s="22"/>
      <c r="AE189" s="22"/>
      <c r="AF189" s="22"/>
      <c r="AG189" s="22"/>
      <c r="AH189" s="22"/>
      <c r="AI189" s="22"/>
      <c r="AJ189" s="22"/>
      <c r="AK189" s="22"/>
      <c r="AL189" s="22"/>
    </row>
    <row r="190">
      <c r="A190" s="13" t="s">
        <v>20</v>
      </c>
      <c r="B190" s="13" t="s">
        <v>20</v>
      </c>
      <c r="C190" s="26">
        <v>45646.0</v>
      </c>
      <c r="D190" s="13" t="s">
        <v>21</v>
      </c>
      <c r="E190" s="13">
        <v>6.1</v>
      </c>
      <c r="F190" s="13" t="s">
        <v>27</v>
      </c>
      <c r="G190" s="13">
        <v>2.0</v>
      </c>
      <c r="H190" s="18" t="s">
        <v>26</v>
      </c>
      <c r="I190" s="23">
        <v>8.9033</v>
      </c>
      <c r="J190" s="23">
        <v>540.0013</v>
      </c>
      <c r="K190" s="23">
        <v>2.479</v>
      </c>
      <c r="L190" s="23">
        <v>0.036</v>
      </c>
      <c r="M190" s="22">
        <v>130.78233333333333</v>
      </c>
      <c r="N190" s="22">
        <v>36.531333333333336</v>
      </c>
      <c r="O190" s="22">
        <v>96.72333333333334</v>
      </c>
      <c r="P190" s="22">
        <v>37.43566666666667</v>
      </c>
      <c r="Q190" s="22">
        <v>47.717999999999996</v>
      </c>
      <c r="R190" s="22">
        <v>28.914</v>
      </c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22"/>
      <c r="AK190" s="22"/>
      <c r="AL190" s="22"/>
    </row>
    <row r="191">
      <c r="A191" s="13" t="s">
        <v>20</v>
      </c>
      <c r="B191" s="13" t="s">
        <v>20</v>
      </c>
      <c r="C191" s="26">
        <v>45646.0</v>
      </c>
      <c r="D191" s="13" t="s">
        <v>21</v>
      </c>
      <c r="E191" s="13">
        <v>6.2</v>
      </c>
      <c r="F191" s="13" t="s">
        <v>27</v>
      </c>
      <c r="G191" s="13">
        <v>2.0</v>
      </c>
      <c r="H191" s="18" t="s">
        <v>26</v>
      </c>
      <c r="I191" s="23">
        <v>8.0333</v>
      </c>
      <c r="J191" s="23">
        <v>612.0</v>
      </c>
      <c r="K191" s="23">
        <v>1.32</v>
      </c>
      <c r="L191" s="23">
        <v>0.015</v>
      </c>
      <c r="M191" s="22">
        <v>118.64299999999999</v>
      </c>
      <c r="N191" s="22">
        <v>27.728333333333335</v>
      </c>
      <c r="O191" s="22">
        <v>87.61133333333333</v>
      </c>
      <c r="P191" s="22">
        <v>30.477666666666668</v>
      </c>
      <c r="Q191" s="22">
        <v>40.476333333333336</v>
      </c>
      <c r="R191" s="22">
        <v>24.200000000000003</v>
      </c>
      <c r="S191" s="22"/>
      <c r="T191" s="22"/>
      <c r="U191" s="22"/>
      <c r="V191" s="22"/>
      <c r="W191" s="22"/>
      <c r="X191" s="22"/>
      <c r="Y191" s="22"/>
      <c r="Z191" s="22"/>
      <c r="AA191" s="22"/>
      <c r="AB191" s="22"/>
      <c r="AC191" s="22"/>
      <c r="AD191" s="22"/>
      <c r="AE191" s="22"/>
      <c r="AF191" s="22"/>
      <c r="AG191" s="22"/>
      <c r="AH191" s="22"/>
      <c r="AI191" s="22"/>
      <c r="AJ191" s="22"/>
      <c r="AK191" s="22"/>
      <c r="AL191" s="22"/>
    </row>
    <row r="192">
      <c r="A192" s="13" t="s">
        <v>20</v>
      </c>
      <c r="B192" s="13" t="s">
        <v>20</v>
      </c>
      <c r="C192" s="26">
        <v>45646.0</v>
      </c>
      <c r="D192" s="13" t="s">
        <v>21</v>
      </c>
      <c r="E192" s="13">
        <v>6.3</v>
      </c>
      <c r="F192" s="13" t="s">
        <v>27</v>
      </c>
      <c r="G192" s="13">
        <v>2.0</v>
      </c>
      <c r="H192" s="18" t="s">
        <v>26</v>
      </c>
      <c r="I192" s="23">
        <v>8.6567</v>
      </c>
      <c r="J192" s="23">
        <v>580.8198</v>
      </c>
      <c r="K192" s="23">
        <v>1.587</v>
      </c>
      <c r="L192" s="23">
        <v>0.01</v>
      </c>
      <c r="M192" s="22">
        <v>128.357</v>
      </c>
      <c r="N192" s="22">
        <v>31.051999999999996</v>
      </c>
      <c r="O192" s="22">
        <v>98.30266666666667</v>
      </c>
      <c r="P192" s="22">
        <v>33.91733333333333</v>
      </c>
      <c r="Q192" s="22">
        <v>49.16933333333333</v>
      </c>
      <c r="R192" s="22">
        <v>31.12433333333333</v>
      </c>
      <c r="S192" s="22"/>
      <c r="T192" s="22"/>
      <c r="U192" s="22"/>
      <c r="V192" s="22"/>
      <c r="W192" s="22"/>
      <c r="X192" s="22"/>
      <c r="Y192" s="22"/>
      <c r="Z192" s="22"/>
      <c r="AA192" s="22"/>
      <c r="AB192" s="22"/>
      <c r="AC192" s="22"/>
      <c r="AD192" s="22"/>
      <c r="AE192" s="22"/>
      <c r="AF192" s="22"/>
      <c r="AG192" s="22"/>
      <c r="AH192" s="22"/>
      <c r="AI192" s="22"/>
      <c r="AJ192" s="22"/>
      <c r="AK192" s="22"/>
      <c r="AL192" s="22"/>
    </row>
    <row r="193">
      <c r="A193" s="13" t="s">
        <v>20</v>
      </c>
      <c r="B193" s="13" t="s">
        <v>20</v>
      </c>
      <c r="C193" s="26">
        <v>45646.0</v>
      </c>
      <c r="D193" s="13" t="s">
        <v>21</v>
      </c>
      <c r="E193" s="13">
        <v>6.4</v>
      </c>
      <c r="F193" s="13" t="s">
        <v>27</v>
      </c>
      <c r="G193" s="13">
        <v>2.0</v>
      </c>
      <c r="H193" s="18" t="s">
        <v>26</v>
      </c>
      <c r="I193" s="23">
        <v>8.0967</v>
      </c>
      <c r="J193" s="23">
        <v>580.8198</v>
      </c>
      <c r="K193" s="23">
        <v>1.987</v>
      </c>
      <c r="L193" s="23">
        <v>0.034</v>
      </c>
      <c r="M193" s="22">
        <v>139.90966666666668</v>
      </c>
      <c r="N193" s="22">
        <v>34.11633333333333</v>
      </c>
      <c r="O193" s="22">
        <v>110.42566666666669</v>
      </c>
      <c r="P193" s="22">
        <v>32.42733333333333</v>
      </c>
      <c r="Q193" s="22">
        <v>64.05066666666666</v>
      </c>
      <c r="R193" s="22">
        <v>28.641000000000002</v>
      </c>
      <c r="S193" s="22"/>
      <c r="T193" s="22"/>
      <c r="U193" s="22"/>
      <c r="V193" s="22"/>
      <c r="W193" s="22"/>
      <c r="X193" s="22"/>
      <c r="Y193" s="22"/>
      <c r="Z193" s="22"/>
      <c r="AA193" s="22"/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</row>
    <row r="194">
      <c r="A194" s="13" t="s">
        <v>20</v>
      </c>
      <c r="B194" s="13" t="s">
        <v>20</v>
      </c>
      <c r="C194" s="26">
        <v>45646.0</v>
      </c>
      <c r="D194" s="13" t="s">
        <v>24</v>
      </c>
      <c r="E194" s="13">
        <v>4.1</v>
      </c>
      <c r="F194" s="13" t="s">
        <v>27</v>
      </c>
      <c r="G194" s="13">
        <v>2.0</v>
      </c>
      <c r="H194" s="18" t="s">
        <v>26</v>
      </c>
      <c r="I194" s="23">
        <v>12.43</v>
      </c>
      <c r="J194" s="23">
        <v>584.4197</v>
      </c>
      <c r="K194" s="23">
        <v>5.546</v>
      </c>
      <c r="L194" s="23">
        <v>0.036</v>
      </c>
      <c r="M194" s="22">
        <v>167.16166666666666</v>
      </c>
      <c r="N194" s="22">
        <v>24.715333333333334</v>
      </c>
      <c r="O194" s="22">
        <v>143.657</v>
      </c>
      <c r="P194" s="22">
        <v>24.968333333333334</v>
      </c>
      <c r="Q194" s="22">
        <v>101.26766666666667</v>
      </c>
      <c r="R194" s="22">
        <v>25.43433333333333</v>
      </c>
      <c r="S194" s="22"/>
      <c r="T194" s="22"/>
      <c r="U194" s="22"/>
      <c r="V194" s="22"/>
      <c r="W194" s="22"/>
      <c r="X194" s="22"/>
      <c r="Y194" s="22"/>
      <c r="Z194" s="22"/>
      <c r="AA194" s="22"/>
      <c r="AB194" s="22"/>
      <c r="AC194" s="22"/>
      <c r="AD194" s="22"/>
      <c r="AE194" s="22"/>
      <c r="AF194" s="22"/>
      <c r="AG194" s="22"/>
      <c r="AH194" s="22"/>
      <c r="AI194" s="22"/>
      <c r="AJ194" s="22"/>
      <c r="AK194" s="22"/>
      <c r="AL194" s="22"/>
    </row>
    <row r="195">
      <c r="A195" s="13" t="s">
        <v>20</v>
      </c>
      <c r="B195" s="13" t="s">
        <v>20</v>
      </c>
      <c r="C195" s="26">
        <v>45646.0</v>
      </c>
      <c r="D195" s="13" t="s">
        <v>24</v>
      </c>
      <c r="E195" s="13">
        <v>4.2</v>
      </c>
      <c r="F195" s="13" t="s">
        <v>27</v>
      </c>
      <c r="G195" s="13">
        <v>2.0</v>
      </c>
      <c r="H195" s="18" t="s">
        <v>26</v>
      </c>
      <c r="I195" s="23">
        <v>13.0076</v>
      </c>
      <c r="J195" s="23">
        <v>590.4598</v>
      </c>
      <c r="K195" s="23">
        <v>5.498</v>
      </c>
      <c r="L195" s="23">
        <v>0.015</v>
      </c>
      <c r="M195" s="22">
        <v>164.00266666666667</v>
      </c>
      <c r="N195" s="22">
        <v>24.847333333333335</v>
      </c>
      <c r="O195" s="22">
        <v>137.09199999999998</v>
      </c>
      <c r="P195" s="22">
        <v>25.456666666666667</v>
      </c>
      <c r="Q195" s="22">
        <v>92.21433333333334</v>
      </c>
      <c r="R195" s="22">
        <v>25.737</v>
      </c>
      <c r="S195" s="22"/>
      <c r="T195" s="22"/>
      <c r="U195" s="22"/>
      <c r="V195" s="22"/>
      <c r="W195" s="22"/>
      <c r="X195" s="22"/>
      <c r="Y195" s="22"/>
      <c r="Z195" s="22"/>
      <c r="AA195" s="22"/>
      <c r="AB195" s="22"/>
      <c r="AC195" s="22"/>
      <c r="AD195" s="22"/>
      <c r="AE195" s="22"/>
      <c r="AF195" s="22"/>
      <c r="AG195" s="22"/>
      <c r="AH195" s="22"/>
      <c r="AI195" s="22"/>
      <c r="AJ195" s="22"/>
      <c r="AK195" s="22"/>
      <c r="AL195" s="22"/>
    </row>
    <row r="196">
      <c r="A196" s="13" t="s">
        <v>20</v>
      </c>
      <c r="B196" s="13" t="s">
        <v>20</v>
      </c>
      <c r="C196" s="26">
        <v>45646.0</v>
      </c>
      <c r="D196" s="13" t="s">
        <v>24</v>
      </c>
      <c r="E196" s="13">
        <v>4.3</v>
      </c>
      <c r="F196" s="13" t="s">
        <v>27</v>
      </c>
      <c r="G196" s="13">
        <v>2.0</v>
      </c>
      <c r="H196" s="18" t="s">
        <v>26</v>
      </c>
      <c r="I196" s="23">
        <v>13.5331</v>
      </c>
      <c r="J196" s="23">
        <v>544.4325</v>
      </c>
      <c r="K196" s="23">
        <v>5.794</v>
      </c>
      <c r="L196" s="23">
        <v>0.03</v>
      </c>
      <c r="M196" s="22">
        <v>147.4523333333333</v>
      </c>
      <c r="N196" s="22">
        <v>21.727666666666664</v>
      </c>
      <c r="O196" s="22">
        <v>118.77999999999999</v>
      </c>
      <c r="P196" s="22">
        <v>21.322</v>
      </c>
      <c r="Q196" s="22">
        <v>71.03566666666667</v>
      </c>
      <c r="R196" s="22">
        <v>20.337666666666667</v>
      </c>
      <c r="S196" s="22"/>
      <c r="T196" s="22"/>
      <c r="U196" s="22"/>
      <c r="V196" s="22"/>
      <c r="W196" s="22"/>
      <c r="X196" s="22"/>
      <c r="Y196" s="22"/>
      <c r="Z196" s="22"/>
      <c r="AA196" s="22"/>
      <c r="AB196" s="22"/>
      <c r="AC196" s="22"/>
      <c r="AD196" s="22"/>
      <c r="AE196" s="22"/>
      <c r="AF196" s="22"/>
      <c r="AG196" s="22"/>
      <c r="AH196" s="22"/>
      <c r="AI196" s="22"/>
      <c r="AJ196" s="22"/>
      <c r="AK196" s="22"/>
      <c r="AL196" s="22"/>
    </row>
    <row r="197">
      <c r="A197" s="13" t="s">
        <v>20</v>
      </c>
      <c r="B197" s="13" t="s">
        <v>20</v>
      </c>
      <c r="C197" s="26">
        <v>45646.0</v>
      </c>
      <c r="D197" s="13" t="s">
        <v>24</v>
      </c>
      <c r="E197" s="13">
        <v>4.4</v>
      </c>
      <c r="F197" s="13" t="s">
        <v>27</v>
      </c>
      <c r="G197" s="13">
        <v>2.0</v>
      </c>
      <c r="H197" s="18" t="s">
        <v>26</v>
      </c>
      <c r="I197" s="23">
        <v>13.1203</v>
      </c>
      <c r="J197" s="23">
        <v>571.2454</v>
      </c>
      <c r="K197" s="23">
        <v>6.003</v>
      </c>
      <c r="L197" s="23">
        <v>0.077</v>
      </c>
      <c r="M197" s="22">
        <v>155.4226666666667</v>
      </c>
      <c r="N197" s="22">
        <v>23.724333333333334</v>
      </c>
      <c r="O197" s="22">
        <v>77.77966666666667</v>
      </c>
      <c r="P197" s="22">
        <v>20.215333333333334</v>
      </c>
      <c r="Q197" s="22">
        <v>45.213666666666676</v>
      </c>
      <c r="R197" s="22">
        <v>17.52466666666667</v>
      </c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</row>
    <row r="198">
      <c r="A198" s="13" t="s">
        <v>20</v>
      </c>
      <c r="B198" s="13" t="s">
        <v>20</v>
      </c>
      <c r="C198" s="26">
        <v>45646.0</v>
      </c>
      <c r="D198" s="13" t="s">
        <v>24</v>
      </c>
      <c r="E198" s="13">
        <v>5.1</v>
      </c>
      <c r="F198" s="13" t="s">
        <v>27</v>
      </c>
      <c r="G198" s="13">
        <v>2.0</v>
      </c>
      <c r="H198" s="18" t="s">
        <v>26</v>
      </c>
      <c r="I198" s="23">
        <v>10.0039</v>
      </c>
      <c r="J198" s="23">
        <v>586.811</v>
      </c>
      <c r="K198" s="23">
        <v>4.442</v>
      </c>
      <c r="L198" s="23">
        <v>0.024</v>
      </c>
      <c r="M198" s="22">
        <v>143.75166666666667</v>
      </c>
      <c r="N198" s="22">
        <v>26.200666666666667</v>
      </c>
      <c r="O198" s="22">
        <v>128.59033333333332</v>
      </c>
      <c r="P198" s="22">
        <v>27.873666666666665</v>
      </c>
      <c r="Q198" s="22">
        <v>87.50999999999999</v>
      </c>
      <c r="R198" s="22">
        <v>32.951</v>
      </c>
      <c r="S198" s="22"/>
      <c r="T198" s="22"/>
      <c r="U198" s="22"/>
      <c r="V198" s="22"/>
      <c r="W198" s="22"/>
      <c r="X198" s="22"/>
      <c r="Y198" s="22"/>
      <c r="Z198" s="22"/>
      <c r="AA198" s="22"/>
      <c r="AB198" s="22"/>
      <c r="AC198" s="22"/>
      <c r="AD198" s="22"/>
      <c r="AE198" s="22"/>
      <c r="AF198" s="22"/>
      <c r="AG198" s="22"/>
      <c r="AH198" s="22"/>
      <c r="AI198" s="22"/>
      <c r="AJ198" s="22"/>
      <c r="AK198" s="22"/>
      <c r="AL198" s="22"/>
    </row>
    <row r="199">
      <c r="A199" s="13" t="s">
        <v>20</v>
      </c>
      <c r="B199" s="13" t="s">
        <v>20</v>
      </c>
      <c r="C199" s="26">
        <v>45646.0</v>
      </c>
      <c r="D199" s="13" t="s">
        <v>24</v>
      </c>
      <c r="E199" s="13">
        <v>5.2</v>
      </c>
      <c r="F199" s="13" t="s">
        <v>27</v>
      </c>
      <c r="G199" s="13">
        <v>2.0</v>
      </c>
      <c r="H199" s="18" t="s">
        <v>26</v>
      </c>
      <c r="I199" s="23">
        <v>9.2831</v>
      </c>
      <c r="J199" s="23">
        <v>596.4592</v>
      </c>
      <c r="K199" s="23">
        <v>3.315</v>
      </c>
      <c r="L199" s="23">
        <v>0.017</v>
      </c>
      <c r="M199" s="22">
        <v>161.746</v>
      </c>
      <c r="N199" s="22">
        <v>22.314000000000004</v>
      </c>
      <c r="O199" s="22">
        <v>138.347</v>
      </c>
      <c r="P199" s="22">
        <v>22.705666666666662</v>
      </c>
      <c r="Q199" s="22">
        <v>90.00600000000001</v>
      </c>
      <c r="R199" s="22">
        <v>26.019666666666666</v>
      </c>
      <c r="S199" s="22"/>
      <c r="T199" s="22"/>
      <c r="U199" s="22"/>
      <c r="V199" s="22"/>
      <c r="W199" s="22"/>
      <c r="X199" s="22"/>
      <c r="Y199" s="22"/>
      <c r="Z199" s="22"/>
      <c r="AA199" s="22"/>
      <c r="AB199" s="22"/>
      <c r="AC199" s="22"/>
      <c r="AD199" s="22"/>
      <c r="AE199" s="22"/>
      <c r="AF199" s="22"/>
      <c r="AG199" s="22"/>
      <c r="AH199" s="22"/>
      <c r="AI199" s="22"/>
      <c r="AJ199" s="22"/>
      <c r="AK199" s="22"/>
      <c r="AL199" s="22"/>
    </row>
    <row r="200">
      <c r="A200" s="13" t="s">
        <v>20</v>
      </c>
      <c r="B200" s="13" t="s">
        <v>20</v>
      </c>
      <c r="C200" s="26">
        <v>45646.0</v>
      </c>
      <c r="D200" s="13" t="s">
        <v>24</v>
      </c>
      <c r="E200" s="13">
        <v>5.3</v>
      </c>
      <c r="F200" s="13" t="s">
        <v>27</v>
      </c>
      <c r="G200" s="13">
        <v>2.0</v>
      </c>
      <c r="H200" s="18" t="s">
        <v>26</v>
      </c>
      <c r="I200" s="23">
        <v>9.7118</v>
      </c>
      <c r="J200" s="23">
        <v>612.1694</v>
      </c>
      <c r="K200" s="23">
        <v>3.763</v>
      </c>
      <c r="L200" s="23">
        <v>0.019</v>
      </c>
      <c r="M200" s="22">
        <v>154.04233333333332</v>
      </c>
      <c r="N200" s="22">
        <v>29.862</v>
      </c>
      <c r="O200" s="22">
        <v>102.71433333333334</v>
      </c>
      <c r="P200" s="22">
        <v>28.923000000000002</v>
      </c>
      <c r="Q200" s="22">
        <v>94.35733333333333</v>
      </c>
      <c r="R200" s="22">
        <v>29.189333333333334</v>
      </c>
      <c r="S200" s="22"/>
      <c r="T200" s="22"/>
      <c r="U200" s="22"/>
      <c r="V200" s="22"/>
      <c r="W200" s="22"/>
      <c r="X200" s="22"/>
      <c r="Y200" s="22"/>
      <c r="Z200" s="22"/>
      <c r="AA200" s="22"/>
      <c r="AB200" s="22"/>
      <c r="AC200" s="22"/>
      <c r="AD200" s="22"/>
      <c r="AE200" s="22"/>
      <c r="AF200" s="22"/>
      <c r="AG200" s="22"/>
      <c r="AH200" s="22"/>
      <c r="AI200" s="22"/>
      <c r="AJ200" s="22"/>
      <c r="AK200" s="22"/>
      <c r="AL200" s="22"/>
    </row>
    <row r="201">
      <c r="A201" s="13" t="s">
        <v>20</v>
      </c>
      <c r="B201" s="13" t="s">
        <v>20</v>
      </c>
      <c r="C201" s="26">
        <v>45646.0</v>
      </c>
      <c r="D201" s="13" t="s">
        <v>24</v>
      </c>
      <c r="E201" s="13">
        <v>5.4</v>
      </c>
      <c r="F201" s="13" t="s">
        <v>27</v>
      </c>
      <c r="G201" s="13">
        <v>2.0</v>
      </c>
      <c r="H201" s="18" t="s">
        <v>26</v>
      </c>
      <c r="I201" s="23">
        <v>10.1092</v>
      </c>
      <c r="J201" s="23">
        <v>574.82</v>
      </c>
      <c r="K201" s="23">
        <v>3.956</v>
      </c>
      <c r="L201" s="23">
        <v>0.022</v>
      </c>
      <c r="M201" s="22">
        <v>125.60733333333333</v>
      </c>
      <c r="N201" s="22">
        <v>33.29933333333333</v>
      </c>
      <c r="O201" s="22">
        <v>88.81966666666666</v>
      </c>
      <c r="P201" s="22">
        <v>27.99066666666667</v>
      </c>
      <c r="Q201" s="22">
        <v>32.56933333333334</v>
      </c>
      <c r="R201" s="22">
        <v>20.364</v>
      </c>
      <c r="S201" s="22"/>
      <c r="T201" s="22"/>
      <c r="U201" s="22"/>
      <c r="V201" s="22"/>
      <c r="W201" s="22"/>
      <c r="X201" s="22"/>
      <c r="Y201" s="22"/>
      <c r="Z201" s="22"/>
      <c r="AA201" s="22"/>
      <c r="AB201" s="22"/>
      <c r="AC201" s="22"/>
      <c r="AD201" s="22"/>
      <c r="AE201" s="22"/>
      <c r="AF201" s="22"/>
      <c r="AG201" s="22"/>
      <c r="AH201" s="22"/>
      <c r="AI201" s="22"/>
      <c r="AJ201" s="22"/>
      <c r="AK201" s="22"/>
      <c r="AL201" s="22"/>
    </row>
    <row r="202">
      <c r="A202" s="13" t="s">
        <v>20</v>
      </c>
      <c r="B202" s="13" t="s">
        <v>20</v>
      </c>
      <c r="C202" s="26">
        <v>45646.0</v>
      </c>
      <c r="D202" s="13" t="s">
        <v>24</v>
      </c>
      <c r="E202" s="13">
        <v>6.1</v>
      </c>
      <c r="F202" s="13" t="s">
        <v>27</v>
      </c>
      <c r="G202" s="13">
        <v>2.0</v>
      </c>
      <c r="H202" s="18" t="s">
        <v>26</v>
      </c>
      <c r="I202" s="23">
        <v>12.5892</v>
      </c>
      <c r="J202" s="23">
        <v>555.6117</v>
      </c>
      <c r="K202" s="23">
        <v>5.705</v>
      </c>
      <c r="L202" s="23">
        <v>0.031</v>
      </c>
      <c r="M202" s="22">
        <v>153.962</v>
      </c>
      <c r="N202" s="22">
        <v>22.929000000000002</v>
      </c>
      <c r="O202" s="22">
        <v>134.36666666666667</v>
      </c>
      <c r="P202" s="22">
        <v>20.771333333333335</v>
      </c>
      <c r="Q202" s="22">
        <v>97.856</v>
      </c>
      <c r="R202" s="22">
        <v>19.301333333333332</v>
      </c>
      <c r="S202" s="22"/>
      <c r="T202" s="22"/>
      <c r="U202" s="22"/>
      <c r="V202" s="22"/>
      <c r="W202" s="22"/>
      <c r="X202" s="22"/>
      <c r="Y202" s="22"/>
      <c r="Z202" s="22"/>
      <c r="AA202" s="22"/>
      <c r="AB202" s="22"/>
      <c r="AC202" s="22"/>
      <c r="AD202" s="22"/>
      <c r="AE202" s="22"/>
      <c r="AF202" s="22"/>
      <c r="AG202" s="22"/>
      <c r="AH202" s="22"/>
      <c r="AI202" s="22"/>
      <c r="AJ202" s="22"/>
      <c r="AK202" s="22"/>
      <c r="AL202" s="22"/>
    </row>
    <row r="203">
      <c r="A203" s="13" t="s">
        <v>20</v>
      </c>
      <c r="B203" s="13" t="s">
        <v>20</v>
      </c>
      <c r="C203" s="26">
        <v>45646.0</v>
      </c>
      <c r="D203" s="13" t="s">
        <v>24</v>
      </c>
      <c r="E203" s="13">
        <v>6.2</v>
      </c>
      <c r="F203" s="13" t="s">
        <v>27</v>
      </c>
      <c r="G203" s="13">
        <v>2.0</v>
      </c>
      <c r="H203" s="18" t="s">
        <v>26</v>
      </c>
      <c r="I203" s="23">
        <v>12.2507</v>
      </c>
      <c r="J203" s="23">
        <v>559.3287</v>
      </c>
      <c r="K203" s="23">
        <v>5.495</v>
      </c>
      <c r="L203" s="23">
        <v>0.03</v>
      </c>
      <c r="M203" s="22">
        <v>148.83466666666666</v>
      </c>
      <c r="N203" s="22">
        <v>20.528166666666667</v>
      </c>
      <c r="O203" s="22">
        <v>130.606</v>
      </c>
      <c r="P203" s="22">
        <v>19.185</v>
      </c>
      <c r="Q203" s="22">
        <v>94.36066666666666</v>
      </c>
      <c r="R203" s="22">
        <v>18.514</v>
      </c>
      <c r="S203" s="22"/>
      <c r="T203" s="22"/>
      <c r="U203" s="22"/>
      <c r="V203" s="22"/>
      <c r="W203" s="22"/>
      <c r="X203" s="22"/>
      <c r="Y203" s="22"/>
      <c r="Z203" s="22"/>
      <c r="AA203" s="22"/>
      <c r="AB203" s="22"/>
      <c r="AC203" s="22"/>
      <c r="AD203" s="22"/>
      <c r="AE203" s="22"/>
      <c r="AF203" s="22"/>
      <c r="AG203" s="22"/>
      <c r="AH203" s="22"/>
      <c r="AI203" s="22"/>
      <c r="AJ203" s="22"/>
      <c r="AK203" s="22"/>
      <c r="AL203" s="22"/>
    </row>
    <row r="204">
      <c r="A204" s="13" t="s">
        <v>20</v>
      </c>
      <c r="B204" s="13" t="s">
        <v>20</v>
      </c>
      <c r="C204" s="26">
        <v>45646.0</v>
      </c>
      <c r="D204" s="13" t="s">
        <v>24</v>
      </c>
      <c r="E204" s="13">
        <v>6.3</v>
      </c>
      <c r="F204" s="13" t="s">
        <v>27</v>
      </c>
      <c r="G204" s="13">
        <v>2.0</v>
      </c>
      <c r="H204" s="18" t="s">
        <v>26</v>
      </c>
      <c r="I204" s="23">
        <v>12.028</v>
      </c>
      <c r="J204" s="23">
        <v>597.6434</v>
      </c>
      <c r="K204" s="23">
        <v>5.406</v>
      </c>
      <c r="L204" s="23">
        <v>0.035</v>
      </c>
      <c r="M204" s="22">
        <v>158.35566666666668</v>
      </c>
      <c r="N204" s="22">
        <v>25.673666666666666</v>
      </c>
      <c r="O204" s="22">
        <v>138.15166666666667</v>
      </c>
      <c r="P204" s="22">
        <v>24.232333333333333</v>
      </c>
      <c r="Q204" s="22">
        <v>100.96033333333332</v>
      </c>
      <c r="R204" s="22">
        <v>23.727666666666664</v>
      </c>
      <c r="S204" s="22"/>
      <c r="T204" s="22"/>
      <c r="U204" s="22"/>
      <c r="V204" s="22"/>
      <c r="W204" s="22"/>
      <c r="X204" s="22"/>
      <c r="Y204" s="22"/>
      <c r="Z204" s="22"/>
      <c r="AA204" s="22"/>
      <c r="AB204" s="22"/>
      <c r="AC204" s="22"/>
      <c r="AD204" s="22"/>
      <c r="AE204" s="22"/>
      <c r="AF204" s="22"/>
      <c r="AG204" s="22"/>
      <c r="AH204" s="22"/>
      <c r="AI204" s="22"/>
      <c r="AJ204" s="22"/>
      <c r="AK204" s="22"/>
      <c r="AL204" s="22"/>
    </row>
    <row r="205">
      <c r="A205" s="13" t="s">
        <v>20</v>
      </c>
      <c r="B205" s="13" t="s">
        <v>20</v>
      </c>
      <c r="C205" s="26">
        <v>45646.0</v>
      </c>
      <c r="D205" s="13" t="s">
        <v>24</v>
      </c>
      <c r="E205" s="13">
        <v>6.4</v>
      </c>
      <c r="F205" s="13" t="s">
        <v>27</v>
      </c>
      <c r="G205" s="13">
        <v>2.0</v>
      </c>
      <c r="H205" s="18" t="s">
        <v>26</v>
      </c>
      <c r="I205" s="23">
        <v>11.5166</v>
      </c>
      <c r="J205" s="23">
        <v>543.6848</v>
      </c>
      <c r="K205" s="23">
        <v>4.887</v>
      </c>
      <c r="L205" s="23">
        <v>0.03</v>
      </c>
      <c r="M205" s="22">
        <v>152.84233333333333</v>
      </c>
      <c r="N205" s="22">
        <v>21.803</v>
      </c>
      <c r="O205" s="22">
        <v>108.428</v>
      </c>
      <c r="P205" s="22">
        <v>19.21533333333333</v>
      </c>
      <c r="Q205" s="22">
        <v>50.355333333333334</v>
      </c>
      <c r="R205" s="22">
        <v>26.169666666666668</v>
      </c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22"/>
      <c r="AK205" s="22"/>
      <c r="AL205" s="22"/>
    </row>
    <row r="206">
      <c r="A206" s="13" t="s">
        <v>20</v>
      </c>
      <c r="B206" s="13" t="s">
        <v>20</v>
      </c>
      <c r="C206" s="26">
        <v>45646.0</v>
      </c>
      <c r="D206" s="13" t="s">
        <v>25</v>
      </c>
      <c r="E206" s="13">
        <v>4.1</v>
      </c>
      <c r="F206" s="13" t="s">
        <v>27</v>
      </c>
      <c r="G206" s="13">
        <v>2.0</v>
      </c>
      <c r="H206" s="18" t="s">
        <v>26</v>
      </c>
      <c r="I206" s="23">
        <v>11.9857</v>
      </c>
      <c r="J206" s="23">
        <v>561.6051</v>
      </c>
      <c r="K206" s="23">
        <v>3.83</v>
      </c>
      <c r="L206" s="23">
        <v>0.028</v>
      </c>
      <c r="M206" s="22">
        <v>135.18433333333334</v>
      </c>
      <c r="N206" s="22">
        <v>26.394000000000002</v>
      </c>
      <c r="O206" s="22">
        <v>113.971</v>
      </c>
      <c r="P206" s="22">
        <v>27.201999999999998</v>
      </c>
      <c r="Q206" s="22">
        <v>61.563666666666656</v>
      </c>
      <c r="R206" s="22">
        <v>27.325</v>
      </c>
      <c r="S206" s="22"/>
      <c r="T206" s="22"/>
      <c r="U206" s="22"/>
      <c r="V206" s="22"/>
      <c r="W206" s="22"/>
      <c r="X206" s="22"/>
      <c r="Y206" s="22"/>
      <c r="Z206" s="22"/>
      <c r="AA206" s="22"/>
      <c r="AB206" s="22"/>
      <c r="AC206" s="22"/>
      <c r="AD206" s="22"/>
      <c r="AE206" s="22"/>
      <c r="AF206" s="22"/>
      <c r="AG206" s="22"/>
      <c r="AH206" s="22"/>
      <c r="AI206" s="22"/>
      <c r="AJ206" s="22"/>
      <c r="AK206" s="22"/>
      <c r="AL206" s="22"/>
    </row>
    <row r="207">
      <c r="A207" s="13" t="s">
        <v>20</v>
      </c>
      <c r="B207" s="13" t="s">
        <v>20</v>
      </c>
      <c r="C207" s="26">
        <v>45646.0</v>
      </c>
      <c r="D207" s="13" t="s">
        <v>25</v>
      </c>
      <c r="E207" s="13">
        <v>4.2</v>
      </c>
      <c r="F207" s="13" t="s">
        <v>27</v>
      </c>
      <c r="G207" s="13">
        <v>2.0</v>
      </c>
      <c r="H207" s="18" t="s">
        <v>26</v>
      </c>
      <c r="I207" s="23">
        <v>10.3514</v>
      </c>
      <c r="J207" s="23">
        <v>608.4</v>
      </c>
      <c r="K207" s="23">
        <v>3.026</v>
      </c>
      <c r="L207" s="23">
        <v>0.032</v>
      </c>
      <c r="M207" s="22">
        <v>137.06566666666666</v>
      </c>
      <c r="N207" s="22">
        <v>26.930666666666667</v>
      </c>
      <c r="O207" s="22">
        <v>113.72699999999999</v>
      </c>
      <c r="P207" s="22">
        <v>26.744333333333334</v>
      </c>
      <c r="Q207" s="22">
        <v>54.552666666666674</v>
      </c>
      <c r="R207" s="22">
        <v>23.06233333333333</v>
      </c>
      <c r="S207" s="22"/>
      <c r="T207" s="22"/>
      <c r="U207" s="22"/>
      <c r="V207" s="22"/>
      <c r="W207" s="22"/>
      <c r="X207" s="22"/>
      <c r="Y207" s="22"/>
      <c r="Z207" s="22"/>
      <c r="AA207" s="22"/>
      <c r="AB207" s="22"/>
      <c r="AC207" s="22"/>
      <c r="AD207" s="22"/>
      <c r="AE207" s="22"/>
      <c r="AF207" s="22"/>
      <c r="AG207" s="22"/>
      <c r="AH207" s="22"/>
      <c r="AI207" s="22"/>
      <c r="AJ207" s="22"/>
      <c r="AK207" s="22"/>
      <c r="AL207" s="22"/>
    </row>
    <row r="208">
      <c r="A208" s="13" t="s">
        <v>20</v>
      </c>
      <c r="B208" s="13" t="s">
        <v>20</v>
      </c>
      <c r="C208" s="26">
        <v>45646.0</v>
      </c>
      <c r="D208" s="13" t="s">
        <v>25</v>
      </c>
      <c r="E208" s="13">
        <v>4.3</v>
      </c>
      <c r="F208" s="13" t="s">
        <v>27</v>
      </c>
      <c r="G208" s="13">
        <v>2.0</v>
      </c>
      <c r="H208" s="18" t="s">
        <v>26</v>
      </c>
      <c r="I208" s="23">
        <v>12.4193</v>
      </c>
      <c r="J208" s="23">
        <v>622.9953</v>
      </c>
      <c r="K208" s="23">
        <v>4.125</v>
      </c>
      <c r="L208" s="23">
        <v>0.022</v>
      </c>
      <c r="M208" s="22">
        <v>131.26966666666667</v>
      </c>
      <c r="N208" s="22">
        <v>28.72266666666667</v>
      </c>
      <c r="O208" s="22">
        <v>110.19100000000002</v>
      </c>
      <c r="P208" s="22">
        <v>28.589</v>
      </c>
      <c r="Q208" s="22">
        <v>56.792</v>
      </c>
      <c r="R208" s="22">
        <v>25.075333333333333</v>
      </c>
      <c r="S208" s="22"/>
      <c r="T208" s="22"/>
      <c r="U208" s="22"/>
      <c r="V208" s="22"/>
      <c r="W208" s="22"/>
      <c r="X208" s="22"/>
      <c r="Y208" s="22"/>
      <c r="Z208" s="22"/>
      <c r="AA208" s="22"/>
      <c r="AB208" s="22"/>
      <c r="AC208" s="22"/>
      <c r="AD208" s="22"/>
      <c r="AE208" s="22"/>
      <c r="AF208" s="22"/>
      <c r="AG208" s="22"/>
      <c r="AH208" s="22"/>
      <c r="AI208" s="22"/>
      <c r="AJ208" s="22"/>
      <c r="AK208" s="22"/>
      <c r="AL208" s="22"/>
    </row>
    <row r="209">
      <c r="A209" s="13" t="s">
        <v>20</v>
      </c>
      <c r="B209" s="13" t="s">
        <v>20</v>
      </c>
      <c r="C209" s="26">
        <v>45646.0</v>
      </c>
      <c r="D209" s="13" t="s">
        <v>25</v>
      </c>
      <c r="E209" s="13">
        <v>4.4</v>
      </c>
      <c r="F209" s="13" t="s">
        <v>27</v>
      </c>
      <c r="G209" s="13">
        <v>2.0</v>
      </c>
      <c r="H209" s="18" t="s">
        <v>26</v>
      </c>
      <c r="I209" s="23">
        <v>11.4013</v>
      </c>
      <c r="J209" s="23">
        <v>609.6957</v>
      </c>
      <c r="K209" s="23">
        <v>4.254</v>
      </c>
      <c r="L209" s="23">
        <v>0.04</v>
      </c>
      <c r="M209" s="22">
        <v>124.73599999999999</v>
      </c>
      <c r="N209" s="22">
        <v>35.127</v>
      </c>
      <c r="O209" s="22">
        <v>104.02433333333333</v>
      </c>
      <c r="P209" s="22">
        <v>36.407333333333334</v>
      </c>
      <c r="Q209" s="22">
        <v>61.15566666666666</v>
      </c>
      <c r="R209" s="22">
        <v>30.886666666666667</v>
      </c>
      <c r="S209" s="22"/>
      <c r="T209" s="22"/>
      <c r="U209" s="22"/>
      <c r="V209" s="22"/>
      <c r="W209" s="22"/>
      <c r="X209" s="22"/>
      <c r="Y209" s="22"/>
      <c r="Z209" s="22"/>
      <c r="AA209" s="22"/>
      <c r="AB209" s="22"/>
      <c r="AC209" s="22"/>
      <c r="AD209" s="22"/>
      <c r="AE209" s="22"/>
      <c r="AF209" s="22"/>
      <c r="AG209" s="22"/>
      <c r="AH209" s="22"/>
      <c r="AI209" s="22"/>
      <c r="AJ209" s="22"/>
      <c r="AK209" s="22"/>
      <c r="AL209" s="22"/>
    </row>
    <row r="210">
      <c r="A210" s="13" t="s">
        <v>20</v>
      </c>
      <c r="B210" s="13" t="s">
        <v>20</v>
      </c>
      <c r="C210" s="26">
        <v>45646.0</v>
      </c>
      <c r="D210" s="13" t="s">
        <v>25</v>
      </c>
      <c r="E210" s="13">
        <v>5.1</v>
      </c>
      <c r="F210" s="13" t="s">
        <v>27</v>
      </c>
      <c r="G210" s="13">
        <v>2.0</v>
      </c>
      <c r="H210" s="18" t="s">
        <v>26</v>
      </c>
      <c r="I210" s="23">
        <v>9.8238</v>
      </c>
      <c r="J210" s="23">
        <v>604.8012</v>
      </c>
      <c r="K210" s="23">
        <v>3.159</v>
      </c>
      <c r="L210" s="23">
        <v>0.023</v>
      </c>
      <c r="M210" s="22">
        <v>141.275</v>
      </c>
      <c r="N210" s="22">
        <v>36.32633333333333</v>
      </c>
      <c r="O210" s="22">
        <v>117.75033333333333</v>
      </c>
      <c r="P210" s="22">
        <v>35.907333333333334</v>
      </c>
      <c r="Q210" s="22">
        <v>63.79266666666666</v>
      </c>
      <c r="R210" s="22">
        <v>29.982</v>
      </c>
      <c r="S210" s="22"/>
      <c r="T210" s="22"/>
      <c r="U210" s="22"/>
      <c r="V210" s="22"/>
      <c r="W210" s="22"/>
      <c r="X210" s="22"/>
      <c r="Y210" s="22"/>
      <c r="Z210" s="22"/>
      <c r="AA210" s="22"/>
      <c r="AB210" s="22"/>
      <c r="AC210" s="22"/>
      <c r="AD210" s="22"/>
      <c r="AE210" s="22"/>
      <c r="AF210" s="22"/>
      <c r="AG210" s="22"/>
      <c r="AH210" s="22"/>
      <c r="AI210" s="22"/>
      <c r="AJ210" s="22"/>
      <c r="AK210" s="22"/>
      <c r="AL210" s="22"/>
    </row>
    <row r="211">
      <c r="A211" s="13" t="s">
        <v>20</v>
      </c>
      <c r="B211" s="13" t="s">
        <v>20</v>
      </c>
      <c r="C211" s="26">
        <v>45646.0</v>
      </c>
      <c r="D211" s="13" t="s">
        <v>25</v>
      </c>
      <c r="E211" s="13">
        <v>5.2</v>
      </c>
      <c r="F211" s="13" t="s">
        <v>27</v>
      </c>
      <c r="G211" s="13">
        <v>2.0</v>
      </c>
      <c r="H211" s="18" t="s">
        <v>26</v>
      </c>
      <c r="I211" s="23">
        <v>9.4432</v>
      </c>
      <c r="J211" s="23">
        <v>596.4</v>
      </c>
      <c r="K211" s="23">
        <v>2.935</v>
      </c>
      <c r="L211" s="23">
        <v>0.021</v>
      </c>
      <c r="M211" s="22">
        <v>118.427</v>
      </c>
      <c r="N211" s="22">
        <v>33.048</v>
      </c>
      <c r="O211" s="22">
        <v>95.459</v>
      </c>
      <c r="P211" s="22">
        <v>31.975633333333334</v>
      </c>
      <c r="Q211" s="22">
        <v>47.97133333333333</v>
      </c>
      <c r="R211" s="22">
        <v>25.021</v>
      </c>
      <c r="S211" s="22"/>
      <c r="T211" s="22"/>
      <c r="U211" s="22"/>
      <c r="V211" s="22"/>
      <c r="W211" s="22"/>
      <c r="X211" s="22"/>
      <c r="Y211" s="22"/>
      <c r="Z211" s="22"/>
      <c r="AA211" s="22"/>
      <c r="AB211" s="22"/>
      <c r="AC211" s="22"/>
      <c r="AD211" s="22"/>
      <c r="AE211" s="22"/>
      <c r="AF211" s="22"/>
      <c r="AG211" s="22"/>
      <c r="AH211" s="22"/>
      <c r="AI211" s="22"/>
      <c r="AJ211" s="22"/>
      <c r="AK211" s="22"/>
      <c r="AL211" s="22"/>
    </row>
    <row r="212">
      <c r="A212" s="13" t="s">
        <v>20</v>
      </c>
      <c r="B212" s="13" t="s">
        <v>20</v>
      </c>
      <c r="C212" s="26">
        <v>45646.0</v>
      </c>
      <c r="D212" s="13" t="s">
        <v>25</v>
      </c>
      <c r="E212" s="13">
        <v>5.3</v>
      </c>
      <c r="F212" s="13" t="s">
        <v>27</v>
      </c>
      <c r="G212" s="13">
        <v>2.0</v>
      </c>
      <c r="H212" s="18" t="s">
        <v>26</v>
      </c>
      <c r="I212" s="23">
        <v>9.9382</v>
      </c>
      <c r="J212" s="23">
        <v>649.2044</v>
      </c>
      <c r="K212" s="23">
        <v>2.871</v>
      </c>
      <c r="L212" s="23">
        <v>0.016</v>
      </c>
      <c r="M212" s="22">
        <v>123.70033333333333</v>
      </c>
      <c r="N212" s="22">
        <v>31.048333333333332</v>
      </c>
      <c r="O212" s="22">
        <v>103.09366666666666</v>
      </c>
      <c r="P212" s="22">
        <v>30.921000000000003</v>
      </c>
      <c r="Q212" s="22">
        <v>50.69766666666666</v>
      </c>
      <c r="R212" s="22">
        <v>27.115</v>
      </c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22"/>
      <c r="AK212" s="22"/>
      <c r="AL212" s="22"/>
    </row>
    <row r="213">
      <c r="A213" s="13" t="s">
        <v>20</v>
      </c>
      <c r="B213" s="13" t="s">
        <v>20</v>
      </c>
      <c r="C213" s="26">
        <v>45646.0</v>
      </c>
      <c r="D213" s="13" t="s">
        <v>25</v>
      </c>
      <c r="E213" s="13">
        <v>5.4</v>
      </c>
      <c r="F213" s="13" t="s">
        <v>27</v>
      </c>
      <c r="G213" s="13">
        <v>2.0</v>
      </c>
      <c r="H213" s="18" t="s">
        <v>26</v>
      </c>
      <c r="I213" s="23">
        <v>11.0911</v>
      </c>
      <c r="J213" s="23">
        <v>572.4616</v>
      </c>
      <c r="K213" s="23">
        <v>3.428</v>
      </c>
      <c r="L213" s="23">
        <v>0.019</v>
      </c>
      <c r="M213" s="22">
        <v>133.036</v>
      </c>
      <c r="N213" s="22">
        <v>29.295333333333332</v>
      </c>
      <c r="O213" s="22">
        <v>110.00466666666667</v>
      </c>
      <c r="P213" s="22">
        <v>27.364666666666665</v>
      </c>
      <c r="Q213" s="22">
        <v>69.44066666666667</v>
      </c>
      <c r="R213" s="22">
        <v>26.641000000000002</v>
      </c>
      <c r="S213" s="22"/>
      <c r="T213" s="22"/>
      <c r="U213" s="22"/>
      <c r="V213" s="22"/>
      <c r="W213" s="22"/>
      <c r="X213" s="22"/>
      <c r="Y213" s="22"/>
      <c r="Z213" s="22"/>
      <c r="AA213" s="22"/>
      <c r="AB213" s="22"/>
      <c r="AC213" s="22"/>
      <c r="AD213" s="22"/>
      <c r="AE213" s="22"/>
      <c r="AF213" s="22"/>
      <c r="AG213" s="22"/>
      <c r="AH213" s="22"/>
      <c r="AI213" s="22"/>
      <c r="AJ213" s="22"/>
      <c r="AK213" s="22"/>
      <c r="AL213" s="22"/>
    </row>
    <row r="214">
      <c r="A214" s="13" t="s">
        <v>20</v>
      </c>
      <c r="B214" s="13" t="s">
        <v>20</v>
      </c>
      <c r="C214" s="26">
        <v>45646.0</v>
      </c>
      <c r="D214" s="13" t="s">
        <v>25</v>
      </c>
      <c r="E214" s="13">
        <v>6.1</v>
      </c>
      <c r="F214" s="13" t="s">
        <v>27</v>
      </c>
      <c r="G214" s="13">
        <v>2.0</v>
      </c>
      <c r="H214" s="18" t="s">
        <v>26</v>
      </c>
      <c r="I214" s="23">
        <v>10.4179</v>
      </c>
      <c r="J214" s="23">
        <v>561.7282</v>
      </c>
      <c r="K214" s="23">
        <v>3.063</v>
      </c>
      <c r="L214" s="23">
        <v>0.043</v>
      </c>
      <c r="M214" s="22">
        <v>126.27566666666667</v>
      </c>
      <c r="N214" s="22">
        <v>29.694</v>
      </c>
      <c r="O214" s="22">
        <v>107.247</v>
      </c>
      <c r="P214" s="22">
        <v>29.771</v>
      </c>
      <c r="Q214" s="22">
        <v>56.48833333333334</v>
      </c>
      <c r="R214" s="22">
        <v>25.626333333333335</v>
      </c>
      <c r="S214" s="22"/>
      <c r="T214" s="22"/>
      <c r="U214" s="22"/>
      <c r="V214" s="22"/>
      <c r="W214" s="22"/>
      <c r="X214" s="22"/>
      <c r="Y214" s="22"/>
      <c r="Z214" s="22"/>
      <c r="AA214" s="22"/>
      <c r="AB214" s="22"/>
      <c r="AC214" s="22"/>
      <c r="AD214" s="22"/>
      <c r="AE214" s="22"/>
      <c r="AF214" s="22"/>
      <c r="AG214" s="22"/>
      <c r="AH214" s="22"/>
      <c r="AI214" s="22"/>
      <c r="AJ214" s="22"/>
      <c r="AK214" s="22"/>
      <c r="AL214" s="22"/>
    </row>
    <row r="215">
      <c r="A215" s="13" t="s">
        <v>20</v>
      </c>
      <c r="B215" s="13" t="s">
        <v>20</v>
      </c>
      <c r="C215" s="26">
        <v>45646.0</v>
      </c>
      <c r="D215" s="13" t="s">
        <v>25</v>
      </c>
      <c r="E215" s="13">
        <v>6.2</v>
      </c>
      <c r="F215" s="13" t="s">
        <v>27</v>
      </c>
      <c r="G215" s="13">
        <v>2.0</v>
      </c>
      <c r="H215" s="18" t="s">
        <v>26</v>
      </c>
      <c r="I215" s="23">
        <v>14.3858</v>
      </c>
      <c r="J215" s="23">
        <v>560.6171</v>
      </c>
      <c r="K215" s="23">
        <v>4.511</v>
      </c>
      <c r="L215" s="23">
        <v>0.036</v>
      </c>
      <c r="M215" s="22">
        <v>128.25966666666667</v>
      </c>
      <c r="N215" s="22">
        <v>31.703666666666667</v>
      </c>
      <c r="O215" s="22">
        <v>107.024</v>
      </c>
      <c r="P215" s="22">
        <v>31.407666666666668</v>
      </c>
      <c r="Q215" s="22">
        <v>56.238</v>
      </c>
      <c r="R215" s="22">
        <v>26.29733333333333</v>
      </c>
      <c r="S215" s="22"/>
      <c r="T215" s="22"/>
      <c r="U215" s="22"/>
      <c r="V215" s="22"/>
      <c r="W215" s="22"/>
      <c r="X215" s="22"/>
      <c r="Y215" s="22"/>
      <c r="Z215" s="22"/>
      <c r="AA215" s="22"/>
      <c r="AB215" s="22"/>
      <c r="AC215" s="22"/>
      <c r="AD215" s="22"/>
      <c r="AE215" s="22"/>
      <c r="AF215" s="22"/>
      <c r="AG215" s="22"/>
      <c r="AH215" s="22"/>
      <c r="AI215" s="22"/>
      <c r="AJ215" s="22"/>
      <c r="AK215" s="22"/>
      <c r="AL215" s="22"/>
    </row>
    <row r="216">
      <c r="A216" s="13" t="s">
        <v>20</v>
      </c>
      <c r="B216" s="13" t="s">
        <v>20</v>
      </c>
      <c r="C216" s="26">
        <v>45646.0</v>
      </c>
      <c r="D216" s="13" t="s">
        <v>25</v>
      </c>
      <c r="E216" s="13">
        <v>6.3</v>
      </c>
      <c r="F216" s="13" t="s">
        <v>27</v>
      </c>
      <c r="G216" s="13">
        <v>2.0</v>
      </c>
      <c r="H216" s="18" t="s">
        <v>26</v>
      </c>
      <c r="I216" s="23">
        <v>12.5703</v>
      </c>
      <c r="J216" s="23">
        <v>618.1165</v>
      </c>
      <c r="K216" s="23">
        <v>4.387</v>
      </c>
      <c r="L216" s="23">
        <v>0.009</v>
      </c>
      <c r="M216" s="22">
        <v>122.99766666666666</v>
      </c>
      <c r="N216" s="22">
        <v>39.25666666666667</v>
      </c>
      <c r="O216" s="22">
        <v>102.516</v>
      </c>
      <c r="P216" s="22">
        <v>38.306999999999995</v>
      </c>
      <c r="Q216" s="22">
        <v>53.29233333333334</v>
      </c>
      <c r="R216" s="22">
        <v>30.328666666666667</v>
      </c>
      <c r="S216" s="22"/>
      <c r="T216" s="22"/>
      <c r="U216" s="22"/>
      <c r="V216" s="22"/>
      <c r="W216" s="22"/>
      <c r="X216" s="22"/>
      <c r="Y216" s="22"/>
      <c r="Z216" s="22"/>
      <c r="AA216" s="22"/>
      <c r="AB216" s="22"/>
      <c r="AC216" s="22"/>
      <c r="AD216" s="22"/>
      <c r="AE216" s="22"/>
      <c r="AF216" s="22"/>
      <c r="AG216" s="22"/>
      <c r="AH216" s="22"/>
      <c r="AI216" s="22"/>
      <c r="AJ216" s="22"/>
      <c r="AK216" s="22"/>
      <c r="AL216" s="22"/>
    </row>
    <row r="217">
      <c r="A217" s="13" t="s">
        <v>20</v>
      </c>
      <c r="B217" s="13" t="s">
        <v>20</v>
      </c>
      <c r="C217" s="26">
        <v>45646.0</v>
      </c>
      <c r="D217" s="13" t="s">
        <v>25</v>
      </c>
      <c r="E217" s="13">
        <v>6.4</v>
      </c>
      <c r="F217" s="13" t="s">
        <v>27</v>
      </c>
      <c r="G217" s="13">
        <v>2.0</v>
      </c>
      <c r="H217" s="18" t="s">
        <v>26</v>
      </c>
      <c r="I217" s="23">
        <v>14.4081</v>
      </c>
      <c r="J217" s="23">
        <v>555.705</v>
      </c>
      <c r="K217" s="23">
        <v>5.072</v>
      </c>
      <c r="L217" s="23">
        <v>0.04</v>
      </c>
      <c r="M217" s="22">
        <v>136.4226666666667</v>
      </c>
      <c r="N217" s="22">
        <v>35.383</v>
      </c>
      <c r="O217" s="22">
        <v>111.94566666666667</v>
      </c>
      <c r="P217" s="22">
        <v>33.632666666666665</v>
      </c>
      <c r="Q217" s="22">
        <v>67.20933333333335</v>
      </c>
      <c r="R217" s="22">
        <v>30.118333333333336</v>
      </c>
      <c r="S217" s="22"/>
      <c r="T217" s="22"/>
      <c r="U217" s="22"/>
      <c r="V217" s="22"/>
      <c r="W217" s="22"/>
      <c r="X217" s="22"/>
      <c r="Y217" s="22"/>
      <c r="Z217" s="22"/>
      <c r="AA217" s="22"/>
      <c r="AB217" s="22"/>
      <c r="AC217" s="22"/>
      <c r="AD217" s="22"/>
      <c r="AE217" s="22"/>
      <c r="AF217" s="22"/>
      <c r="AG217" s="22"/>
      <c r="AH217" s="22"/>
      <c r="AI217" s="22"/>
      <c r="AJ217" s="22"/>
      <c r="AK217" s="22"/>
      <c r="AL217" s="22"/>
    </row>
    <row r="218">
      <c r="A218" s="13" t="s">
        <v>19</v>
      </c>
      <c r="B218" s="13" t="s">
        <v>20</v>
      </c>
      <c r="C218" s="14">
        <v>45482.0</v>
      </c>
      <c r="D218" s="15" t="s">
        <v>21</v>
      </c>
      <c r="E218" s="16">
        <v>7.1</v>
      </c>
      <c r="F218" s="15" t="s">
        <v>22</v>
      </c>
      <c r="G218" s="17">
        <v>2.0</v>
      </c>
      <c r="H218" s="18" t="s">
        <v>23</v>
      </c>
      <c r="I218" s="19">
        <v>9.8175</v>
      </c>
      <c r="J218" s="20">
        <v>616.2828</v>
      </c>
      <c r="K218" s="20">
        <v>3.897</v>
      </c>
      <c r="L218" s="20">
        <v>0.033</v>
      </c>
      <c r="M218" s="21">
        <v>95.456</v>
      </c>
      <c r="N218" s="21">
        <v>28.447999999999997</v>
      </c>
      <c r="O218" s="21">
        <v>78.11566666666667</v>
      </c>
      <c r="P218" s="21">
        <v>29.161</v>
      </c>
      <c r="Q218" s="21">
        <v>58.385</v>
      </c>
      <c r="R218" s="21">
        <v>25.893666666666665</v>
      </c>
      <c r="S218" s="22"/>
      <c r="T218" s="22"/>
      <c r="U218" s="22"/>
      <c r="V218" s="22"/>
      <c r="W218" s="22"/>
      <c r="X218" s="22"/>
      <c r="Y218" s="22"/>
      <c r="Z218" s="22"/>
      <c r="AA218" s="22"/>
      <c r="AB218" s="22"/>
      <c r="AC218" s="22"/>
      <c r="AD218" s="22"/>
      <c r="AE218" s="22"/>
      <c r="AF218" s="22"/>
      <c r="AG218" s="22"/>
      <c r="AH218" s="22"/>
      <c r="AI218" s="22"/>
      <c r="AJ218" s="22"/>
      <c r="AK218" s="22"/>
      <c r="AL218" s="22"/>
    </row>
    <row r="219">
      <c r="A219" s="13" t="s">
        <v>19</v>
      </c>
      <c r="B219" s="13" t="s">
        <v>20</v>
      </c>
      <c r="C219" s="14">
        <v>45482.0</v>
      </c>
      <c r="D219" s="15" t="s">
        <v>21</v>
      </c>
      <c r="E219" s="16">
        <v>7.2</v>
      </c>
      <c r="F219" s="15" t="s">
        <v>22</v>
      </c>
      <c r="G219" s="17">
        <v>2.0</v>
      </c>
      <c r="H219" s="18" t="s">
        <v>23</v>
      </c>
      <c r="I219" s="19">
        <v>10.6301</v>
      </c>
      <c r="J219" s="20">
        <v>790.3063</v>
      </c>
      <c r="K219" s="20">
        <v>2.102</v>
      </c>
      <c r="L219" s="20">
        <v>0.021</v>
      </c>
      <c r="M219" s="21">
        <v>129.382</v>
      </c>
      <c r="N219" s="21">
        <v>30.958333333333332</v>
      </c>
      <c r="O219" s="21">
        <v>116.231</v>
      </c>
      <c r="P219" s="21">
        <v>35.248333333333335</v>
      </c>
      <c r="Q219" s="21">
        <v>62.59566666666666</v>
      </c>
      <c r="R219" s="21">
        <v>39.07599999999999</v>
      </c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22"/>
      <c r="AK219" s="22"/>
      <c r="AL219" s="22"/>
    </row>
    <row r="220">
      <c r="A220" s="13" t="s">
        <v>19</v>
      </c>
      <c r="B220" s="13" t="s">
        <v>20</v>
      </c>
      <c r="C220" s="14">
        <v>45482.0</v>
      </c>
      <c r="D220" s="15" t="s">
        <v>21</v>
      </c>
      <c r="E220" s="16">
        <v>7.3</v>
      </c>
      <c r="F220" s="15" t="s">
        <v>22</v>
      </c>
      <c r="G220" s="17">
        <v>2.0</v>
      </c>
      <c r="H220" s="18" t="s">
        <v>23</v>
      </c>
      <c r="I220" s="19">
        <v>12.3532</v>
      </c>
      <c r="J220" s="20">
        <v>666.2432</v>
      </c>
      <c r="K220" s="20">
        <v>5.279</v>
      </c>
      <c r="L220" s="20">
        <v>0.002</v>
      </c>
      <c r="M220" s="21">
        <v>154.17566666666667</v>
      </c>
      <c r="N220" s="21">
        <v>34.891</v>
      </c>
      <c r="O220" s="21">
        <v>139.82833333333335</v>
      </c>
      <c r="P220" s="21">
        <v>35.034333333333336</v>
      </c>
      <c r="Q220" s="21">
        <v>115.56666666666666</v>
      </c>
      <c r="R220" s="21">
        <v>34.510333333333335</v>
      </c>
      <c r="S220" s="22"/>
      <c r="T220" s="22"/>
      <c r="U220" s="22"/>
      <c r="V220" s="22"/>
      <c r="W220" s="22"/>
      <c r="X220" s="22"/>
      <c r="Y220" s="22"/>
      <c r="Z220" s="22"/>
      <c r="AA220" s="22"/>
      <c r="AB220" s="22"/>
      <c r="AC220" s="22"/>
      <c r="AD220" s="22"/>
      <c r="AE220" s="22"/>
      <c r="AF220" s="22"/>
      <c r="AG220" s="22"/>
      <c r="AH220" s="22"/>
      <c r="AI220" s="22"/>
      <c r="AJ220" s="22"/>
      <c r="AK220" s="22"/>
      <c r="AL220" s="22"/>
    </row>
    <row r="221">
      <c r="A221" s="13" t="s">
        <v>19</v>
      </c>
      <c r="B221" s="13" t="s">
        <v>20</v>
      </c>
      <c r="C221" s="14">
        <v>45482.0</v>
      </c>
      <c r="D221" s="15" t="s">
        <v>21</v>
      </c>
      <c r="E221" s="16">
        <v>7.4</v>
      </c>
      <c r="F221" s="15" t="s">
        <v>22</v>
      </c>
      <c r="G221" s="17">
        <v>2.0</v>
      </c>
      <c r="H221" s="18" t="s">
        <v>23</v>
      </c>
      <c r="I221" s="19">
        <v>10.6068</v>
      </c>
      <c r="J221" s="20">
        <v>642.1121</v>
      </c>
      <c r="K221" s="20">
        <v>4.74</v>
      </c>
      <c r="L221" s="20">
        <v>0.02</v>
      </c>
      <c r="M221" s="21">
        <v>111.29233333333333</v>
      </c>
      <c r="N221" s="21">
        <v>35.57833333333333</v>
      </c>
      <c r="O221" s="21">
        <v>93.78433333333334</v>
      </c>
      <c r="P221" s="21">
        <v>34.982</v>
      </c>
      <c r="Q221" s="21">
        <v>64.91566666666665</v>
      </c>
      <c r="R221" s="21">
        <v>30.94033333333333</v>
      </c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22"/>
      <c r="AK221" s="22"/>
      <c r="AL221" s="22"/>
    </row>
    <row r="222">
      <c r="A222" s="13" t="s">
        <v>19</v>
      </c>
      <c r="B222" s="13" t="s">
        <v>20</v>
      </c>
      <c r="C222" s="14">
        <v>45482.0</v>
      </c>
      <c r="D222" s="15" t="s">
        <v>21</v>
      </c>
      <c r="E222" s="16">
        <v>8.1</v>
      </c>
      <c r="F222" s="15" t="s">
        <v>22</v>
      </c>
      <c r="G222" s="17">
        <v>2.0</v>
      </c>
      <c r="H222" s="18" t="s">
        <v>23</v>
      </c>
      <c r="I222" s="19">
        <v>11.2639</v>
      </c>
      <c r="J222" s="20">
        <v>640.5</v>
      </c>
      <c r="K222" s="20">
        <v>4.446</v>
      </c>
      <c r="L222" s="20">
        <v>0.014</v>
      </c>
      <c r="M222" s="21">
        <v>139.809</v>
      </c>
      <c r="N222" s="21">
        <v>29.69066666666667</v>
      </c>
      <c r="O222" s="21">
        <v>119.03500000000001</v>
      </c>
      <c r="P222" s="21">
        <v>30.983333333333334</v>
      </c>
      <c r="Q222" s="21">
        <v>88.19099999999999</v>
      </c>
      <c r="R222" s="21">
        <v>32.11966666666667</v>
      </c>
      <c r="S222" s="22"/>
      <c r="T222" s="22"/>
      <c r="U222" s="22"/>
      <c r="V222" s="22"/>
      <c r="W222" s="22"/>
      <c r="X222" s="22"/>
      <c r="Y222" s="22"/>
      <c r="Z222" s="22"/>
      <c r="AA222" s="22"/>
      <c r="AB222" s="22"/>
      <c r="AC222" s="22"/>
      <c r="AD222" s="22"/>
      <c r="AE222" s="22"/>
      <c r="AF222" s="22"/>
      <c r="AG222" s="22"/>
      <c r="AH222" s="22"/>
      <c r="AI222" s="22"/>
      <c r="AJ222" s="22"/>
      <c r="AK222" s="22"/>
      <c r="AL222" s="22"/>
    </row>
    <row r="223">
      <c r="A223" s="13" t="s">
        <v>19</v>
      </c>
      <c r="B223" s="13" t="s">
        <v>20</v>
      </c>
      <c r="C223" s="14">
        <v>45482.0</v>
      </c>
      <c r="D223" s="15" t="s">
        <v>21</v>
      </c>
      <c r="E223" s="16">
        <v>8.2</v>
      </c>
      <c r="F223" s="15" t="s">
        <v>22</v>
      </c>
      <c r="G223" s="17">
        <v>2.0</v>
      </c>
      <c r="H223" s="18" t="s">
        <v>23</v>
      </c>
      <c r="I223" s="19">
        <v>10.9064</v>
      </c>
      <c r="J223" s="20">
        <v>633.0071</v>
      </c>
      <c r="K223" s="20">
        <v>4.083</v>
      </c>
      <c r="L223" s="20">
        <v>0.012</v>
      </c>
      <c r="M223" s="21">
        <v>129.88699999999997</v>
      </c>
      <c r="N223" s="21">
        <v>34.15933333333333</v>
      </c>
      <c r="O223" s="21">
        <v>107.04333333333334</v>
      </c>
      <c r="P223" s="21">
        <v>36.62833333333333</v>
      </c>
      <c r="Q223" s="21">
        <v>68.96533333333333</v>
      </c>
      <c r="R223" s="21">
        <v>34.129</v>
      </c>
      <c r="S223" s="22"/>
      <c r="T223" s="22"/>
      <c r="U223" s="22"/>
      <c r="V223" s="22"/>
      <c r="W223" s="22"/>
      <c r="X223" s="22"/>
      <c r="Y223" s="22"/>
      <c r="Z223" s="22"/>
      <c r="AA223" s="22"/>
      <c r="AB223" s="22"/>
      <c r="AC223" s="22"/>
      <c r="AD223" s="22"/>
      <c r="AE223" s="22"/>
      <c r="AF223" s="22"/>
      <c r="AG223" s="22"/>
      <c r="AH223" s="22"/>
      <c r="AI223" s="22"/>
      <c r="AJ223" s="22"/>
      <c r="AK223" s="22"/>
      <c r="AL223" s="22"/>
    </row>
    <row r="224">
      <c r="A224" s="13" t="s">
        <v>19</v>
      </c>
      <c r="B224" s="13" t="s">
        <v>20</v>
      </c>
      <c r="C224" s="14">
        <v>45482.0</v>
      </c>
      <c r="D224" s="15" t="s">
        <v>21</v>
      </c>
      <c r="E224" s="16">
        <v>8.3</v>
      </c>
      <c r="F224" s="15" t="s">
        <v>22</v>
      </c>
      <c r="G224" s="17">
        <v>2.0</v>
      </c>
      <c r="H224" s="18" t="s">
        <v>23</v>
      </c>
      <c r="I224" s="19">
        <v>10.9303</v>
      </c>
      <c r="J224" s="20">
        <v>654.6877</v>
      </c>
      <c r="K224" s="20">
        <v>5.104</v>
      </c>
      <c r="L224" s="20">
        <v>0.027</v>
      </c>
      <c r="M224" s="21">
        <v>134.763</v>
      </c>
      <c r="N224" s="21">
        <v>32.101333333333336</v>
      </c>
      <c r="O224" s="21">
        <v>116.019</v>
      </c>
      <c r="P224" s="21">
        <v>32.943666666666665</v>
      </c>
      <c r="Q224" s="21">
        <v>89.20100000000001</v>
      </c>
      <c r="R224" s="21">
        <v>33.858000000000004</v>
      </c>
      <c r="S224" s="22"/>
      <c r="T224" s="22"/>
      <c r="U224" s="22"/>
      <c r="V224" s="22"/>
      <c r="W224" s="22"/>
      <c r="X224" s="22"/>
      <c r="Y224" s="22"/>
      <c r="Z224" s="22"/>
      <c r="AA224" s="22"/>
      <c r="AB224" s="22"/>
      <c r="AC224" s="22"/>
      <c r="AD224" s="22"/>
      <c r="AE224" s="22"/>
      <c r="AF224" s="22"/>
      <c r="AG224" s="22"/>
      <c r="AH224" s="22"/>
      <c r="AI224" s="22"/>
      <c r="AJ224" s="22"/>
      <c r="AK224" s="22"/>
      <c r="AL224" s="22"/>
    </row>
    <row r="225">
      <c r="A225" s="13" t="s">
        <v>19</v>
      </c>
      <c r="B225" s="13" t="s">
        <v>20</v>
      </c>
      <c r="C225" s="14">
        <v>45482.0</v>
      </c>
      <c r="D225" s="15" t="s">
        <v>21</v>
      </c>
      <c r="E225" s="16">
        <v>8.4</v>
      </c>
      <c r="F225" s="15" t="s">
        <v>22</v>
      </c>
      <c r="G225" s="17">
        <v>2.0</v>
      </c>
      <c r="H225" s="18" t="s">
        <v>23</v>
      </c>
      <c r="I225" s="19">
        <v>9.6701</v>
      </c>
      <c r="J225" s="20">
        <v>633.0871</v>
      </c>
      <c r="K225" s="20">
        <v>4.131</v>
      </c>
      <c r="L225" s="20">
        <v>0.017</v>
      </c>
      <c r="M225" s="21">
        <v>129.371</v>
      </c>
      <c r="N225" s="21">
        <v>33.50333333333333</v>
      </c>
      <c r="O225" s="21">
        <v>105.55666666666667</v>
      </c>
      <c r="P225" s="21">
        <v>34.885</v>
      </c>
      <c r="Q225" s="21">
        <v>66.56866666666666</v>
      </c>
      <c r="R225" s="21">
        <v>34.758</v>
      </c>
      <c r="S225" s="22"/>
      <c r="T225" s="22"/>
      <c r="U225" s="22"/>
      <c r="V225" s="22"/>
      <c r="W225" s="22"/>
      <c r="X225" s="22"/>
      <c r="Y225" s="22"/>
      <c r="Z225" s="22"/>
      <c r="AA225" s="22"/>
      <c r="AB225" s="22"/>
      <c r="AC225" s="22"/>
      <c r="AD225" s="22"/>
      <c r="AE225" s="22"/>
      <c r="AF225" s="22"/>
      <c r="AG225" s="22"/>
      <c r="AH225" s="22"/>
      <c r="AI225" s="22"/>
      <c r="AJ225" s="22"/>
      <c r="AK225" s="22"/>
      <c r="AL225" s="22"/>
    </row>
    <row r="226">
      <c r="A226" s="13" t="s">
        <v>19</v>
      </c>
      <c r="B226" s="13" t="s">
        <v>20</v>
      </c>
      <c r="C226" s="14">
        <v>45482.0</v>
      </c>
      <c r="D226" s="15" t="s">
        <v>21</v>
      </c>
      <c r="E226" s="16">
        <v>9.1</v>
      </c>
      <c r="F226" s="15" t="s">
        <v>22</v>
      </c>
      <c r="G226" s="17">
        <v>2.0</v>
      </c>
      <c r="H226" s="18" t="s">
        <v>23</v>
      </c>
      <c r="I226" s="19">
        <v>10.5488</v>
      </c>
      <c r="J226" s="20">
        <v>730.1753</v>
      </c>
      <c r="K226" s="20">
        <v>3.96</v>
      </c>
      <c r="L226" s="20">
        <v>0.013</v>
      </c>
      <c r="M226" s="21">
        <v>138.939</v>
      </c>
      <c r="N226" s="21">
        <v>21.249333333333336</v>
      </c>
      <c r="O226" s="21">
        <v>117.47833333333334</v>
      </c>
      <c r="P226" s="21">
        <v>24.156333333333333</v>
      </c>
      <c r="Q226" s="21">
        <v>82.94766666666666</v>
      </c>
      <c r="R226" s="21">
        <v>29.94066666666667</v>
      </c>
      <c r="S226" s="22"/>
      <c r="T226" s="22"/>
      <c r="U226" s="22"/>
      <c r="V226" s="22"/>
      <c r="W226" s="22"/>
      <c r="X226" s="22"/>
      <c r="Y226" s="22"/>
      <c r="Z226" s="22"/>
      <c r="AA226" s="22"/>
      <c r="AB226" s="22"/>
      <c r="AC226" s="22"/>
      <c r="AD226" s="22"/>
      <c r="AE226" s="22"/>
      <c r="AF226" s="22"/>
      <c r="AG226" s="22"/>
      <c r="AH226" s="22"/>
      <c r="AI226" s="22"/>
      <c r="AJ226" s="22"/>
      <c r="AK226" s="22"/>
      <c r="AL226" s="22"/>
    </row>
    <row r="227">
      <c r="A227" s="13" t="s">
        <v>19</v>
      </c>
      <c r="B227" s="13" t="s">
        <v>20</v>
      </c>
      <c r="C227" s="14">
        <v>45482.0</v>
      </c>
      <c r="D227" s="15" t="s">
        <v>21</v>
      </c>
      <c r="E227" s="16">
        <v>9.2</v>
      </c>
      <c r="F227" s="15" t="s">
        <v>22</v>
      </c>
      <c r="G227" s="17">
        <v>2.0</v>
      </c>
      <c r="H227" s="18" t="s">
        <v>23</v>
      </c>
      <c r="I227" s="19">
        <v>9.2571</v>
      </c>
      <c r="J227" s="20">
        <v>721.6637</v>
      </c>
      <c r="K227" s="20">
        <v>3.118</v>
      </c>
      <c r="L227" s="20">
        <v>0.016</v>
      </c>
      <c r="M227" s="21">
        <v>185.023</v>
      </c>
      <c r="N227" s="21">
        <v>36.97533333333334</v>
      </c>
      <c r="O227" s="21">
        <v>170.745</v>
      </c>
      <c r="P227" s="21">
        <v>38.11766666666667</v>
      </c>
      <c r="Q227" s="21">
        <v>113.654</v>
      </c>
      <c r="R227" s="21">
        <v>42.243</v>
      </c>
      <c r="S227" s="22"/>
      <c r="T227" s="22"/>
      <c r="U227" s="22"/>
      <c r="V227" s="22"/>
      <c r="W227" s="22"/>
      <c r="X227" s="22"/>
      <c r="Y227" s="22"/>
      <c r="Z227" s="22"/>
      <c r="AA227" s="22"/>
      <c r="AB227" s="22"/>
      <c r="AC227" s="22"/>
      <c r="AD227" s="22"/>
      <c r="AE227" s="22"/>
      <c r="AF227" s="22"/>
      <c r="AG227" s="22"/>
      <c r="AH227" s="22"/>
      <c r="AI227" s="22"/>
      <c r="AJ227" s="22"/>
      <c r="AK227" s="22"/>
      <c r="AL227" s="22"/>
    </row>
    <row r="228">
      <c r="A228" s="13" t="s">
        <v>19</v>
      </c>
      <c r="B228" s="13" t="s">
        <v>20</v>
      </c>
      <c r="C228" s="14">
        <v>45482.0</v>
      </c>
      <c r="D228" s="15" t="s">
        <v>21</v>
      </c>
      <c r="E228" s="16">
        <v>9.3</v>
      </c>
      <c r="F228" s="15" t="s">
        <v>22</v>
      </c>
      <c r="G228" s="17">
        <v>2.0</v>
      </c>
      <c r="H228" s="18" t="s">
        <v>23</v>
      </c>
      <c r="I228" s="19">
        <v>10.818</v>
      </c>
      <c r="J228" s="20">
        <v>792.0101</v>
      </c>
      <c r="K228" s="20">
        <v>3.724</v>
      </c>
      <c r="L228" s="20">
        <v>0.03</v>
      </c>
      <c r="M228" s="21">
        <v>146.75433333333334</v>
      </c>
      <c r="N228" s="21">
        <v>25.473333333333333</v>
      </c>
      <c r="O228" s="21">
        <v>121.68466666666667</v>
      </c>
      <c r="P228" s="21">
        <v>27.545666666666666</v>
      </c>
      <c r="Q228" s="21">
        <v>83.83533333333334</v>
      </c>
      <c r="R228" s="21">
        <v>32.68866666666667</v>
      </c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22"/>
      <c r="AK228" s="22"/>
      <c r="AL228" s="22"/>
    </row>
    <row r="229">
      <c r="A229" s="13" t="s">
        <v>19</v>
      </c>
      <c r="B229" s="13" t="s">
        <v>20</v>
      </c>
      <c r="C229" s="14">
        <v>45482.0</v>
      </c>
      <c r="D229" s="15" t="s">
        <v>21</v>
      </c>
      <c r="E229" s="16">
        <v>9.4</v>
      </c>
      <c r="F229" s="15" t="s">
        <v>22</v>
      </c>
      <c r="G229" s="17">
        <v>2.0</v>
      </c>
      <c r="H229" s="18" t="s">
        <v>23</v>
      </c>
      <c r="I229" s="19">
        <v>9.9925</v>
      </c>
      <c r="J229" s="20">
        <v>772.0104</v>
      </c>
      <c r="K229" s="20">
        <v>3.683</v>
      </c>
      <c r="L229" s="20">
        <v>0.016</v>
      </c>
      <c r="M229" s="21">
        <v>131.31366666666665</v>
      </c>
      <c r="N229" s="21">
        <v>21.735666666666663</v>
      </c>
      <c r="O229" s="21">
        <v>105.86466666666666</v>
      </c>
      <c r="P229" s="21">
        <v>23.147333333333336</v>
      </c>
      <c r="Q229" s="21">
        <v>65.38600000000001</v>
      </c>
      <c r="R229" s="21">
        <v>25.743666666666666</v>
      </c>
      <c r="S229" s="22"/>
      <c r="T229" s="22"/>
      <c r="U229" s="22"/>
      <c r="V229" s="22"/>
      <c r="W229" s="22"/>
      <c r="X229" s="22"/>
      <c r="Y229" s="22"/>
      <c r="Z229" s="22"/>
      <c r="AA229" s="22"/>
      <c r="AB229" s="22"/>
      <c r="AC229" s="22"/>
      <c r="AD229" s="22"/>
      <c r="AE229" s="22"/>
      <c r="AF229" s="22"/>
      <c r="AG229" s="22"/>
      <c r="AH229" s="22"/>
      <c r="AI229" s="22"/>
      <c r="AJ229" s="22"/>
      <c r="AK229" s="22"/>
      <c r="AL229" s="22"/>
    </row>
    <row r="230">
      <c r="A230" s="13" t="s">
        <v>19</v>
      </c>
      <c r="B230" s="13" t="s">
        <v>20</v>
      </c>
      <c r="C230" s="14">
        <v>45482.0</v>
      </c>
      <c r="D230" s="15" t="s">
        <v>24</v>
      </c>
      <c r="E230" s="16">
        <v>7.1</v>
      </c>
      <c r="F230" s="15" t="s">
        <v>22</v>
      </c>
      <c r="G230" s="17">
        <v>2.0</v>
      </c>
      <c r="H230" s="18" t="s">
        <v>23</v>
      </c>
      <c r="I230" s="19">
        <v>10.1434</v>
      </c>
      <c r="J230" s="20">
        <v>776.0928</v>
      </c>
      <c r="K230" s="20">
        <v>4.96</v>
      </c>
      <c r="L230" s="20">
        <v>0.005</v>
      </c>
      <c r="M230" s="21">
        <v>145.06133333333332</v>
      </c>
      <c r="N230" s="21">
        <v>17.634999999999998</v>
      </c>
      <c r="O230" s="21">
        <v>122.401</v>
      </c>
      <c r="P230" s="21">
        <v>21.137</v>
      </c>
      <c r="Q230" s="21">
        <v>86.62233333333334</v>
      </c>
      <c r="R230" s="21">
        <v>27.142333333333337</v>
      </c>
      <c r="S230" s="22"/>
      <c r="T230" s="22"/>
      <c r="U230" s="22"/>
      <c r="V230" s="22"/>
      <c r="W230" s="22"/>
      <c r="X230" s="22"/>
      <c r="Y230" s="22"/>
      <c r="Z230" s="22"/>
      <c r="AA230" s="22"/>
      <c r="AB230" s="22"/>
      <c r="AC230" s="22"/>
      <c r="AD230" s="22"/>
      <c r="AE230" s="22"/>
      <c r="AF230" s="22"/>
      <c r="AG230" s="22"/>
      <c r="AH230" s="22"/>
      <c r="AI230" s="22"/>
      <c r="AJ230" s="22"/>
      <c r="AK230" s="22"/>
      <c r="AL230" s="22"/>
    </row>
    <row r="231">
      <c r="A231" s="13" t="s">
        <v>19</v>
      </c>
      <c r="B231" s="13" t="s">
        <v>20</v>
      </c>
      <c r="C231" s="14">
        <v>45482.0</v>
      </c>
      <c r="D231" s="15" t="s">
        <v>24</v>
      </c>
      <c r="E231" s="16">
        <v>7.2</v>
      </c>
      <c r="F231" s="15" t="s">
        <v>22</v>
      </c>
      <c r="G231" s="17">
        <v>2.0</v>
      </c>
      <c r="H231" s="18" t="s">
        <v>23</v>
      </c>
      <c r="I231" s="19">
        <v>10.521</v>
      </c>
      <c r="J231" s="20">
        <v>728.0247</v>
      </c>
      <c r="K231" s="20">
        <v>5.007</v>
      </c>
      <c r="L231" s="20">
        <v>0.01</v>
      </c>
      <c r="M231" s="21">
        <v>156.13633333333334</v>
      </c>
      <c r="N231" s="21">
        <v>22.25</v>
      </c>
      <c r="O231" s="21">
        <v>129.34633333333332</v>
      </c>
      <c r="P231" s="21">
        <v>24.142333333333337</v>
      </c>
      <c r="Q231" s="21">
        <v>93.00666666666666</v>
      </c>
      <c r="R231" s="21">
        <v>27.995666666666665</v>
      </c>
      <c r="S231" s="22"/>
      <c r="T231" s="22"/>
      <c r="U231" s="22"/>
      <c r="V231" s="22"/>
      <c r="W231" s="22"/>
      <c r="X231" s="22"/>
      <c r="Y231" s="22"/>
      <c r="Z231" s="22"/>
      <c r="AA231" s="22"/>
      <c r="AB231" s="22"/>
      <c r="AC231" s="22"/>
      <c r="AD231" s="22"/>
      <c r="AE231" s="22"/>
      <c r="AF231" s="22"/>
      <c r="AG231" s="22"/>
      <c r="AH231" s="22"/>
      <c r="AI231" s="22"/>
      <c r="AJ231" s="22"/>
      <c r="AK231" s="22"/>
      <c r="AL231" s="22"/>
    </row>
    <row r="232">
      <c r="A232" s="13" t="s">
        <v>19</v>
      </c>
      <c r="B232" s="13" t="s">
        <v>20</v>
      </c>
      <c r="C232" s="14">
        <v>45482.0</v>
      </c>
      <c r="D232" s="15" t="s">
        <v>24</v>
      </c>
      <c r="E232" s="16">
        <v>7.3</v>
      </c>
      <c r="F232" s="15" t="s">
        <v>22</v>
      </c>
      <c r="G232" s="17">
        <v>2.0</v>
      </c>
      <c r="H232" s="18" t="s">
        <v>23</v>
      </c>
      <c r="I232" s="19">
        <v>11.3725</v>
      </c>
      <c r="J232" s="20">
        <v>658.6835</v>
      </c>
      <c r="K232" s="20">
        <v>6.588</v>
      </c>
      <c r="L232" s="20">
        <v>0.029</v>
      </c>
      <c r="M232" s="21">
        <v>156.97733333333332</v>
      </c>
      <c r="N232" s="21">
        <v>19.891000000000002</v>
      </c>
      <c r="O232" s="21">
        <v>130.1063333333333</v>
      </c>
      <c r="P232" s="21">
        <v>21.827333333333332</v>
      </c>
      <c r="Q232" s="21">
        <v>93.57966666666665</v>
      </c>
      <c r="R232" s="21">
        <v>25.215000000000003</v>
      </c>
      <c r="S232" s="22"/>
      <c r="T232" s="22"/>
      <c r="U232" s="22"/>
      <c r="V232" s="22"/>
      <c r="W232" s="22"/>
      <c r="X232" s="22"/>
      <c r="Y232" s="22"/>
      <c r="Z232" s="22"/>
      <c r="AA232" s="22"/>
      <c r="AB232" s="22"/>
      <c r="AC232" s="22"/>
      <c r="AD232" s="22"/>
      <c r="AE232" s="22"/>
      <c r="AF232" s="22"/>
      <c r="AG232" s="22"/>
      <c r="AH232" s="22"/>
      <c r="AI232" s="22"/>
      <c r="AJ232" s="22"/>
      <c r="AK232" s="22"/>
      <c r="AL232" s="22"/>
    </row>
    <row r="233">
      <c r="A233" s="13" t="s">
        <v>19</v>
      </c>
      <c r="B233" s="13" t="s">
        <v>20</v>
      </c>
      <c r="C233" s="14">
        <v>45482.0</v>
      </c>
      <c r="D233" s="15" t="s">
        <v>24</v>
      </c>
      <c r="E233" s="16">
        <v>7.4</v>
      </c>
      <c r="F233" s="15" t="s">
        <v>22</v>
      </c>
      <c r="G233" s="17">
        <v>2.0</v>
      </c>
      <c r="H233" s="18" t="s">
        <v>23</v>
      </c>
      <c r="I233" s="19">
        <v>9.6943</v>
      </c>
      <c r="J233" s="20">
        <v>728.6179</v>
      </c>
      <c r="K233" s="20">
        <v>5.044</v>
      </c>
      <c r="L233" s="20">
        <v>0.028</v>
      </c>
      <c r="M233" s="21">
        <v>133.221</v>
      </c>
      <c r="N233" s="21">
        <v>17.017333333333333</v>
      </c>
      <c r="O233" s="21">
        <v>105.56433333333332</v>
      </c>
      <c r="P233" s="21">
        <v>20.744</v>
      </c>
      <c r="Q233" s="21">
        <v>70.44433333333332</v>
      </c>
      <c r="R233" s="21">
        <v>24.266333333333336</v>
      </c>
      <c r="S233" s="22"/>
      <c r="T233" s="22"/>
      <c r="U233" s="22"/>
      <c r="V233" s="22"/>
      <c r="W233" s="22"/>
      <c r="X233" s="22"/>
      <c r="Y233" s="22"/>
      <c r="Z233" s="22"/>
      <c r="AA233" s="22"/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</row>
    <row r="234">
      <c r="A234" s="13" t="s">
        <v>19</v>
      </c>
      <c r="B234" s="13" t="s">
        <v>20</v>
      </c>
      <c r="C234" s="14">
        <v>45482.0</v>
      </c>
      <c r="D234" s="15" t="s">
        <v>24</v>
      </c>
      <c r="E234" s="16">
        <v>8.1</v>
      </c>
      <c r="F234" s="15" t="s">
        <v>22</v>
      </c>
      <c r="G234" s="17">
        <v>2.0</v>
      </c>
      <c r="H234" s="18" t="s">
        <v>23</v>
      </c>
      <c r="I234" s="19">
        <v>9.1151</v>
      </c>
      <c r="J234" s="20">
        <v>780.3102</v>
      </c>
      <c r="K234" s="20">
        <v>3.635</v>
      </c>
      <c r="L234" s="20">
        <v>0.011</v>
      </c>
      <c r="M234" s="21">
        <v>140.37633333333335</v>
      </c>
      <c r="N234" s="21">
        <v>26.684</v>
      </c>
      <c r="O234" s="21">
        <v>119.18933333333332</v>
      </c>
      <c r="P234" s="21">
        <v>30.145333333333337</v>
      </c>
      <c r="Q234" s="21">
        <v>84.46066666666667</v>
      </c>
      <c r="R234" s="21">
        <v>38.54566666666667</v>
      </c>
      <c r="S234" s="22"/>
      <c r="T234" s="22"/>
      <c r="U234" s="22"/>
      <c r="V234" s="22"/>
      <c r="W234" s="22"/>
      <c r="X234" s="22"/>
      <c r="Y234" s="22"/>
      <c r="Z234" s="22"/>
      <c r="AA234" s="22"/>
      <c r="AB234" s="22"/>
      <c r="AC234" s="22"/>
      <c r="AD234" s="22"/>
      <c r="AE234" s="22"/>
      <c r="AF234" s="22"/>
      <c r="AG234" s="22"/>
      <c r="AH234" s="22"/>
      <c r="AI234" s="22"/>
      <c r="AJ234" s="22"/>
      <c r="AK234" s="22"/>
      <c r="AL234" s="22"/>
    </row>
    <row r="235">
      <c r="A235" s="13" t="s">
        <v>19</v>
      </c>
      <c r="B235" s="13" t="s">
        <v>20</v>
      </c>
      <c r="C235" s="14">
        <v>45482.0</v>
      </c>
      <c r="D235" s="15" t="s">
        <v>24</v>
      </c>
      <c r="E235" s="16">
        <v>8.2</v>
      </c>
      <c r="F235" s="15" t="s">
        <v>22</v>
      </c>
      <c r="G235" s="17">
        <v>2.0</v>
      </c>
      <c r="H235" s="18" t="s">
        <v>23</v>
      </c>
      <c r="I235" s="19">
        <v>9.9838</v>
      </c>
      <c r="J235" s="20">
        <v>690.0464</v>
      </c>
      <c r="K235" s="20">
        <v>4.353</v>
      </c>
      <c r="L235" s="20">
        <v>0.019</v>
      </c>
      <c r="M235" s="21">
        <v>143.34633333333332</v>
      </c>
      <c r="N235" s="21">
        <v>20.699</v>
      </c>
      <c r="O235" s="21">
        <v>120.79333333333334</v>
      </c>
      <c r="P235" s="21">
        <v>24.55</v>
      </c>
      <c r="Q235" s="21">
        <v>83.43766666666666</v>
      </c>
      <c r="R235" s="21">
        <v>34.69566666666667</v>
      </c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22"/>
      <c r="AK235" s="22"/>
      <c r="AL235" s="22"/>
    </row>
    <row r="236">
      <c r="A236" s="13" t="s">
        <v>19</v>
      </c>
      <c r="B236" s="13" t="s">
        <v>20</v>
      </c>
      <c r="C236" s="14">
        <v>45482.0</v>
      </c>
      <c r="D236" s="15" t="s">
        <v>24</v>
      </c>
      <c r="E236" s="16">
        <v>8.3</v>
      </c>
      <c r="F236" s="15" t="s">
        <v>22</v>
      </c>
      <c r="G236" s="17">
        <v>2.0</v>
      </c>
      <c r="H236" s="18" t="s">
        <v>23</v>
      </c>
      <c r="I236" s="19">
        <v>9.3884</v>
      </c>
      <c r="J236" s="20">
        <v>866.4525</v>
      </c>
      <c r="K236" s="20">
        <v>2.894</v>
      </c>
      <c r="L236" s="20">
        <v>0.035</v>
      </c>
      <c r="M236" s="21">
        <v>186.60533333333333</v>
      </c>
      <c r="N236" s="21">
        <v>32.822333333333326</v>
      </c>
      <c r="O236" s="21">
        <v>157.18166666666664</v>
      </c>
      <c r="P236" s="21">
        <v>33.45466666666667</v>
      </c>
      <c r="Q236" s="21">
        <v>97.68166666666667</v>
      </c>
      <c r="R236" s="21">
        <v>39.236</v>
      </c>
      <c r="S236" s="22"/>
      <c r="T236" s="22"/>
      <c r="U236" s="22"/>
      <c r="V236" s="22"/>
      <c r="W236" s="22"/>
      <c r="X236" s="22"/>
      <c r="Y236" s="22"/>
      <c r="Z236" s="22"/>
      <c r="AA236" s="22"/>
      <c r="AB236" s="22"/>
      <c r="AC236" s="22"/>
      <c r="AD236" s="22"/>
      <c r="AE236" s="22"/>
      <c r="AF236" s="22"/>
      <c r="AG236" s="22"/>
      <c r="AH236" s="22"/>
      <c r="AI236" s="22"/>
      <c r="AJ236" s="22"/>
      <c r="AK236" s="22"/>
      <c r="AL236" s="22"/>
    </row>
    <row r="237">
      <c r="A237" s="13" t="s">
        <v>19</v>
      </c>
      <c r="B237" s="13" t="s">
        <v>20</v>
      </c>
      <c r="C237" s="14">
        <v>45482.0</v>
      </c>
      <c r="D237" s="15" t="s">
        <v>24</v>
      </c>
      <c r="E237" s="16">
        <v>8.4</v>
      </c>
      <c r="F237" s="15" t="s">
        <v>22</v>
      </c>
      <c r="G237" s="17">
        <v>2.0</v>
      </c>
      <c r="H237" s="18" t="s">
        <v>23</v>
      </c>
      <c r="I237" s="19">
        <v>10.609</v>
      </c>
      <c r="J237" s="20">
        <v>710.138</v>
      </c>
      <c r="K237" s="20">
        <v>5.439</v>
      </c>
      <c r="L237" s="20">
        <v>0.067</v>
      </c>
      <c r="M237" s="21">
        <v>144.87933333333334</v>
      </c>
      <c r="N237" s="21">
        <v>16.743666666666666</v>
      </c>
      <c r="O237" s="21">
        <v>122.992</v>
      </c>
      <c r="P237" s="21">
        <v>20.448666666666668</v>
      </c>
      <c r="Q237" s="21">
        <v>91.077</v>
      </c>
      <c r="R237" s="21">
        <v>28.548</v>
      </c>
      <c r="S237" s="22"/>
      <c r="T237" s="22"/>
      <c r="U237" s="22"/>
      <c r="V237" s="22"/>
      <c r="W237" s="22"/>
      <c r="X237" s="22"/>
      <c r="Y237" s="22"/>
      <c r="Z237" s="22"/>
      <c r="AA237" s="22"/>
      <c r="AB237" s="22"/>
      <c r="AC237" s="22"/>
      <c r="AD237" s="22"/>
      <c r="AE237" s="22"/>
      <c r="AF237" s="22"/>
      <c r="AG237" s="22"/>
      <c r="AH237" s="22"/>
      <c r="AI237" s="22"/>
      <c r="AJ237" s="22"/>
      <c r="AK237" s="22"/>
      <c r="AL237" s="22"/>
    </row>
    <row r="238">
      <c r="A238" s="13" t="s">
        <v>19</v>
      </c>
      <c r="B238" s="13" t="s">
        <v>20</v>
      </c>
      <c r="C238" s="14">
        <v>45482.0</v>
      </c>
      <c r="D238" s="15" t="s">
        <v>24</v>
      </c>
      <c r="E238" s="16">
        <v>9.1</v>
      </c>
      <c r="F238" s="15" t="s">
        <v>22</v>
      </c>
      <c r="G238" s="17">
        <v>2.0</v>
      </c>
      <c r="H238" s="18" t="s">
        <v>23</v>
      </c>
      <c r="I238" s="19">
        <v>9.5504</v>
      </c>
      <c r="J238" s="20">
        <v>734.0109</v>
      </c>
      <c r="K238" s="20">
        <v>4.357</v>
      </c>
      <c r="L238" s="20">
        <v>0.015</v>
      </c>
      <c r="M238" s="21">
        <v>143.485</v>
      </c>
      <c r="N238" s="21">
        <v>25.498333333333335</v>
      </c>
      <c r="O238" s="21">
        <v>124.62466666666667</v>
      </c>
      <c r="P238" s="21">
        <v>27.50333333333333</v>
      </c>
      <c r="Q238" s="21">
        <v>83.27933333333334</v>
      </c>
      <c r="R238" s="21">
        <v>35.672666666666665</v>
      </c>
      <c r="S238" s="22"/>
      <c r="T238" s="22"/>
      <c r="U238" s="22"/>
      <c r="V238" s="22"/>
      <c r="W238" s="22"/>
      <c r="X238" s="22"/>
      <c r="Y238" s="22"/>
      <c r="Z238" s="22"/>
      <c r="AA238" s="22"/>
      <c r="AB238" s="22"/>
      <c r="AC238" s="22"/>
      <c r="AD238" s="22"/>
      <c r="AE238" s="22"/>
      <c r="AF238" s="22"/>
      <c r="AG238" s="22"/>
      <c r="AH238" s="22"/>
      <c r="AI238" s="22"/>
      <c r="AJ238" s="22"/>
      <c r="AK238" s="22"/>
      <c r="AL238" s="22"/>
    </row>
    <row r="239">
      <c r="A239" s="13" t="s">
        <v>19</v>
      </c>
      <c r="B239" s="13" t="s">
        <v>20</v>
      </c>
      <c r="C239" s="14">
        <v>45482.0</v>
      </c>
      <c r="D239" s="15" t="s">
        <v>24</v>
      </c>
      <c r="E239" s="16">
        <v>9.2</v>
      </c>
      <c r="F239" s="15" t="s">
        <v>22</v>
      </c>
      <c r="G239" s="17">
        <v>2.0</v>
      </c>
      <c r="H239" s="18" t="s">
        <v>23</v>
      </c>
      <c r="I239" s="19">
        <v>9.6617</v>
      </c>
      <c r="J239" s="20">
        <v>590.0513</v>
      </c>
      <c r="K239" s="20">
        <v>4.117</v>
      </c>
      <c r="L239" s="20">
        <v>0.019</v>
      </c>
      <c r="M239" s="21">
        <v>147.61433333333335</v>
      </c>
      <c r="N239" s="21">
        <v>17.988</v>
      </c>
      <c r="O239" s="21">
        <v>125.35633333333334</v>
      </c>
      <c r="P239" s="21">
        <v>19.594333333333335</v>
      </c>
      <c r="Q239" s="21">
        <v>81.348</v>
      </c>
      <c r="R239" s="21">
        <v>28.701666666666668</v>
      </c>
      <c r="S239" s="22"/>
      <c r="T239" s="22"/>
      <c r="U239" s="22"/>
      <c r="V239" s="22"/>
      <c r="W239" s="22"/>
      <c r="X239" s="22"/>
      <c r="Y239" s="22"/>
      <c r="Z239" s="22"/>
      <c r="AA239" s="22"/>
      <c r="AB239" s="22"/>
      <c r="AC239" s="22"/>
      <c r="AD239" s="22"/>
      <c r="AE239" s="22"/>
      <c r="AF239" s="22"/>
      <c r="AG239" s="22"/>
      <c r="AH239" s="22"/>
      <c r="AI239" s="22"/>
      <c r="AJ239" s="22"/>
      <c r="AK239" s="22"/>
      <c r="AL239" s="22"/>
    </row>
    <row r="240">
      <c r="A240" s="13" t="s">
        <v>19</v>
      </c>
      <c r="B240" s="13" t="s">
        <v>20</v>
      </c>
      <c r="C240" s="14">
        <v>45482.0</v>
      </c>
      <c r="D240" s="15" t="s">
        <v>24</v>
      </c>
      <c r="E240" s="16">
        <v>9.3</v>
      </c>
      <c r="F240" s="15" t="s">
        <v>22</v>
      </c>
      <c r="G240" s="17">
        <v>2.0</v>
      </c>
      <c r="H240" s="18" t="s">
        <v>23</v>
      </c>
      <c r="I240" s="19">
        <v>8.8432</v>
      </c>
      <c r="J240" s="20">
        <v>511.5352</v>
      </c>
      <c r="K240" s="20">
        <v>3.316</v>
      </c>
      <c r="L240" s="20">
        <v>0.049</v>
      </c>
      <c r="M240" s="21">
        <v>145.00866666666664</v>
      </c>
      <c r="N240" s="21">
        <v>16.436666666666667</v>
      </c>
      <c r="O240" s="21">
        <v>123.08166666666666</v>
      </c>
      <c r="P240" s="21">
        <v>17.94033333333333</v>
      </c>
      <c r="Q240" s="21">
        <v>76.67200000000001</v>
      </c>
      <c r="R240" s="21">
        <v>24.837666666666667</v>
      </c>
      <c r="S240" s="22"/>
      <c r="T240" s="22"/>
      <c r="U240" s="22"/>
      <c r="V240" s="22"/>
      <c r="W240" s="22"/>
      <c r="X240" s="22"/>
      <c r="Y240" s="22"/>
      <c r="Z240" s="22"/>
      <c r="AA240" s="22"/>
      <c r="AB240" s="22"/>
      <c r="AC240" s="22"/>
      <c r="AD240" s="22"/>
      <c r="AE240" s="22"/>
      <c r="AF240" s="22"/>
      <c r="AG240" s="22"/>
      <c r="AH240" s="22"/>
      <c r="AI240" s="22"/>
      <c r="AJ240" s="22"/>
      <c r="AK240" s="22"/>
      <c r="AL240" s="22"/>
    </row>
    <row r="241">
      <c r="A241" s="13" t="s">
        <v>19</v>
      </c>
      <c r="B241" s="13" t="s">
        <v>20</v>
      </c>
      <c r="C241" s="14">
        <v>45482.0</v>
      </c>
      <c r="D241" s="15" t="s">
        <v>24</v>
      </c>
      <c r="E241" s="16">
        <v>9.4</v>
      </c>
      <c r="F241" s="15" t="s">
        <v>22</v>
      </c>
      <c r="G241" s="17">
        <v>2.0</v>
      </c>
      <c r="H241" s="18" t="s">
        <v>23</v>
      </c>
      <c r="I241" s="19">
        <v>9.2683</v>
      </c>
      <c r="J241" s="20">
        <v>702.0456</v>
      </c>
      <c r="K241" s="20">
        <v>4.226</v>
      </c>
      <c r="L241" s="20">
        <v>0.017</v>
      </c>
      <c r="M241" s="21">
        <v>137.13699999999997</v>
      </c>
      <c r="N241" s="21">
        <v>25.117</v>
      </c>
      <c r="O241" s="21">
        <v>115.04166666666667</v>
      </c>
      <c r="P241" s="21">
        <v>27.736666666666665</v>
      </c>
      <c r="Q241" s="21">
        <v>76.551</v>
      </c>
      <c r="R241" s="21">
        <v>32.12</v>
      </c>
      <c r="S241" s="22"/>
      <c r="T241" s="22"/>
      <c r="U241" s="22"/>
      <c r="V241" s="22"/>
      <c r="W241" s="22"/>
      <c r="X241" s="22"/>
      <c r="Y241" s="22"/>
      <c r="Z241" s="22"/>
      <c r="AA241" s="22"/>
      <c r="AB241" s="22"/>
      <c r="AC241" s="22"/>
      <c r="AD241" s="22"/>
      <c r="AE241" s="22"/>
      <c r="AF241" s="22"/>
      <c r="AG241" s="22"/>
      <c r="AH241" s="22"/>
      <c r="AI241" s="22"/>
      <c r="AJ241" s="22"/>
      <c r="AK241" s="22"/>
      <c r="AL241" s="22"/>
    </row>
    <row r="242">
      <c r="A242" s="13" t="s">
        <v>19</v>
      </c>
      <c r="B242" s="13" t="s">
        <v>20</v>
      </c>
      <c r="C242" s="14">
        <v>45482.0</v>
      </c>
      <c r="D242" s="15" t="s">
        <v>25</v>
      </c>
      <c r="E242" s="16">
        <v>7.1</v>
      </c>
      <c r="F242" s="15" t="s">
        <v>22</v>
      </c>
      <c r="G242" s="17">
        <v>2.0</v>
      </c>
      <c r="H242" s="18" t="s">
        <v>23</v>
      </c>
      <c r="I242" s="19">
        <v>12.9245</v>
      </c>
      <c r="J242" s="20">
        <v>645.0</v>
      </c>
      <c r="K242" s="20">
        <v>7.468</v>
      </c>
      <c r="L242" s="20">
        <v>0.068</v>
      </c>
      <c r="M242" s="21">
        <v>153.33466666666666</v>
      </c>
      <c r="N242" s="21">
        <v>30.244666666666664</v>
      </c>
      <c r="O242" s="21">
        <v>139.45433333333335</v>
      </c>
      <c r="P242" s="21">
        <v>30.702333333333332</v>
      </c>
      <c r="Q242" s="21">
        <v>92.58766666666666</v>
      </c>
      <c r="R242" s="21">
        <v>31.584</v>
      </c>
      <c r="S242" s="22"/>
      <c r="T242" s="22"/>
      <c r="U242" s="22"/>
      <c r="V242" s="22"/>
      <c r="W242" s="22"/>
      <c r="X242" s="22"/>
      <c r="Y242" s="22"/>
      <c r="Z242" s="22"/>
      <c r="AA242" s="22"/>
      <c r="AB242" s="22"/>
      <c r="AC242" s="22"/>
      <c r="AD242" s="22"/>
      <c r="AE242" s="22"/>
      <c r="AF242" s="22"/>
      <c r="AG242" s="22"/>
      <c r="AH242" s="22"/>
      <c r="AI242" s="22"/>
      <c r="AJ242" s="22"/>
      <c r="AK242" s="22"/>
      <c r="AL242" s="22"/>
    </row>
    <row r="243">
      <c r="A243" s="13" t="s">
        <v>19</v>
      </c>
      <c r="B243" s="13" t="s">
        <v>20</v>
      </c>
      <c r="C243" s="14">
        <v>45482.0</v>
      </c>
      <c r="D243" s="15" t="s">
        <v>25</v>
      </c>
      <c r="E243" s="16">
        <v>7.3</v>
      </c>
      <c r="F243" s="15" t="s">
        <v>22</v>
      </c>
      <c r="G243" s="17">
        <v>2.0</v>
      </c>
      <c r="H243" s="18" t="s">
        <v>23</v>
      </c>
      <c r="I243" s="19">
        <v>10.5755</v>
      </c>
      <c r="J243" s="27">
        <v>649.7494</v>
      </c>
      <c r="K243" s="27">
        <v>6.03</v>
      </c>
      <c r="L243" s="27">
        <v>0.038</v>
      </c>
      <c r="M243" s="21">
        <v>134.78133333333332</v>
      </c>
      <c r="N243" s="21">
        <v>33.497</v>
      </c>
      <c r="O243" s="21">
        <v>123.611</v>
      </c>
      <c r="P243" s="21">
        <v>33.97966666666667</v>
      </c>
      <c r="Q243" s="21">
        <v>83.18066666666665</v>
      </c>
      <c r="R243" s="21">
        <v>32.38333333333333</v>
      </c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22"/>
      <c r="AK243" s="22"/>
      <c r="AL243" s="22"/>
    </row>
    <row r="244">
      <c r="A244" s="13" t="s">
        <v>19</v>
      </c>
      <c r="B244" s="13" t="s">
        <v>20</v>
      </c>
      <c r="C244" s="14">
        <v>45482.0</v>
      </c>
      <c r="D244" s="15" t="s">
        <v>25</v>
      </c>
      <c r="E244" s="16">
        <v>7.4</v>
      </c>
      <c r="F244" s="15" t="s">
        <v>22</v>
      </c>
      <c r="G244" s="17">
        <v>2.0</v>
      </c>
      <c r="H244" s="18" t="s">
        <v>23</v>
      </c>
      <c r="I244" s="19">
        <v>10.8147</v>
      </c>
      <c r="J244" s="20">
        <v>762.9469</v>
      </c>
      <c r="K244" s="20">
        <v>5.724</v>
      </c>
      <c r="L244" s="20">
        <v>0.022</v>
      </c>
      <c r="M244" s="21">
        <v>128.05433333333335</v>
      </c>
      <c r="N244" s="21">
        <v>32.19</v>
      </c>
      <c r="O244" s="21">
        <v>113.50366666666666</v>
      </c>
      <c r="P244" s="21">
        <v>33.884</v>
      </c>
      <c r="Q244" s="21">
        <v>77.78966666666666</v>
      </c>
      <c r="R244" s="21">
        <v>34.815333333333335</v>
      </c>
      <c r="S244" s="22"/>
      <c r="T244" s="22"/>
      <c r="U244" s="22"/>
      <c r="V244" s="22"/>
      <c r="W244" s="22"/>
      <c r="X244" s="22"/>
      <c r="Y244" s="22"/>
      <c r="Z244" s="22"/>
      <c r="AA244" s="22"/>
      <c r="AB244" s="22"/>
      <c r="AC244" s="22"/>
      <c r="AD244" s="22"/>
      <c r="AE244" s="22"/>
      <c r="AF244" s="22"/>
      <c r="AG244" s="22"/>
      <c r="AH244" s="22"/>
      <c r="AI244" s="22"/>
      <c r="AJ244" s="22"/>
      <c r="AK244" s="22"/>
      <c r="AL244" s="22"/>
    </row>
    <row r="245">
      <c r="A245" s="13" t="s">
        <v>19</v>
      </c>
      <c r="B245" s="13" t="s">
        <v>20</v>
      </c>
      <c r="C245" s="14">
        <v>45482.0</v>
      </c>
      <c r="D245" s="15" t="s">
        <v>25</v>
      </c>
      <c r="E245" s="16">
        <v>8.1</v>
      </c>
      <c r="F245" s="15" t="s">
        <v>22</v>
      </c>
      <c r="G245" s="17">
        <v>2.0</v>
      </c>
      <c r="H245" s="18" t="s">
        <v>23</v>
      </c>
      <c r="I245" s="19">
        <v>11.8973</v>
      </c>
      <c r="J245" s="20">
        <v>618.0892</v>
      </c>
      <c r="K245" s="20">
        <v>6.227</v>
      </c>
      <c r="L245" s="20">
        <v>0.018</v>
      </c>
      <c r="M245" s="21">
        <v>136.8096666666667</v>
      </c>
      <c r="N245" s="21">
        <v>29.319</v>
      </c>
      <c r="O245" s="21">
        <v>121.137</v>
      </c>
      <c r="P245" s="21">
        <v>30.822333333333333</v>
      </c>
      <c r="Q245" s="21">
        <v>79.84766666666667</v>
      </c>
      <c r="R245" s="21">
        <v>31.806</v>
      </c>
      <c r="S245" s="22"/>
      <c r="T245" s="22"/>
      <c r="U245" s="22"/>
      <c r="V245" s="22"/>
      <c r="W245" s="22"/>
      <c r="X245" s="22"/>
      <c r="Y245" s="22"/>
      <c r="Z245" s="22"/>
      <c r="AA245" s="22"/>
      <c r="AB245" s="22"/>
      <c r="AC245" s="22"/>
      <c r="AD245" s="22"/>
      <c r="AE245" s="22"/>
      <c r="AF245" s="22"/>
      <c r="AG245" s="22"/>
      <c r="AH245" s="22"/>
      <c r="AI245" s="22"/>
      <c r="AJ245" s="22"/>
      <c r="AK245" s="22"/>
      <c r="AL245" s="22"/>
    </row>
    <row r="246">
      <c r="A246" s="13" t="s">
        <v>19</v>
      </c>
      <c r="B246" s="13" t="s">
        <v>20</v>
      </c>
      <c r="C246" s="14">
        <v>45482.0</v>
      </c>
      <c r="D246" s="15" t="s">
        <v>25</v>
      </c>
      <c r="E246" s="16">
        <v>8.2</v>
      </c>
      <c r="F246" s="15" t="s">
        <v>22</v>
      </c>
      <c r="G246" s="17">
        <v>2.0</v>
      </c>
      <c r="H246" s="18" t="s">
        <v>23</v>
      </c>
      <c r="I246" s="19">
        <v>12.1076</v>
      </c>
      <c r="J246" s="20">
        <v>680.1441</v>
      </c>
      <c r="K246" s="20">
        <v>4.994</v>
      </c>
      <c r="L246" s="20">
        <v>0.008</v>
      </c>
      <c r="M246" s="21">
        <v>141.47933333333333</v>
      </c>
      <c r="N246" s="21">
        <v>26.462</v>
      </c>
      <c r="O246" s="21">
        <v>126.26433333333334</v>
      </c>
      <c r="P246" s="21">
        <v>28.402666666666665</v>
      </c>
      <c r="Q246" s="21">
        <v>90.30933333333333</v>
      </c>
      <c r="R246" s="21">
        <v>30.7</v>
      </c>
      <c r="S246" s="22"/>
      <c r="T246" s="22"/>
      <c r="U246" s="22"/>
      <c r="V246" s="22"/>
      <c r="W246" s="22"/>
      <c r="X246" s="22"/>
      <c r="Y246" s="22"/>
      <c r="Z246" s="22"/>
      <c r="AA246" s="22"/>
      <c r="AB246" s="22"/>
      <c r="AC246" s="22"/>
      <c r="AD246" s="22"/>
      <c r="AE246" s="22"/>
      <c r="AF246" s="22"/>
      <c r="AG246" s="22"/>
      <c r="AH246" s="22"/>
      <c r="AI246" s="22"/>
      <c r="AJ246" s="22"/>
      <c r="AK246" s="22"/>
      <c r="AL246" s="22"/>
    </row>
    <row r="247">
      <c r="A247" s="13" t="s">
        <v>19</v>
      </c>
      <c r="B247" s="13" t="s">
        <v>20</v>
      </c>
      <c r="C247" s="14">
        <v>45482.0</v>
      </c>
      <c r="D247" s="15" t="s">
        <v>25</v>
      </c>
      <c r="E247" s="16">
        <v>8.3</v>
      </c>
      <c r="F247" s="15" t="s">
        <v>22</v>
      </c>
      <c r="G247" s="17">
        <v>2.0</v>
      </c>
      <c r="H247" s="18" t="s">
        <v>23</v>
      </c>
      <c r="I247" s="19">
        <v>9.6731</v>
      </c>
      <c r="J247" s="20">
        <v>642.0631</v>
      </c>
      <c r="K247" s="20">
        <v>3.905</v>
      </c>
      <c r="L247" s="20">
        <v>0.014</v>
      </c>
      <c r="M247" s="21">
        <v>138.34666666666666</v>
      </c>
      <c r="N247" s="21">
        <v>29.325666666666667</v>
      </c>
      <c r="O247" s="21">
        <v>129.72433333333333</v>
      </c>
      <c r="P247" s="21">
        <v>30.308333333333334</v>
      </c>
      <c r="Q247" s="21">
        <v>94.01466666666666</v>
      </c>
      <c r="R247" s="21">
        <v>32.07266666666666</v>
      </c>
      <c r="S247" s="22"/>
      <c r="T247" s="22"/>
      <c r="U247" s="22"/>
      <c r="V247" s="22"/>
      <c r="W247" s="22"/>
      <c r="X247" s="22"/>
      <c r="Y247" s="22"/>
      <c r="Z247" s="22"/>
      <c r="AA247" s="22"/>
      <c r="AB247" s="22"/>
      <c r="AC247" s="22"/>
      <c r="AD247" s="22"/>
      <c r="AE247" s="22"/>
      <c r="AF247" s="22"/>
      <c r="AG247" s="22"/>
      <c r="AH247" s="22"/>
      <c r="AI247" s="22"/>
      <c r="AJ247" s="22"/>
      <c r="AK247" s="22"/>
      <c r="AL247" s="22"/>
    </row>
    <row r="248">
      <c r="A248" s="13" t="s">
        <v>19</v>
      </c>
      <c r="B248" s="13" t="s">
        <v>20</v>
      </c>
      <c r="C248" s="14">
        <v>45482.0</v>
      </c>
      <c r="D248" s="15" t="s">
        <v>25</v>
      </c>
      <c r="E248" s="16">
        <v>8.4</v>
      </c>
      <c r="F248" s="15" t="s">
        <v>22</v>
      </c>
      <c r="G248" s="17">
        <v>2.0</v>
      </c>
      <c r="H248" s="18" t="s">
        <v>23</v>
      </c>
      <c r="I248" s="19">
        <v>12.0196</v>
      </c>
      <c r="J248" s="20">
        <v>724.011</v>
      </c>
      <c r="K248" s="20">
        <v>6.524</v>
      </c>
      <c r="L248" s="20">
        <v>0.021</v>
      </c>
      <c r="M248" s="21">
        <v>139.26633333333334</v>
      </c>
      <c r="N248" s="21">
        <v>33.46</v>
      </c>
      <c r="O248" s="21">
        <v>121.34333333333335</v>
      </c>
      <c r="P248" s="21">
        <v>34.46633333333333</v>
      </c>
      <c r="Q248" s="21">
        <v>79.27466666666668</v>
      </c>
      <c r="R248" s="21">
        <v>33.30433333333334</v>
      </c>
      <c r="S248" s="22"/>
      <c r="T248" s="22"/>
      <c r="U248" s="22"/>
      <c r="V248" s="22"/>
      <c r="W248" s="22"/>
      <c r="X248" s="22"/>
      <c r="Y248" s="22"/>
      <c r="Z248" s="22"/>
      <c r="AA248" s="22"/>
      <c r="AB248" s="22"/>
      <c r="AC248" s="22"/>
      <c r="AD248" s="22"/>
      <c r="AE248" s="22"/>
      <c r="AF248" s="22"/>
      <c r="AG248" s="22"/>
      <c r="AH248" s="22"/>
      <c r="AI248" s="22"/>
      <c r="AJ248" s="22"/>
      <c r="AK248" s="22"/>
      <c r="AL248" s="22"/>
    </row>
    <row r="249">
      <c r="A249" s="13" t="s">
        <v>19</v>
      </c>
      <c r="B249" s="13" t="s">
        <v>20</v>
      </c>
      <c r="C249" s="14">
        <v>45482.0</v>
      </c>
      <c r="D249" s="15" t="s">
        <v>25</v>
      </c>
      <c r="E249" s="16">
        <v>9.1</v>
      </c>
      <c r="F249" s="15" t="s">
        <v>22</v>
      </c>
      <c r="G249" s="17">
        <v>2.0</v>
      </c>
      <c r="H249" s="18" t="s">
        <v>23</v>
      </c>
      <c r="I249" s="19">
        <v>11.12</v>
      </c>
      <c r="J249" s="20">
        <v>612.2224</v>
      </c>
      <c r="K249" s="20">
        <v>5.932</v>
      </c>
      <c r="L249" s="20">
        <v>0.023</v>
      </c>
      <c r="M249" s="21">
        <v>141.02</v>
      </c>
      <c r="N249" s="21">
        <v>30.829666666666668</v>
      </c>
      <c r="O249" s="21">
        <v>127.99633333333334</v>
      </c>
      <c r="P249" s="21">
        <v>31.994666666666664</v>
      </c>
      <c r="Q249" s="21">
        <v>89.85966666666667</v>
      </c>
      <c r="R249" s="21">
        <v>32.338</v>
      </c>
      <c r="S249" s="22"/>
      <c r="T249" s="22"/>
      <c r="U249" s="22"/>
      <c r="V249" s="22"/>
      <c r="W249" s="22"/>
      <c r="X249" s="22"/>
      <c r="Y249" s="22"/>
      <c r="Z249" s="22"/>
      <c r="AA249" s="22"/>
      <c r="AB249" s="22"/>
      <c r="AC249" s="22"/>
      <c r="AD249" s="22"/>
      <c r="AE249" s="22"/>
      <c r="AF249" s="22"/>
      <c r="AG249" s="22"/>
      <c r="AH249" s="22"/>
      <c r="AI249" s="22"/>
      <c r="AJ249" s="22"/>
      <c r="AK249" s="22"/>
      <c r="AL249" s="22"/>
    </row>
    <row r="250">
      <c r="A250" s="13" t="s">
        <v>19</v>
      </c>
      <c r="B250" s="13" t="s">
        <v>20</v>
      </c>
      <c r="C250" s="14">
        <v>45482.0</v>
      </c>
      <c r="D250" s="15" t="s">
        <v>25</v>
      </c>
      <c r="E250" s="16">
        <v>9.2</v>
      </c>
      <c r="F250" s="15" t="s">
        <v>22</v>
      </c>
      <c r="G250" s="17">
        <v>2.0</v>
      </c>
      <c r="H250" s="18" t="s">
        <v>23</v>
      </c>
      <c r="I250" s="19">
        <v>10.0459</v>
      </c>
      <c r="J250" s="20">
        <v>606.0825</v>
      </c>
      <c r="K250" s="20">
        <v>3.097</v>
      </c>
      <c r="L250" s="20">
        <v>0.008</v>
      </c>
      <c r="M250" s="21">
        <v>144.583</v>
      </c>
      <c r="N250" s="21">
        <v>26.075666666666667</v>
      </c>
      <c r="O250" s="21">
        <v>134.7976666666667</v>
      </c>
      <c r="P250" s="21">
        <v>26.723333333333333</v>
      </c>
      <c r="Q250" s="21">
        <v>99.969</v>
      </c>
      <c r="R250" s="21">
        <v>29.299333333333333</v>
      </c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22"/>
      <c r="AK250" s="22"/>
      <c r="AL250" s="22"/>
    </row>
    <row r="251">
      <c r="A251" s="13" t="s">
        <v>19</v>
      </c>
      <c r="B251" s="13" t="s">
        <v>20</v>
      </c>
      <c r="C251" s="14">
        <v>45482.0</v>
      </c>
      <c r="D251" s="15" t="s">
        <v>25</v>
      </c>
      <c r="E251" s="16">
        <v>9.3</v>
      </c>
      <c r="F251" s="15" t="s">
        <v>22</v>
      </c>
      <c r="G251" s="17">
        <v>2.0</v>
      </c>
      <c r="H251" s="18" t="s">
        <v>23</v>
      </c>
      <c r="I251" s="19">
        <v>9.4132</v>
      </c>
      <c r="J251" s="20">
        <v>722.0692</v>
      </c>
      <c r="K251" s="20">
        <v>3.736</v>
      </c>
      <c r="L251" s="20">
        <v>0.022</v>
      </c>
      <c r="M251" s="21">
        <v>142.2123333333333</v>
      </c>
      <c r="N251" s="21">
        <v>27.12633333333333</v>
      </c>
      <c r="O251" s="21">
        <v>130.93500000000003</v>
      </c>
      <c r="P251" s="21">
        <v>27.788333333333338</v>
      </c>
      <c r="Q251" s="21">
        <v>92.29766666666666</v>
      </c>
      <c r="R251" s="21">
        <v>29.035333333333337</v>
      </c>
      <c r="S251" s="22"/>
      <c r="T251" s="22"/>
      <c r="U251" s="22"/>
      <c r="V251" s="22"/>
      <c r="W251" s="22"/>
      <c r="X251" s="22"/>
      <c r="Y251" s="22"/>
      <c r="Z251" s="22"/>
      <c r="AA251" s="22"/>
      <c r="AB251" s="22"/>
      <c r="AC251" s="22"/>
      <c r="AD251" s="22"/>
      <c r="AE251" s="22"/>
      <c r="AF251" s="22"/>
      <c r="AG251" s="22"/>
      <c r="AH251" s="22"/>
      <c r="AI251" s="22"/>
      <c r="AJ251" s="22"/>
      <c r="AK251" s="22"/>
      <c r="AL251" s="22"/>
    </row>
    <row r="252">
      <c r="A252" s="13" t="s">
        <v>19</v>
      </c>
      <c r="B252" s="13" t="s">
        <v>20</v>
      </c>
      <c r="C252" s="14">
        <v>45482.0</v>
      </c>
      <c r="D252" s="15" t="s">
        <v>25</v>
      </c>
      <c r="E252" s="16">
        <v>9.4</v>
      </c>
      <c r="F252" s="15" t="s">
        <v>22</v>
      </c>
      <c r="G252" s="17">
        <v>2.0</v>
      </c>
      <c r="H252" s="18" t="s">
        <v>23</v>
      </c>
      <c r="I252" s="19">
        <v>9.5574</v>
      </c>
      <c r="J252" s="20">
        <v>726.2754</v>
      </c>
      <c r="K252" s="20">
        <v>4.164</v>
      </c>
      <c r="L252" s="20">
        <v>0.011</v>
      </c>
      <c r="M252" s="21">
        <v>118.58733333333333</v>
      </c>
      <c r="N252" s="21">
        <v>30.840666666666664</v>
      </c>
      <c r="O252" s="21">
        <v>104.25099999999999</v>
      </c>
      <c r="P252" s="21">
        <v>32.55833333333333</v>
      </c>
      <c r="Q252" s="21">
        <v>70.02499999999999</v>
      </c>
      <c r="R252" s="21">
        <v>31.67566666666667</v>
      </c>
      <c r="S252" s="22"/>
      <c r="T252" s="22"/>
      <c r="U252" s="22"/>
      <c r="V252" s="22"/>
      <c r="W252" s="22"/>
      <c r="X252" s="22"/>
      <c r="Y252" s="22"/>
      <c r="Z252" s="22"/>
      <c r="AA252" s="22"/>
      <c r="AB252" s="22"/>
      <c r="AC252" s="22"/>
      <c r="AD252" s="22"/>
      <c r="AE252" s="22"/>
      <c r="AF252" s="22"/>
      <c r="AG252" s="22"/>
      <c r="AH252" s="22"/>
      <c r="AI252" s="22"/>
      <c r="AJ252" s="22"/>
      <c r="AK252" s="22"/>
      <c r="AL252" s="22"/>
    </row>
    <row r="253">
      <c r="A253" s="13" t="s">
        <v>19</v>
      </c>
      <c r="B253" s="13" t="s">
        <v>20</v>
      </c>
      <c r="C253" s="14">
        <v>45502.0</v>
      </c>
      <c r="D253" s="15" t="s">
        <v>21</v>
      </c>
      <c r="E253" s="16">
        <v>7.1</v>
      </c>
      <c r="F253" s="15" t="s">
        <v>22</v>
      </c>
      <c r="G253" s="17">
        <v>2.0</v>
      </c>
      <c r="H253" s="18" t="s">
        <v>26</v>
      </c>
      <c r="I253" s="19">
        <v>9.8601</v>
      </c>
      <c r="J253" s="24">
        <v>564.2951</v>
      </c>
      <c r="K253" s="24">
        <v>6.191</v>
      </c>
      <c r="L253" s="24">
        <v>0.044</v>
      </c>
      <c r="M253" s="21">
        <v>117.742</v>
      </c>
      <c r="N253" s="21">
        <v>39.49733333333333</v>
      </c>
      <c r="O253" s="21">
        <v>94.04233333333333</v>
      </c>
      <c r="P253" s="21">
        <v>41.1682</v>
      </c>
      <c r="Q253" s="21">
        <v>63.300333333333334</v>
      </c>
      <c r="R253" s="21">
        <v>35.812666666666665</v>
      </c>
      <c r="S253" s="22"/>
      <c r="T253" s="22"/>
      <c r="U253" s="22"/>
      <c r="V253" s="22"/>
      <c r="W253" s="22"/>
      <c r="X253" s="22"/>
      <c r="Y253" s="22"/>
      <c r="Z253" s="22"/>
      <c r="AA253" s="22"/>
      <c r="AB253" s="22"/>
      <c r="AC253" s="22"/>
      <c r="AD253" s="22"/>
      <c r="AE253" s="22"/>
      <c r="AF253" s="22"/>
      <c r="AG253" s="22"/>
      <c r="AH253" s="22"/>
      <c r="AI253" s="22"/>
      <c r="AJ253" s="22"/>
      <c r="AK253" s="22"/>
      <c r="AL253" s="22"/>
    </row>
    <row r="254">
      <c r="A254" s="13" t="s">
        <v>19</v>
      </c>
      <c r="B254" s="13" t="s">
        <v>20</v>
      </c>
      <c r="C254" s="14">
        <v>45502.0</v>
      </c>
      <c r="D254" s="15" t="s">
        <v>21</v>
      </c>
      <c r="E254" s="16">
        <v>7.2</v>
      </c>
      <c r="F254" s="15" t="s">
        <v>22</v>
      </c>
      <c r="G254" s="17">
        <v>2.0</v>
      </c>
      <c r="H254" s="18" t="s">
        <v>26</v>
      </c>
      <c r="I254" s="19">
        <v>10.634</v>
      </c>
      <c r="J254" s="27">
        <v>707.0078</v>
      </c>
      <c r="K254" s="27">
        <v>3.78</v>
      </c>
      <c r="L254" s="27">
        <v>0.013</v>
      </c>
      <c r="M254" s="21">
        <v>105.803</v>
      </c>
      <c r="N254" s="21">
        <v>38.311</v>
      </c>
      <c r="O254" s="21">
        <v>84.529</v>
      </c>
      <c r="P254" s="21">
        <v>37.644</v>
      </c>
      <c r="Q254" s="21">
        <v>51.802</v>
      </c>
      <c r="R254" s="21">
        <v>30.805666666666667</v>
      </c>
      <c r="S254" s="22"/>
      <c r="T254" s="22"/>
      <c r="U254" s="22"/>
      <c r="V254" s="22"/>
      <c r="W254" s="22"/>
      <c r="X254" s="22"/>
      <c r="Y254" s="22"/>
      <c r="Z254" s="22"/>
      <c r="AA254" s="22"/>
      <c r="AB254" s="22"/>
      <c r="AC254" s="22"/>
      <c r="AD254" s="22"/>
      <c r="AE254" s="22"/>
      <c r="AF254" s="22"/>
      <c r="AG254" s="22"/>
      <c r="AH254" s="22"/>
      <c r="AI254" s="22"/>
      <c r="AJ254" s="22"/>
      <c r="AK254" s="22"/>
      <c r="AL254" s="22"/>
    </row>
    <row r="255">
      <c r="A255" s="13" t="s">
        <v>19</v>
      </c>
      <c r="B255" s="13" t="s">
        <v>20</v>
      </c>
      <c r="C255" s="14">
        <v>45502.0</v>
      </c>
      <c r="D255" s="15" t="s">
        <v>21</v>
      </c>
      <c r="E255" s="16">
        <v>7.3</v>
      </c>
      <c r="F255" s="15" t="s">
        <v>22</v>
      </c>
      <c r="G255" s="17">
        <v>2.0</v>
      </c>
      <c r="H255" s="18" t="s">
        <v>26</v>
      </c>
      <c r="I255" s="19">
        <v>12.5144</v>
      </c>
      <c r="J255" s="27">
        <v>670.9764</v>
      </c>
      <c r="K255" s="27">
        <v>5.461</v>
      </c>
      <c r="L255" s="27">
        <v>0.031</v>
      </c>
      <c r="M255" s="21">
        <v>110.93033333333334</v>
      </c>
      <c r="N255" s="21">
        <v>35.939</v>
      </c>
      <c r="O255" s="21">
        <v>91.25366666666667</v>
      </c>
      <c r="P255" s="21">
        <v>37.363</v>
      </c>
      <c r="Q255" s="21">
        <v>51.864</v>
      </c>
      <c r="R255" s="21">
        <v>30.302999999999997</v>
      </c>
      <c r="S255" s="22"/>
      <c r="T255" s="22"/>
      <c r="U255" s="22"/>
      <c r="V255" s="22"/>
      <c r="W255" s="22"/>
      <c r="X255" s="22"/>
      <c r="Y255" s="22"/>
      <c r="Z255" s="22"/>
      <c r="AA255" s="22"/>
      <c r="AB255" s="22"/>
      <c r="AC255" s="22"/>
      <c r="AD255" s="22"/>
      <c r="AE255" s="22"/>
      <c r="AF255" s="22"/>
      <c r="AG255" s="22"/>
      <c r="AH255" s="22"/>
      <c r="AI255" s="22"/>
      <c r="AJ255" s="22"/>
      <c r="AK255" s="22"/>
      <c r="AL255" s="22"/>
    </row>
    <row r="256">
      <c r="A256" s="13" t="s">
        <v>19</v>
      </c>
      <c r="B256" s="13" t="s">
        <v>20</v>
      </c>
      <c r="C256" s="14">
        <v>45502.0</v>
      </c>
      <c r="D256" s="15" t="s">
        <v>21</v>
      </c>
      <c r="E256" s="16">
        <v>7.4</v>
      </c>
      <c r="F256" s="15" t="s">
        <v>22</v>
      </c>
      <c r="G256" s="17">
        <v>2.0</v>
      </c>
      <c r="H256" s="18" t="s">
        <v>26</v>
      </c>
      <c r="I256" s="19">
        <v>10.695</v>
      </c>
      <c r="J256" s="27">
        <v>653.4906</v>
      </c>
      <c r="K256" s="27">
        <v>4.67</v>
      </c>
      <c r="L256" s="27">
        <v>0.021</v>
      </c>
      <c r="M256" s="21">
        <v>132.55666666666664</v>
      </c>
      <c r="N256" s="21">
        <v>34.70333333333334</v>
      </c>
      <c r="O256" s="21">
        <v>117.95233333333333</v>
      </c>
      <c r="P256" s="21">
        <v>34.44</v>
      </c>
      <c r="Q256" s="21">
        <v>93.35200000000002</v>
      </c>
      <c r="R256" s="21">
        <v>32.992333333333335</v>
      </c>
      <c r="S256" s="22"/>
      <c r="T256" s="22"/>
      <c r="U256" s="22"/>
      <c r="V256" s="22"/>
      <c r="W256" s="22"/>
      <c r="X256" s="22"/>
      <c r="Y256" s="22"/>
      <c r="Z256" s="22"/>
      <c r="AA256" s="22"/>
      <c r="AB256" s="22"/>
      <c r="AC256" s="22"/>
      <c r="AD256" s="22"/>
      <c r="AE256" s="22"/>
      <c r="AF256" s="22"/>
      <c r="AG256" s="22"/>
      <c r="AH256" s="22"/>
      <c r="AI256" s="22"/>
      <c r="AJ256" s="22"/>
      <c r="AK256" s="22"/>
      <c r="AL256" s="22"/>
    </row>
    <row r="257">
      <c r="A257" s="13" t="s">
        <v>19</v>
      </c>
      <c r="B257" s="13" t="s">
        <v>20</v>
      </c>
      <c r="C257" s="14">
        <v>45502.0</v>
      </c>
      <c r="D257" s="15" t="s">
        <v>21</v>
      </c>
      <c r="E257" s="16">
        <v>8.1</v>
      </c>
      <c r="F257" s="15" t="s">
        <v>22</v>
      </c>
      <c r="G257" s="17">
        <v>2.0</v>
      </c>
      <c r="H257" s="18" t="s">
        <v>26</v>
      </c>
      <c r="I257" s="19">
        <v>11.1872</v>
      </c>
      <c r="J257" s="27">
        <v>762.3321</v>
      </c>
      <c r="K257" s="27">
        <v>3.56</v>
      </c>
      <c r="L257" s="27">
        <v>0.015</v>
      </c>
      <c r="M257" s="21">
        <v>122.35433333333333</v>
      </c>
      <c r="N257" s="21">
        <v>29.494333333333334</v>
      </c>
      <c r="O257" s="21">
        <v>94.11399999999999</v>
      </c>
      <c r="P257" s="21">
        <v>32.02333333333333</v>
      </c>
      <c r="Q257" s="21">
        <v>54.062333333333335</v>
      </c>
      <c r="R257" s="21">
        <v>29.132</v>
      </c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22"/>
      <c r="AK257" s="22"/>
      <c r="AL257" s="22"/>
    </row>
    <row r="258">
      <c r="A258" s="13" t="s">
        <v>19</v>
      </c>
      <c r="B258" s="13" t="s">
        <v>20</v>
      </c>
      <c r="C258" s="14">
        <v>45502.0</v>
      </c>
      <c r="D258" s="15" t="s">
        <v>21</v>
      </c>
      <c r="E258" s="16">
        <v>8.2</v>
      </c>
      <c r="F258" s="15" t="s">
        <v>22</v>
      </c>
      <c r="G258" s="17">
        <v>2.0</v>
      </c>
      <c r="H258" s="18" t="s">
        <v>26</v>
      </c>
      <c r="I258" s="19">
        <v>11.0433</v>
      </c>
      <c r="J258" s="27">
        <v>752.4467</v>
      </c>
      <c r="K258" s="27">
        <v>3.933</v>
      </c>
      <c r="L258" s="27">
        <v>0.017</v>
      </c>
      <c r="M258" s="21">
        <v>163.707</v>
      </c>
      <c r="N258" s="21">
        <v>31.06233333333334</v>
      </c>
      <c r="O258" s="21">
        <v>134.10333333333332</v>
      </c>
      <c r="P258" s="21">
        <v>34.705999999999996</v>
      </c>
      <c r="Q258" s="21">
        <v>75.45</v>
      </c>
      <c r="R258" s="21">
        <v>36.022999999999996</v>
      </c>
      <c r="S258" s="22"/>
      <c r="T258" s="22"/>
      <c r="U258" s="22"/>
      <c r="V258" s="22"/>
      <c r="W258" s="22"/>
      <c r="X258" s="22"/>
      <c r="Y258" s="22"/>
      <c r="Z258" s="22"/>
      <c r="AA258" s="22"/>
      <c r="AB258" s="22"/>
      <c r="AC258" s="22"/>
      <c r="AD258" s="22"/>
      <c r="AE258" s="22"/>
      <c r="AF258" s="22"/>
      <c r="AG258" s="22"/>
      <c r="AH258" s="22"/>
      <c r="AI258" s="22"/>
      <c r="AJ258" s="22"/>
      <c r="AK258" s="22"/>
      <c r="AL258" s="22"/>
    </row>
    <row r="259">
      <c r="A259" s="13" t="s">
        <v>19</v>
      </c>
      <c r="B259" s="13" t="s">
        <v>20</v>
      </c>
      <c r="C259" s="14">
        <v>45502.0</v>
      </c>
      <c r="D259" s="15" t="s">
        <v>21</v>
      </c>
      <c r="E259" s="16">
        <v>8.3</v>
      </c>
      <c r="F259" s="15" t="s">
        <v>22</v>
      </c>
      <c r="G259" s="17">
        <v>2.0</v>
      </c>
      <c r="H259" s="18" t="s">
        <v>26</v>
      </c>
      <c r="I259" s="19">
        <v>11.0313</v>
      </c>
      <c r="J259" s="27">
        <v>792.0051</v>
      </c>
      <c r="K259" s="27">
        <v>4.556</v>
      </c>
      <c r="L259" s="27">
        <v>0.025</v>
      </c>
      <c r="M259" s="21">
        <v>145.07299999999998</v>
      </c>
      <c r="N259" s="21">
        <v>36.744</v>
      </c>
      <c r="O259" s="21">
        <v>113.88066666666667</v>
      </c>
      <c r="P259" s="21">
        <v>38.74333333333333</v>
      </c>
      <c r="Q259" s="21">
        <v>70.38233333333334</v>
      </c>
      <c r="R259" s="21">
        <v>35.923</v>
      </c>
      <c r="S259" s="22"/>
      <c r="T259" s="22"/>
      <c r="U259" s="22"/>
      <c r="V259" s="22"/>
      <c r="W259" s="22"/>
      <c r="X259" s="22"/>
      <c r="Y259" s="22"/>
      <c r="Z259" s="22"/>
      <c r="AA259" s="22"/>
      <c r="AB259" s="22"/>
      <c r="AC259" s="22"/>
      <c r="AD259" s="22"/>
      <c r="AE259" s="22"/>
      <c r="AF259" s="22"/>
      <c r="AG259" s="22"/>
      <c r="AH259" s="22"/>
      <c r="AI259" s="22"/>
      <c r="AJ259" s="22"/>
      <c r="AK259" s="22"/>
      <c r="AL259" s="22"/>
    </row>
    <row r="260">
      <c r="A260" s="13" t="s">
        <v>19</v>
      </c>
      <c r="B260" s="13" t="s">
        <v>20</v>
      </c>
      <c r="C260" s="14">
        <v>45502.0</v>
      </c>
      <c r="D260" s="15" t="s">
        <v>21</v>
      </c>
      <c r="E260" s="16">
        <v>8.4</v>
      </c>
      <c r="F260" s="15" t="s">
        <v>22</v>
      </c>
      <c r="G260" s="17">
        <v>2.0</v>
      </c>
      <c r="H260" s="18" t="s">
        <v>26</v>
      </c>
      <c r="I260" s="19">
        <v>9.703</v>
      </c>
      <c r="J260" s="27">
        <v>740.4244</v>
      </c>
      <c r="K260" s="27">
        <v>3.852</v>
      </c>
      <c r="L260" s="27">
        <v>0.027</v>
      </c>
      <c r="M260" s="21">
        <v>141.557</v>
      </c>
      <c r="N260" s="21">
        <v>36.25266666666667</v>
      </c>
      <c r="O260" s="21">
        <v>123.44233333333334</v>
      </c>
      <c r="P260" s="21">
        <v>33.93266666666667</v>
      </c>
      <c r="Q260" s="21">
        <v>91.57300000000002</v>
      </c>
      <c r="R260" s="21">
        <v>38.99733333333334</v>
      </c>
      <c r="S260" s="22"/>
      <c r="T260" s="22"/>
      <c r="U260" s="22"/>
      <c r="V260" s="22"/>
      <c r="W260" s="22"/>
      <c r="X260" s="22"/>
      <c r="Y260" s="22"/>
      <c r="Z260" s="22"/>
      <c r="AA260" s="22"/>
      <c r="AB260" s="22"/>
      <c r="AC260" s="22"/>
      <c r="AD260" s="22"/>
      <c r="AE260" s="22"/>
      <c r="AF260" s="22"/>
      <c r="AG260" s="22"/>
      <c r="AH260" s="22"/>
      <c r="AI260" s="22"/>
      <c r="AJ260" s="22"/>
      <c r="AK260" s="22"/>
      <c r="AL260" s="22"/>
    </row>
    <row r="261">
      <c r="A261" s="13" t="s">
        <v>19</v>
      </c>
      <c r="B261" s="13" t="s">
        <v>20</v>
      </c>
      <c r="C261" s="14">
        <v>45502.0</v>
      </c>
      <c r="D261" s="15" t="s">
        <v>21</v>
      </c>
      <c r="E261" s="16">
        <v>9.1</v>
      </c>
      <c r="F261" s="15" t="s">
        <v>22</v>
      </c>
      <c r="G261" s="17">
        <v>2.0</v>
      </c>
      <c r="H261" s="18" t="s">
        <v>26</v>
      </c>
      <c r="I261" s="19">
        <v>10.5832</v>
      </c>
      <c r="J261" s="27">
        <v>876.0023</v>
      </c>
      <c r="K261" s="27">
        <v>2.77</v>
      </c>
      <c r="L261" s="27">
        <v>0.012</v>
      </c>
      <c r="M261" s="21">
        <v>171.69833333333335</v>
      </c>
      <c r="N261" s="21">
        <v>33.559333333333335</v>
      </c>
      <c r="O261" s="21">
        <v>147.8096666666667</v>
      </c>
      <c r="P261" s="21">
        <v>36.24333333333333</v>
      </c>
      <c r="Q261" s="21">
        <v>91.39533333333333</v>
      </c>
      <c r="R261" s="21">
        <v>37.381</v>
      </c>
      <c r="S261" s="22"/>
      <c r="T261" s="22"/>
      <c r="U261" s="22"/>
      <c r="V261" s="22"/>
      <c r="W261" s="22"/>
      <c r="X261" s="22"/>
      <c r="Y261" s="22"/>
      <c r="Z261" s="22"/>
      <c r="AA261" s="22"/>
      <c r="AB261" s="22"/>
      <c r="AC261" s="22"/>
      <c r="AD261" s="22"/>
      <c r="AE261" s="22"/>
      <c r="AF261" s="22"/>
      <c r="AG261" s="22"/>
      <c r="AH261" s="22"/>
      <c r="AI261" s="22"/>
      <c r="AJ261" s="22"/>
      <c r="AK261" s="22"/>
      <c r="AL261" s="22"/>
    </row>
    <row r="262">
      <c r="A262" s="13" t="s">
        <v>19</v>
      </c>
      <c r="B262" s="13" t="s">
        <v>20</v>
      </c>
      <c r="C262" s="14">
        <v>45502.0</v>
      </c>
      <c r="D262" s="15" t="s">
        <v>21</v>
      </c>
      <c r="E262" s="16">
        <v>9.2</v>
      </c>
      <c r="F262" s="15" t="s">
        <v>22</v>
      </c>
      <c r="G262" s="17">
        <v>2.0</v>
      </c>
      <c r="H262" s="18" t="s">
        <v>26</v>
      </c>
      <c r="I262" s="19">
        <v>9.3315</v>
      </c>
      <c r="J262" s="27">
        <v>786.2544</v>
      </c>
      <c r="K262" s="27">
        <v>3.22</v>
      </c>
      <c r="L262" s="27">
        <v>0.015</v>
      </c>
      <c r="M262" s="21">
        <v>158.682</v>
      </c>
      <c r="N262" s="21">
        <v>30.491333333333333</v>
      </c>
      <c r="O262" s="21">
        <v>128.8613333333333</v>
      </c>
      <c r="P262" s="21">
        <v>32.733</v>
      </c>
      <c r="Q262" s="21">
        <v>77.20733333333334</v>
      </c>
      <c r="R262" s="21">
        <v>32.827666666666666</v>
      </c>
      <c r="S262" s="22"/>
      <c r="T262" s="22"/>
      <c r="U262" s="22"/>
      <c r="V262" s="22"/>
      <c r="W262" s="22"/>
      <c r="X262" s="22"/>
      <c r="Y262" s="22"/>
      <c r="Z262" s="22"/>
      <c r="AA262" s="22"/>
      <c r="AB262" s="22"/>
      <c r="AC262" s="22"/>
      <c r="AD262" s="22"/>
      <c r="AE262" s="22"/>
      <c r="AF262" s="22"/>
      <c r="AG262" s="22"/>
      <c r="AH262" s="22"/>
      <c r="AI262" s="22"/>
      <c r="AJ262" s="22"/>
      <c r="AK262" s="22"/>
      <c r="AL262" s="22"/>
    </row>
    <row r="263">
      <c r="A263" s="13" t="s">
        <v>19</v>
      </c>
      <c r="B263" s="13" t="s">
        <v>20</v>
      </c>
      <c r="C263" s="14">
        <v>45502.0</v>
      </c>
      <c r="D263" s="15" t="s">
        <v>21</v>
      </c>
      <c r="E263" s="16">
        <v>9.3</v>
      </c>
      <c r="F263" s="15" t="s">
        <v>22</v>
      </c>
      <c r="G263" s="17">
        <v>2.0</v>
      </c>
      <c r="H263" s="18" t="s">
        <v>26</v>
      </c>
      <c r="I263" s="19">
        <v>10.9984</v>
      </c>
      <c r="J263" s="27">
        <v>734.4603</v>
      </c>
      <c r="K263" s="27">
        <v>3.728</v>
      </c>
      <c r="L263" s="27">
        <v>0.015</v>
      </c>
      <c r="M263" s="21">
        <v>165.81033333333335</v>
      </c>
      <c r="N263" s="21">
        <v>25.981333333333335</v>
      </c>
      <c r="O263" s="21">
        <v>140.57966666666667</v>
      </c>
      <c r="P263" s="21">
        <v>28.498333333333335</v>
      </c>
      <c r="Q263" s="21">
        <v>77.78566666666667</v>
      </c>
      <c r="R263" s="21">
        <v>31.112666666666666</v>
      </c>
      <c r="S263" s="22"/>
      <c r="T263" s="22"/>
      <c r="U263" s="22"/>
      <c r="V263" s="22"/>
      <c r="W263" s="22"/>
      <c r="X263" s="22"/>
      <c r="Y263" s="22"/>
      <c r="Z263" s="22"/>
      <c r="AA263" s="22"/>
      <c r="AB263" s="22"/>
      <c r="AC263" s="22"/>
      <c r="AD263" s="22"/>
      <c r="AE263" s="22"/>
      <c r="AF263" s="22"/>
      <c r="AG263" s="22"/>
      <c r="AH263" s="22"/>
      <c r="AI263" s="22"/>
      <c r="AJ263" s="22"/>
      <c r="AK263" s="22"/>
      <c r="AL263" s="22"/>
    </row>
    <row r="264">
      <c r="A264" s="13" t="s">
        <v>19</v>
      </c>
      <c r="B264" s="13" t="s">
        <v>20</v>
      </c>
      <c r="C264" s="14">
        <v>45502.0</v>
      </c>
      <c r="D264" s="15" t="s">
        <v>21</v>
      </c>
      <c r="E264" s="16">
        <v>9.4</v>
      </c>
      <c r="F264" s="15" t="s">
        <v>22</v>
      </c>
      <c r="G264" s="17">
        <v>2.0</v>
      </c>
      <c r="H264" s="18" t="s">
        <v>26</v>
      </c>
      <c r="I264" s="19">
        <v>10.018</v>
      </c>
      <c r="J264" s="27">
        <v>719.1022</v>
      </c>
      <c r="K264" s="27">
        <v>3.706</v>
      </c>
      <c r="L264" s="27">
        <v>0.009</v>
      </c>
      <c r="M264" s="21">
        <v>151.669</v>
      </c>
      <c r="N264" s="21">
        <v>23.66</v>
      </c>
      <c r="O264" s="21">
        <v>130.53333333333333</v>
      </c>
      <c r="P264" s="21">
        <v>24.776999999999997</v>
      </c>
      <c r="Q264" s="21">
        <v>92.10000000000001</v>
      </c>
      <c r="R264" s="21">
        <v>30.008</v>
      </c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22"/>
      <c r="AK264" s="22"/>
      <c r="AL264" s="22"/>
    </row>
    <row r="265">
      <c r="A265" s="13" t="s">
        <v>19</v>
      </c>
      <c r="B265" s="13" t="s">
        <v>20</v>
      </c>
      <c r="C265" s="14">
        <v>45502.0</v>
      </c>
      <c r="D265" s="15" t="s">
        <v>24</v>
      </c>
      <c r="E265" s="16">
        <v>7.1</v>
      </c>
      <c r="F265" s="15" t="s">
        <v>22</v>
      </c>
      <c r="G265" s="17">
        <v>2.0</v>
      </c>
      <c r="H265" s="18" t="s">
        <v>26</v>
      </c>
      <c r="I265" s="19">
        <v>10.1534</v>
      </c>
      <c r="J265" s="27">
        <v>932.5947</v>
      </c>
      <c r="K265" s="27">
        <v>4.172</v>
      </c>
      <c r="L265" s="27">
        <v>0.022</v>
      </c>
      <c r="M265" s="21">
        <v>151.634</v>
      </c>
      <c r="N265" s="21">
        <v>21.445999999999998</v>
      </c>
      <c r="O265" s="21">
        <v>119.21600000000001</v>
      </c>
      <c r="P265" s="21">
        <v>26.236333333333334</v>
      </c>
      <c r="Q265" s="21">
        <v>62.318333333333335</v>
      </c>
      <c r="R265" s="21">
        <v>31.180666666666667</v>
      </c>
      <c r="S265" s="22"/>
      <c r="T265" s="22"/>
      <c r="U265" s="22"/>
      <c r="V265" s="22"/>
      <c r="W265" s="22"/>
      <c r="X265" s="22"/>
      <c r="Y265" s="22"/>
      <c r="Z265" s="22"/>
      <c r="AA265" s="22"/>
      <c r="AB265" s="22"/>
      <c r="AC265" s="22"/>
      <c r="AD265" s="22"/>
      <c r="AE265" s="22"/>
      <c r="AF265" s="22"/>
      <c r="AG265" s="22"/>
      <c r="AH265" s="22"/>
      <c r="AI265" s="22"/>
      <c r="AJ265" s="22"/>
      <c r="AK265" s="22"/>
      <c r="AL265" s="22"/>
    </row>
    <row r="266">
      <c r="A266" s="13" t="s">
        <v>19</v>
      </c>
      <c r="B266" s="13" t="s">
        <v>20</v>
      </c>
      <c r="C266" s="14">
        <v>45502.0</v>
      </c>
      <c r="D266" s="15" t="s">
        <v>24</v>
      </c>
      <c r="E266" s="16">
        <v>7.2</v>
      </c>
      <c r="F266" s="15" t="s">
        <v>22</v>
      </c>
      <c r="G266" s="17">
        <v>2.0</v>
      </c>
      <c r="H266" s="18" t="s">
        <v>26</v>
      </c>
      <c r="I266" s="19">
        <v>10.6378</v>
      </c>
      <c r="J266" s="27">
        <v>720.1361</v>
      </c>
      <c r="K266" s="27">
        <v>5.24</v>
      </c>
      <c r="L266" s="27">
        <v>0.041</v>
      </c>
      <c r="M266" s="21">
        <v>154.60766666666666</v>
      </c>
      <c r="N266" s="21">
        <v>22.063333333333333</v>
      </c>
      <c r="O266" s="21">
        <v>121.86466666666666</v>
      </c>
      <c r="P266" s="21">
        <v>25.594000000000005</v>
      </c>
      <c r="Q266" s="21">
        <v>64.38033333333334</v>
      </c>
      <c r="R266" s="21">
        <v>29.894666666666666</v>
      </c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</row>
    <row r="267">
      <c r="A267" s="13" t="s">
        <v>19</v>
      </c>
      <c r="B267" s="13" t="s">
        <v>20</v>
      </c>
      <c r="C267" s="14">
        <v>45502.0</v>
      </c>
      <c r="D267" s="15" t="s">
        <v>24</v>
      </c>
      <c r="E267" s="16">
        <v>7.3</v>
      </c>
      <c r="F267" s="15" t="s">
        <v>22</v>
      </c>
      <c r="G267" s="17">
        <v>2.0</v>
      </c>
      <c r="H267" s="18" t="s">
        <v>26</v>
      </c>
      <c r="I267" s="19">
        <v>11.6318</v>
      </c>
      <c r="J267" s="27">
        <v>772.0414</v>
      </c>
      <c r="K267" s="27">
        <v>6.293</v>
      </c>
      <c r="L267" s="27">
        <v>0.03</v>
      </c>
      <c r="M267" s="21">
        <v>140.98100000000002</v>
      </c>
      <c r="N267" s="21">
        <v>24.021</v>
      </c>
      <c r="O267" s="21">
        <v>110.979</v>
      </c>
      <c r="P267" s="21">
        <v>28.305666666666667</v>
      </c>
      <c r="Q267" s="21">
        <v>60.16633333333334</v>
      </c>
      <c r="R267" s="21">
        <v>31.06233333333333</v>
      </c>
      <c r="S267" s="22"/>
      <c r="T267" s="22"/>
      <c r="U267" s="22"/>
      <c r="V267" s="22"/>
      <c r="W267" s="22"/>
      <c r="X267" s="22"/>
      <c r="Y267" s="22"/>
      <c r="Z267" s="22"/>
      <c r="AA267" s="22"/>
      <c r="AB267" s="22"/>
      <c r="AC267" s="22"/>
      <c r="AD267" s="22"/>
      <c r="AE267" s="22"/>
      <c r="AF267" s="22"/>
      <c r="AG267" s="22"/>
      <c r="AH267" s="22"/>
      <c r="AI267" s="22"/>
      <c r="AJ267" s="22"/>
      <c r="AK267" s="22"/>
      <c r="AL267" s="22"/>
    </row>
    <row r="268">
      <c r="A268" s="13" t="s">
        <v>19</v>
      </c>
      <c r="B268" s="13" t="s">
        <v>20</v>
      </c>
      <c r="C268" s="14">
        <v>45502.0</v>
      </c>
      <c r="D268" s="15" t="s">
        <v>24</v>
      </c>
      <c r="E268" s="16">
        <v>7.4</v>
      </c>
      <c r="F268" s="15" t="s">
        <v>22</v>
      </c>
      <c r="G268" s="17">
        <v>2.0</v>
      </c>
      <c r="H268" s="18" t="s">
        <v>26</v>
      </c>
      <c r="I268" s="19">
        <v>9.833</v>
      </c>
      <c r="J268" s="27">
        <v>696.9763</v>
      </c>
      <c r="K268" s="27">
        <v>5.08</v>
      </c>
      <c r="L268" s="27">
        <v>0.039</v>
      </c>
      <c r="M268" s="21">
        <v>155.535</v>
      </c>
      <c r="N268" s="21">
        <v>18.804666666666666</v>
      </c>
      <c r="O268" s="21">
        <v>130.90233333333333</v>
      </c>
      <c r="P268" s="21">
        <v>21.390666666666664</v>
      </c>
      <c r="Q268" s="21">
        <v>92.21833333333332</v>
      </c>
      <c r="R268" s="21">
        <v>26.651</v>
      </c>
      <c r="S268" s="22"/>
      <c r="T268" s="22"/>
      <c r="U268" s="22"/>
      <c r="V268" s="22"/>
      <c r="W268" s="22"/>
      <c r="X268" s="22"/>
      <c r="Y268" s="22"/>
      <c r="Z268" s="22"/>
      <c r="AA268" s="22"/>
      <c r="AB268" s="22"/>
      <c r="AC268" s="22"/>
      <c r="AD268" s="22"/>
      <c r="AE268" s="22"/>
      <c r="AF268" s="22"/>
      <c r="AG268" s="22"/>
      <c r="AH268" s="22"/>
      <c r="AI268" s="22"/>
      <c r="AJ268" s="22"/>
      <c r="AK268" s="22"/>
      <c r="AL268" s="22"/>
    </row>
    <row r="269">
      <c r="A269" s="13" t="s">
        <v>19</v>
      </c>
      <c r="B269" s="13" t="s">
        <v>20</v>
      </c>
      <c r="C269" s="14">
        <v>45502.0</v>
      </c>
      <c r="D269" s="15" t="s">
        <v>24</v>
      </c>
      <c r="E269" s="16">
        <v>8.1</v>
      </c>
      <c r="F269" s="15" t="s">
        <v>22</v>
      </c>
      <c r="G269" s="17">
        <v>2.0</v>
      </c>
      <c r="H269" s="18" t="s">
        <v>26</v>
      </c>
      <c r="I269" s="19">
        <v>9.1723</v>
      </c>
      <c r="J269" s="27">
        <v>822.7029</v>
      </c>
      <c r="K269" s="27">
        <v>3.962</v>
      </c>
      <c r="L269" s="27">
        <v>0.017</v>
      </c>
      <c r="M269" s="21">
        <v>162.354</v>
      </c>
      <c r="N269" s="21">
        <v>18.71633333333333</v>
      </c>
      <c r="O269" s="21">
        <v>139.15266666666665</v>
      </c>
      <c r="P269" s="21">
        <v>23.887666666666664</v>
      </c>
      <c r="Q269" s="21">
        <v>91.64766666666667</v>
      </c>
      <c r="R269" s="21">
        <v>34.52133333333333</v>
      </c>
      <c r="S269" s="22"/>
      <c r="T269" s="22"/>
      <c r="U269" s="22"/>
      <c r="V269" s="22"/>
      <c r="W269" s="22"/>
      <c r="X269" s="22"/>
      <c r="Y269" s="22"/>
      <c r="Z269" s="22"/>
      <c r="AA269" s="22"/>
      <c r="AB269" s="22"/>
      <c r="AC269" s="22"/>
      <c r="AD269" s="22"/>
      <c r="AE269" s="22"/>
      <c r="AF269" s="22"/>
      <c r="AG269" s="22"/>
      <c r="AH269" s="22"/>
      <c r="AI269" s="22"/>
      <c r="AJ269" s="22"/>
      <c r="AK269" s="22"/>
      <c r="AL269" s="22"/>
    </row>
    <row r="270">
      <c r="A270" s="13" t="s">
        <v>19</v>
      </c>
      <c r="B270" s="13" t="s">
        <v>20</v>
      </c>
      <c r="C270" s="14">
        <v>45502.0</v>
      </c>
      <c r="D270" s="15" t="s">
        <v>24</v>
      </c>
      <c r="E270" s="16">
        <v>8.2</v>
      </c>
      <c r="F270" s="15" t="s">
        <v>22</v>
      </c>
      <c r="G270" s="17">
        <v>2.0</v>
      </c>
      <c r="H270" s="18" t="s">
        <v>26</v>
      </c>
      <c r="I270" s="19">
        <v>10.126</v>
      </c>
      <c r="J270" s="27">
        <v>857.2258</v>
      </c>
      <c r="K270" s="27">
        <v>4.696</v>
      </c>
      <c r="L270" s="27">
        <v>0.02</v>
      </c>
      <c r="M270" s="21">
        <v>156.33633333333333</v>
      </c>
      <c r="N270" s="21">
        <v>21.09633333333333</v>
      </c>
      <c r="O270" s="21">
        <v>129.446</v>
      </c>
      <c r="P270" s="21">
        <v>25.12633333333333</v>
      </c>
      <c r="Q270" s="21">
        <v>74.49833333333333</v>
      </c>
      <c r="R270" s="21">
        <v>34.52733333333333</v>
      </c>
      <c r="S270" s="22"/>
      <c r="T270" s="22"/>
      <c r="U270" s="22"/>
      <c r="V270" s="22"/>
      <c r="W270" s="22"/>
      <c r="X270" s="22"/>
      <c r="Y270" s="22"/>
      <c r="Z270" s="22"/>
      <c r="AA270" s="22"/>
      <c r="AB270" s="22"/>
      <c r="AC270" s="22"/>
      <c r="AD270" s="22"/>
      <c r="AE270" s="22"/>
      <c r="AF270" s="22"/>
      <c r="AG270" s="22"/>
      <c r="AH270" s="22"/>
      <c r="AI270" s="22"/>
      <c r="AJ270" s="22"/>
      <c r="AK270" s="22"/>
      <c r="AL270" s="22"/>
    </row>
    <row r="271">
      <c r="A271" s="13" t="s">
        <v>19</v>
      </c>
      <c r="B271" s="13" t="s">
        <v>20</v>
      </c>
      <c r="C271" s="14">
        <v>45502.0</v>
      </c>
      <c r="D271" s="15" t="s">
        <v>24</v>
      </c>
      <c r="E271" s="16">
        <v>8.3</v>
      </c>
      <c r="F271" s="15" t="s">
        <v>22</v>
      </c>
      <c r="G271" s="17">
        <v>2.0</v>
      </c>
      <c r="H271" s="18" t="s">
        <v>26</v>
      </c>
      <c r="I271" s="19">
        <v>9.6907</v>
      </c>
      <c r="J271" s="27">
        <v>824.0874</v>
      </c>
      <c r="K271" s="27">
        <v>4.607</v>
      </c>
      <c r="L271" s="27">
        <v>0.046</v>
      </c>
      <c r="M271" s="21">
        <v>155.63133333333334</v>
      </c>
      <c r="N271" s="21">
        <v>17.102999999999998</v>
      </c>
      <c r="O271" s="21">
        <v>129.784</v>
      </c>
      <c r="P271" s="21">
        <v>20.674666666666663</v>
      </c>
      <c r="Q271" s="21">
        <v>81.075</v>
      </c>
      <c r="R271" s="21">
        <v>30.245666666666665</v>
      </c>
      <c r="S271" s="22"/>
      <c r="T271" s="22"/>
      <c r="U271" s="22"/>
      <c r="V271" s="22"/>
      <c r="W271" s="22"/>
      <c r="X271" s="22"/>
      <c r="Y271" s="22"/>
      <c r="Z271" s="22"/>
      <c r="AA271" s="22"/>
      <c r="AB271" s="22"/>
      <c r="AC271" s="22"/>
      <c r="AD271" s="22"/>
      <c r="AE271" s="22"/>
      <c r="AF271" s="22"/>
      <c r="AG271" s="22"/>
      <c r="AH271" s="22"/>
      <c r="AI271" s="22"/>
      <c r="AJ271" s="22"/>
      <c r="AK271" s="22"/>
      <c r="AL271" s="22"/>
    </row>
    <row r="272">
      <c r="A272" s="13" t="s">
        <v>19</v>
      </c>
      <c r="B272" s="13" t="s">
        <v>20</v>
      </c>
      <c r="C272" s="14">
        <v>45502.0</v>
      </c>
      <c r="D272" s="15" t="s">
        <v>24</v>
      </c>
      <c r="E272" s="16">
        <v>8.4</v>
      </c>
      <c r="F272" s="15" t="s">
        <v>22</v>
      </c>
      <c r="G272" s="17">
        <v>2.0</v>
      </c>
      <c r="H272" s="18" t="s">
        <v>26</v>
      </c>
      <c r="I272" s="19">
        <v>10.684</v>
      </c>
      <c r="J272" s="27">
        <v>716.1033</v>
      </c>
      <c r="K272" s="27">
        <v>4.802</v>
      </c>
      <c r="L272" s="27">
        <v>0.059</v>
      </c>
      <c r="M272" s="21">
        <v>152.25533333333337</v>
      </c>
      <c r="N272" s="21">
        <v>16.043333333333333</v>
      </c>
      <c r="O272" s="21">
        <v>130.9416666666667</v>
      </c>
      <c r="P272" s="21">
        <v>19.314333333333334</v>
      </c>
      <c r="Q272" s="21">
        <v>91.05400000000002</v>
      </c>
      <c r="R272" s="21">
        <v>28.127333333333336</v>
      </c>
      <c r="S272" s="22"/>
      <c r="T272" s="22"/>
      <c r="U272" s="22"/>
      <c r="V272" s="22"/>
      <c r="W272" s="22"/>
      <c r="X272" s="22"/>
      <c r="Y272" s="22"/>
      <c r="Z272" s="22"/>
      <c r="AA272" s="22"/>
      <c r="AB272" s="22"/>
      <c r="AC272" s="22"/>
      <c r="AD272" s="22"/>
      <c r="AE272" s="22"/>
      <c r="AF272" s="22"/>
      <c r="AG272" s="22"/>
      <c r="AH272" s="22"/>
      <c r="AI272" s="22"/>
      <c r="AJ272" s="22"/>
      <c r="AK272" s="22"/>
      <c r="AL272" s="22"/>
    </row>
    <row r="273">
      <c r="A273" s="13" t="s">
        <v>19</v>
      </c>
      <c r="B273" s="13" t="s">
        <v>20</v>
      </c>
      <c r="C273" s="14">
        <v>45502.0</v>
      </c>
      <c r="D273" s="15" t="s">
        <v>24</v>
      </c>
      <c r="E273" s="16">
        <v>9.1</v>
      </c>
      <c r="F273" s="15" t="s">
        <v>22</v>
      </c>
      <c r="G273" s="17">
        <v>2.0</v>
      </c>
      <c r="H273" s="18" t="s">
        <v>26</v>
      </c>
      <c r="I273" s="19">
        <v>9.649</v>
      </c>
      <c r="J273" s="24">
        <v>828.2415</v>
      </c>
      <c r="K273" s="27">
        <v>4.003</v>
      </c>
      <c r="L273" s="27">
        <v>0.016</v>
      </c>
      <c r="M273" s="21">
        <v>124.49633333333334</v>
      </c>
      <c r="N273" s="21">
        <v>25.801666666666666</v>
      </c>
      <c r="O273" s="21">
        <v>98.029</v>
      </c>
      <c r="P273" s="21">
        <v>31.761666666666667</v>
      </c>
      <c r="Q273" s="21">
        <v>54.223333333333336</v>
      </c>
      <c r="R273" s="21">
        <v>34.24699999999999</v>
      </c>
      <c r="S273" s="22"/>
      <c r="T273" s="22"/>
      <c r="U273" s="22"/>
      <c r="V273" s="22"/>
      <c r="W273" s="22"/>
      <c r="X273" s="22"/>
      <c r="Y273" s="22"/>
      <c r="Z273" s="22"/>
      <c r="AA273" s="22"/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</row>
    <row r="274">
      <c r="A274" s="13" t="s">
        <v>19</v>
      </c>
      <c r="B274" s="13" t="s">
        <v>20</v>
      </c>
      <c r="C274" s="14">
        <v>45502.0</v>
      </c>
      <c r="D274" s="15" t="s">
        <v>24</v>
      </c>
      <c r="E274" s="16">
        <v>9.2</v>
      </c>
      <c r="F274" s="15" t="s">
        <v>22</v>
      </c>
      <c r="G274" s="17">
        <v>2.0</v>
      </c>
      <c r="H274" s="18" t="s">
        <v>26</v>
      </c>
      <c r="I274" s="19">
        <v>9.7293</v>
      </c>
      <c r="J274" s="27">
        <v>834.2901</v>
      </c>
      <c r="K274" s="27">
        <v>4.445</v>
      </c>
      <c r="L274" s="27">
        <v>0.019</v>
      </c>
      <c r="M274" s="21">
        <v>143.63666666666668</v>
      </c>
      <c r="N274" s="21">
        <v>23.890666666666664</v>
      </c>
      <c r="O274" s="21">
        <v>116.11266666666666</v>
      </c>
      <c r="P274" s="21">
        <v>29.233999999999998</v>
      </c>
      <c r="Q274" s="21">
        <v>70.64699999999999</v>
      </c>
      <c r="R274" s="21">
        <v>35.61433333333333</v>
      </c>
      <c r="S274" s="22"/>
      <c r="T274" s="22"/>
      <c r="U274" s="22"/>
      <c r="V274" s="22"/>
      <c r="W274" s="22"/>
      <c r="X274" s="22"/>
      <c r="Y274" s="22"/>
      <c r="Z274" s="22"/>
      <c r="AA274" s="22"/>
      <c r="AB274" s="22"/>
      <c r="AC274" s="22"/>
      <c r="AD274" s="22"/>
      <c r="AE274" s="22"/>
      <c r="AF274" s="22"/>
      <c r="AG274" s="22"/>
      <c r="AH274" s="22"/>
      <c r="AI274" s="22"/>
      <c r="AJ274" s="22"/>
      <c r="AK274" s="22"/>
      <c r="AL274" s="22"/>
    </row>
    <row r="275">
      <c r="A275" s="13" t="s">
        <v>19</v>
      </c>
      <c r="B275" s="13" t="s">
        <v>20</v>
      </c>
      <c r="C275" s="14">
        <v>45502.0</v>
      </c>
      <c r="D275" s="15" t="s">
        <v>24</v>
      </c>
      <c r="E275" s="16">
        <v>9.3</v>
      </c>
      <c r="F275" s="15" t="s">
        <v>22</v>
      </c>
      <c r="G275" s="17">
        <v>2.0</v>
      </c>
      <c r="H275" s="18" t="s">
        <v>26</v>
      </c>
      <c r="I275" s="19">
        <v>9.0184</v>
      </c>
      <c r="J275" s="27">
        <v>921.3957</v>
      </c>
      <c r="K275" s="27">
        <v>3.359</v>
      </c>
      <c r="L275" s="27">
        <v>0.007</v>
      </c>
      <c r="M275" s="21">
        <v>142.03133333333332</v>
      </c>
      <c r="N275" s="21">
        <v>26.188000000000002</v>
      </c>
      <c r="O275" s="21">
        <v>116.558</v>
      </c>
      <c r="P275" s="21">
        <v>32.153</v>
      </c>
      <c r="Q275" s="21">
        <v>75.15866666666666</v>
      </c>
      <c r="R275" s="21">
        <v>35.916999999999994</v>
      </c>
      <c r="S275" s="22"/>
      <c r="T275" s="22"/>
      <c r="U275" s="22"/>
      <c r="V275" s="22"/>
      <c r="W275" s="22"/>
      <c r="X275" s="22"/>
      <c r="Y275" s="22"/>
      <c r="Z275" s="22"/>
      <c r="AA275" s="22"/>
      <c r="AB275" s="22"/>
      <c r="AC275" s="22"/>
      <c r="AD275" s="22"/>
      <c r="AE275" s="22"/>
      <c r="AF275" s="22"/>
      <c r="AG275" s="22"/>
      <c r="AH275" s="22"/>
      <c r="AI275" s="22"/>
      <c r="AJ275" s="22"/>
      <c r="AK275" s="22"/>
      <c r="AL275" s="22"/>
    </row>
    <row r="276">
      <c r="A276" s="13" t="s">
        <v>19</v>
      </c>
      <c r="B276" s="13" t="s">
        <v>20</v>
      </c>
      <c r="C276" s="14">
        <v>45502.0</v>
      </c>
      <c r="D276" s="15" t="s">
        <v>24</v>
      </c>
      <c r="E276" s="16">
        <v>9.4</v>
      </c>
      <c r="F276" s="15" t="s">
        <v>22</v>
      </c>
      <c r="G276" s="17">
        <v>2.0</v>
      </c>
      <c r="H276" s="18" t="s">
        <v>26</v>
      </c>
      <c r="I276" s="19">
        <v>9.333</v>
      </c>
      <c r="J276" s="27">
        <v>865.0017</v>
      </c>
      <c r="K276" s="27">
        <v>3.517</v>
      </c>
      <c r="L276" s="27">
        <v>0.008</v>
      </c>
      <c r="M276" s="21">
        <v>150.26066666666668</v>
      </c>
      <c r="N276" s="21">
        <v>19.808666666666667</v>
      </c>
      <c r="O276" s="21">
        <v>133.5376666666667</v>
      </c>
      <c r="P276" s="21">
        <v>20.491</v>
      </c>
      <c r="Q276" s="21">
        <v>91.06700000000001</v>
      </c>
      <c r="R276" s="21">
        <v>32.90866666666667</v>
      </c>
      <c r="S276" s="22"/>
      <c r="T276" s="22"/>
      <c r="U276" s="22"/>
      <c r="V276" s="22"/>
      <c r="W276" s="22"/>
      <c r="X276" s="22"/>
      <c r="Y276" s="22"/>
      <c r="Z276" s="22"/>
      <c r="AA276" s="22"/>
      <c r="AB276" s="22"/>
      <c r="AC276" s="22"/>
      <c r="AD276" s="22"/>
      <c r="AE276" s="22"/>
      <c r="AF276" s="22"/>
      <c r="AG276" s="22"/>
      <c r="AH276" s="22"/>
      <c r="AI276" s="22"/>
      <c r="AJ276" s="22"/>
      <c r="AK276" s="22"/>
      <c r="AL276" s="22"/>
    </row>
    <row r="277">
      <c r="A277" s="13" t="s">
        <v>19</v>
      </c>
      <c r="B277" s="13" t="s">
        <v>20</v>
      </c>
      <c r="C277" s="14">
        <v>45502.0</v>
      </c>
      <c r="D277" s="15" t="s">
        <v>25</v>
      </c>
      <c r="E277" s="16">
        <v>7.1</v>
      </c>
      <c r="F277" s="15" t="s">
        <v>22</v>
      </c>
      <c r="G277" s="17">
        <v>2.0</v>
      </c>
      <c r="H277" s="18" t="s">
        <v>26</v>
      </c>
      <c r="I277" s="19">
        <v>12.8559</v>
      </c>
      <c r="J277" s="27">
        <v>751.0313</v>
      </c>
      <c r="K277" s="27">
        <v>7.26</v>
      </c>
      <c r="L277" s="27">
        <v>0.03</v>
      </c>
      <c r="M277" s="21">
        <v>141.12566666666666</v>
      </c>
      <c r="N277" s="21">
        <v>36.64533333333333</v>
      </c>
      <c r="O277" s="21">
        <v>127.41633333333334</v>
      </c>
      <c r="P277" s="21">
        <v>41.095333333333336</v>
      </c>
      <c r="Q277" s="21">
        <v>74.49433333333333</v>
      </c>
      <c r="R277" s="21">
        <v>43.26666666666666</v>
      </c>
      <c r="S277" s="22"/>
      <c r="T277" s="22"/>
      <c r="U277" s="22"/>
      <c r="V277" s="22"/>
      <c r="W277" s="22"/>
      <c r="X277" s="22"/>
      <c r="Y277" s="22"/>
      <c r="Z277" s="22"/>
      <c r="AA277" s="22"/>
      <c r="AB277" s="22"/>
      <c r="AC277" s="22"/>
      <c r="AD277" s="22"/>
      <c r="AE277" s="22"/>
      <c r="AF277" s="22"/>
      <c r="AG277" s="22"/>
      <c r="AH277" s="22"/>
      <c r="AI277" s="22"/>
      <c r="AJ277" s="22"/>
      <c r="AK277" s="22"/>
      <c r="AL277" s="22"/>
    </row>
    <row r="278">
      <c r="A278" s="13" t="s">
        <v>19</v>
      </c>
      <c r="B278" s="13" t="s">
        <v>20</v>
      </c>
      <c r="C278" s="14">
        <v>45502.0</v>
      </c>
      <c r="D278" s="15" t="s">
        <v>25</v>
      </c>
      <c r="E278" s="16">
        <v>7.3</v>
      </c>
      <c r="F278" s="15" t="s">
        <v>22</v>
      </c>
      <c r="G278" s="17">
        <v>2.0</v>
      </c>
      <c r="H278" s="18" t="s">
        <v>26</v>
      </c>
      <c r="I278" s="16">
        <v>10.7393</v>
      </c>
      <c r="J278" s="27">
        <v>762.5562</v>
      </c>
      <c r="K278" s="27">
        <v>4.348</v>
      </c>
      <c r="L278" s="27">
        <v>0.009</v>
      </c>
      <c r="M278" s="21">
        <v>123.01633333333332</v>
      </c>
      <c r="N278" s="21">
        <v>37.742</v>
      </c>
      <c r="O278" s="21">
        <v>104.48899999999999</v>
      </c>
      <c r="P278" s="21">
        <v>41.77</v>
      </c>
      <c r="Q278" s="21">
        <v>62.345333333333336</v>
      </c>
      <c r="R278" s="21">
        <v>41.04266666666667</v>
      </c>
      <c r="S278" s="22"/>
      <c r="T278" s="22"/>
      <c r="U278" s="22"/>
      <c r="V278" s="22"/>
      <c r="W278" s="22"/>
      <c r="X278" s="22"/>
      <c r="Y278" s="22"/>
      <c r="Z278" s="22"/>
      <c r="AA278" s="22"/>
      <c r="AB278" s="22"/>
      <c r="AC278" s="22"/>
      <c r="AD278" s="22"/>
      <c r="AE278" s="22"/>
      <c r="AF278" s="22"/>
      <c r="AG278" s="22"/>
      <c r="AH278" s="22"/>
      <c r="AI278" s="22"/>
      <c r="AJ278" s="22"/>
      <c r="AK278" s="22"/>
      <c r="AL278" s="22"/>
    </row>
    <row r="279">
      <c r="A279" s="13" t="s">
        <v>19</v>
      </c>
      <c r="B279" s="13" t="s">
        <v>20</v>
      </c>
      <c r="C279" s="14">
        <v>45502.0</v>
      </c>
      <c r="D279" s="15" t="s">
        <v>25</v>
      </c>
      <c r="E279" s="16">
        <v>7.4</v>
      </c>
      <c r="F279" s="15" t="s">
        <v>22</v>
      </c>
      <c r="G279" s="17">
        <v>2.0</v>
      </c>
      <c r="H279" s="18" t="s">
        <v>26</v>
      </c>
      <c r="I279" s="16">
        <v>10.815</v>
      </c>
      <c r="J279" s="27">
        <v>792.0404</v>
      </c>
      <c r="K279" s="27">
        <v>5.204</v>
      </c>
      <c r="L279" s="27">
        <v>0.024</v>
      </c>
      <c r="M279" s="21">
        <v>154.71733333333336</v>
      </c>
      <c r="N279" s="21">
        <v>37.931999999999995</v>
      </c>
      <c r="O279" s="21">
        <v>140.41666666666666</v>
      </c>
      <c r="P279" s="21">
        <v>41.144666666666666</v>
      </c>
      <c r="Q279" s="21">
        <v>98.06733333333334</v>
      </c>
      <c r="R279" s="21">
        <v>42.57999999999999</v>
      </c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22"/>
      <c r="AK279" s="22"/>
      <c r="AL279" s="22"/>
    </row>
    <row r="280">
      <c r="A280" s="13" t="s">
        <v>19</v>
      </c>
      <c r="B280" s="13" t="s">
        <v>20</v>
      </c>
      <c r="C280" s="14">
        <v>45502.0</v>
      </c>
      <c r="D280" s="15" t="s">
        <v>25</v>
      </c>
      <c r="E280" s="16">
        <v>8.1</v>
      </c>
      <c r="F280" s="15" t="s">
        <v>22</v>
      </c>
      <c r="G280" s="17">
        <v>2.0</v>
      </c>
      <c r="H280" s="18" t="s">
        <v>26</v>
      </c>
      <c r="I280" s="19">
        <v>11.8855</v>
      </c>
      <c r="J280" s="27">
        <v>743.0774</v>
      </c>
      <c r="K280" s="27">
        <v>6.299</v>
      </c>
      <c r="L280" s="27">
        <v>0.037</v>
      </c>
      <c r="M280" s="21">
        <v>138.10933333333332</v>
      </c>
      <c r="N280" s="21">
        <v>36.41366666666667</v>
      </c>
      <c r="O280" s="21">
        <v>116.86399999999999</v>
      </c>
      <c r="P280" s="21">
        <v>39.641666666666666</v>
      </c>
      <c r="Q280" s="21">
        <v>63.36866666666666</v>
      </c>
      <c r="R280" s="21">
        <v>40.166666666666664</v>
      </c>
      <c r="S280" s="22"/>
      <c r="T280" s="22"/>
      <c r="U280" s="22"/>
      <c r="V280" s="22"/>
      <c r="W280" s="22"/>
      <c r="X280" s="22"/>
      <c r="Y280" s="22"/>
      <c r="Z280" s="22"/>
      <c r="AA280" s="22"/>
      <c r="AB280" s="22"/>
      <c r="AC280" s="22"/>
      <c r="AD280" s="22"/>
      <c r="AE280" s="22"/>
      <c r="AF280" s="22"/>
      <c r="AG280" s="22"/>
      <c r="AH280" s="22"/>
      <c r="AI280" s="22"/>
      <c r="AJ280" s="22"/>
      <c r="AK280" s="22"/>
      <c r="AL280" s="22"/>
    </row>
    <row r="281">
      <c r="A281" s="13" t="s">
        <v>19</v>
      </c>
      <c r="B281" s="13" t="s">
        <v>20</v>
      </c>
      <c r="C281" s="14">
        <v>45502.0</v>
      </c>
      <c r="D281" s="15" t="s">
        <v>25</v>
      </c>
      <c r="E281" s="16">
        <v>8.2</v>
      </c>
      <c r="F281" s="15" t="s">
        <v>22</v>
      </c>
      <c r="G281" s="17">
        <v>2.0</v>
      </c>
      <c r="H281" s="18" t="s">
        <v>26</v>
      </c>
      <c r="I281" s="19">
        <v>12.0204</v>
      </c>
      <c r="J281" s="27">
        <v>810.6121</v>
      </c>
      <c r="K281" s="27">
        <v>4.919</v>
      </c>
      <c r="L281" s="27">
        <v>0.015</v>
      </c>
      <c r="M281" s="21">
        <v>141.468</v>
      </c>
      <c r="N281" s="21">
        <v>36.45166666666666</v>
      </c>
      <c r="O281" s="21">
        <v>120.65899999999999</v>
      </c>
      <c r="P281" s="21">
        <v>39.133</v>
      </c>
      <c r="Q281" s="21">
        <v>67.20433333333334</v>
      </c>
      <c r="R281" s="21">
        <v>40.37366666666667</v>
      </c>
      <c r="S281" s="22"/>
      <c r="T281" s="22"/>
      <c r="U281" s="22"/>
      <c r="V281" s="22"/>
      <c r="W281" s="22"/>
      <c r="X281" s="22"/>
      <c r="Y281" s="22"/>
      <c r="Z281" s="22"/>
      <c r="AA281" s="22"/>
      <c r="AB281" s="22"/>
      <c r="AC281" s="22"/>
      <c r="AD281" s="22"/>
      <c r="AE281" s="22"/>
      <c r="AF281" s="22"/>
      <c r="AG281" s="22"/>
      <c r="AH281" s="22"/>
      <c r="AI281" s="22"/>
      <c r="AJ281" s="22"/>
      <c r="AK281" s="22"/>
      <c r="AL281" s="22"/>
    </row>
    <row r="282">
      <c r="A282" s="13" t="s">
        <v>19</v>
      </c>
      <c r="B282" s="13" t="s">
        <v>20</v>
      </c>
      <c r="C282" s="14">
        <v>45502.0</v>
      </c>
      <c r="D282" s="15" t="s">
        <v>25</v>
      </c>
      <c r="E282" s="16">
        <v>8.3</v>
      </c>
      <c r="F282" s="15" t="s">
        <v>22</v>
      </c>
      <c r="G282" s="17">
        <v>2.0</v>
      </c>
      <c r="H282" s="18" t="s">
        <v>26</v>
      </c>
      <c r="I282" s="19">
        <v>9.8282</v>
      </c>
      <c r="J282" s="27">
        <v>656.064</v>
      </c>
      <c r="K282" s="27">
        <v>4.815</v>
      </c>
      <c r="L282" s="27">
        <v>0.012</v>
      </c>
      <c r="M282" s="21">
        <v>146.23033333333333</v>
      </c>
      <c r="N282" s="21">
        <v>32.89233333333333</v>
      </c>
      <c r="O282" s="21">
        <v>128.63933333333333</v>
      </c>
      <c r="P282" s="21">
        <v>36.55766666666667</v>
      </c>
      <c r="Q282" s="21">
        <v>76.59566666666667</v>
      </c>
      <c r="R282" s="21">
        <v>40.120666666666665</v>
      </c>
      <c r="S282" s="22"/>
      <c r="T282" s="22"/>
      <c r="U282" s="22"/>
      <c r="V282" s="22"/>
      <c r="W282" s="22"/>
      <c r="X282" s="22"/>
      <c r="Y282" s="22"/>
      <c r="Z282" s="22"/>
      <c r="AA282" s="22"/>
      <c r="AB282" s="22"/>
      <c r="AC282" s="22"/>
      <c r="AD282" s="22"/>
      <c r="AE282" s="22"/>
      <c r="AF282" s="22"/>
      <c r="AG282" s="22"/>
      <c r="AH282" s="22"/>
      <c r="AI282" s="22"/>
      <c r="AJ282" s="22"/>
      <c r="AK282" s="22"/>
      <c r="AL282" s="22"/>
    </row>
    <row r="283">
      <c r="A283" s="13" t="s">
        <v>19</v>
      </c>
      <c r="B283" s="13" t="s">
        <v>20</v>
      </c>
      <c r="C283" s="14">
        <v>45502.0</v>
      </c>
      <c r="D283" s="15" t="s">
        <v>25</v>
      </c>
      <c r="E283" s="16">
        <v>8.4</v>
      </c>
      <c r="F283" s="15" t="s">
        <v>22</v>
      </c>
      <c r="G283" s="17">
        <v>2.0</v>
      </c>
      <c r="H283" s="18" t="s">
        <v>26</v>
      </c>
      <c r="I283" s="19">
        <v>12.011</v>
      </c>
      <c r="J283" s="27">
        <v>679.7205</v>
      </c>
      <c r="K283" s="27">
        <v>6.298</v>
      </c>
      <c r="L283" s="27">
        <v>0.028</v>
      </c>
      <c r="M283" s="21">
        <v>144.734</v>
      </c>
      <c r="N283" s="21">
        <v>29.54133333333333</v>
      </c>
      <c r="O283" s="21">
        <v>129.01066666666668</v>
      </c>
      <c r="P283" s="21">
        <v>30.337333333333333</v>
      </c>
      <c r="Q283" s="21">
        <v>89.767</v>
      </c>
      <c r="R283" s="21">
        <v>30.932000000000002</v>
      </c>
      <c r="S283" s="22"/>
      <c r="T283" s="22"/>
      <c r="U283" s="22"/>
      <c r="V283" s="22"/>
      <c r="W283" s="22"/>
      <c r="X283" s="22"/>
      <c r="Y283" s="22"/>
      <c r="Z283" s="22"/>
      <c r="AA283" s="22"/>
      <c r="AB283" s="22"/>
      <c r="AC283" s="22"/>
      <c r="AD283" s="22"/>
      <c r="AE283" s="22"/>
      <c r="AF283" s="22"/>
      <c r="AG283" s="22"/>
      <c r="AH283" s="22"/>
      <c r="AI283" s="22"/>
      <c r="AJ283" s="22"/>
      <c r="AK283" s="22"/>
      <c r="AL283" s="22"/>
    </row>
    <row r="284">
      <c r="A284" s="13" t="s">
        <v>19</v>
      </c>
      <c r="B284" s="13" t="s">
        <v>20</v>
      </c>
      <c r="C284" s="14">
        <v>45502.0</v>
      </c>
      <c r="D284" s="15" t="s">
        <v>25</v>
      </c>
      <c r="E284" s="16">
        <v>9.1</v>
      </c>
      <c r="F284" s="15" t="s">
        <v>22</v>
      </c>
      <c r="G284" s="17">
        <v>2.0</v>
      </c>
      <c r="H284" s="18" t="s">
        <v>26</v>
      </c>
      <c r="I284" s="19">
        <v>11.3085</v>
      </c>
      <c r="J284" s="27">
        <v>681.4706</v>
      </c>
      <c r="K284" s="27">
        <v>5.575</v>
      </c>
      <c r="L284" s="27">
        <v>0.019</v>
      </c>
      <c r="M284" s="21">
        <v>131.106</v>
      </c>
      <c r="N284" s="21">
        <v>34.80166666666667</v>
      </c>
      <c r="O284" s="21">
        <v>113.70266666666667</v>
      </c>
      <c r="P284" s="21">
        <v>38.09766666666667</v>
      </c>
      <c r="Q284" s="21">
        <v>61.541666666666664</v>
      </c>
      <c r="R284" s="21">
        <v>38.27833333333333</v>
      </c>
      <c r="S284" s="22"/>
      <c r="T284" s="22"/>
      <c r="U284" s="22"/>
      <c r="V284" s="22"/>
      <c r="W284" s="22"/>
      <c r="X284" s="22"/>
      <c r="Y284" s="22"/>
      <c r="Z284" s="22"/>
      <c r="AA284" s="22"/>
      <c r="AB284" s="22"/>
      <c r="AC284" s="22"/>
      <c r="AD284" s="22"/>
      <c r="AE284" s="22"/>
      <c r="AF284" s="22"/>
      <c r="AG284" s="22"/>
      <c r="AH284" s="22"/>
      <c r="AI284" s="22"/>
      <c r="AJ284" s="22"/>
      <c r="AK284" s="22"/>
      <c r="AL284" s="22"/>
    </row>
    <row r="285">
      <c r="A285" s="13" t="s">
        <v>19</v>
      </c>
      <c r="B285" s="13" t="s">
        <v>20</v>
      </c>
      <c r="C285" s="14">
        <v>45502.0</v>
      </c>
      <c r="D285" s="15" t="s">
        <v>25</v>
      </c>
      <c r="E285" s="16">
        <v>9.2</v>
      </c>
      <c r="F285" s="15" t="s">
        <v>22</v>
      </c>
      <c r="G285" s="17">
        <v>2.0</v>
      </c>
      <c r="H285" s="18" t="s">
        <v>26</v>
      </c>
      <c r="I285" s="19">
        <v>9.7936</v>
      </c>
      <c r="J285" s="27">
        <v>654.2477</v>
      </c>
      <c r="K285" s="27">
        <v>4.695</v>
      </c>
      <c r="L285" s="27">
        <v>0.011</v>
      </c>
      <c r="M285" s="21">
        <v>149.41733333333335</v>
      </c>
      <c r="N285" s="21">
        <v>33.079</v>
      </c>
      <c r="O285" s="21">
        <v>137.92933333333335</v>
      </c>
      <c r="P285" s="21">
        <v>35.891666666666666</v>
      </c>
      <c r="Q285" s="21">
        <v>74.88566666666667</v>
      </c>
      <c r="R285" s="21">
        <v>40.486</v>
      </c>
      <c r="S285" s="22"/>
      <c r="T285" s="22"/>
      <c r="U285" s="22"/>
      <c r="V285" s="22"/>
      <c r="W285" s="22"/>
      <c r="X285" s="22"/>
      <c r="Y285" s="22"/>
      <c r="Z285" s="22"/>
      <c r="AA285" s="22"/>
      <c r="AB285" s="22"/>
      <c r="AC285" s="22"/>
      <c r="AD285" s="22"/>
      <c r="AE285" s="22"/>
      <c r="AF285" s="22"/>
      <c r="AG285" s="22"/>
      <c r="AH285" s="22"/>
      <c r="AI285" s="22"/>
      <c r="AJ285" s="22"/>
      <c r="AK285" s="22"/>
      <c r="AL285" s="22"/>
    </row>
    <row r="286">
      <c r="A286" s="13" t="s">
        <v>19</v>
      </c>
      <c r="B286" s="13" t="s">
        <v>20</v>
      </c>
      <c r="C286" s="14">
        <v>45502.0</v>
      </c>
      <c r="D286" s="15" t="s">
        <v>25</v>
      </c>
      <c r="E286" s="16">
        <v>9.3</v>
      </c>
      <c r="F286" s="15" t="s">
        <v>22</v>
      </c>
      <c r="G286" s="17">
        <v>2.0</v>
      </c>
      <c r="H286" s="18" t="s">
        <v>26</v>
      </c>
      <c r="I286" s="19">
        <v>9.424</v>
      </c>
      <c r="J286" s="27">
        <v>692.104</v>
      </c>
      <c r="K286" s="27">
        <v>5.069</v>
      </c>
      <c r="L286" s="27">
        <v>0.018</v>
      </c>
      <c r="M286" s="21">
        <v>144.38500000000002</v>
      </c>
      <c r="N286" s="21">
        <v>38.544999999999995</v>
      </c>
      <c r="O286" s="21">
        <v>125.241</v>
      </c>
      <c r="P286" s="21">
        <v>41.57233333333334</v>
      </c>
      <c r="Q286" s="21">
        <v>73.10566666666666</v>
      </c>
      <c r="R286" s="21">
        <v>42.254</v>
      </c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22"/>
      <c r="AK286" s="22"/>
      <c r="AL286" s="22"/>
    </row>
    <row r="287">
      <c r="A287" s="13" t="s">
        <v>19</v>
      </c>
      <c r="B287" s="13" t="s">
        <v>20</v>
      </c>
      <c r="C287" s="14">
        <v>45502.0</v>
      </c>
      <c r="D287" s="15" t="s">
        <v>25</v>
      </c>
      <c r="E287" s="16">
        <v>9.4</v>
      </c>
      <c r="F287" s="15" t="s">
        <v>22</v>
      </c>
      <c r="G287" s="17">
        <v>2.0</v>
      </c>
      <c r="H287" s="18" t="s">
        <v>26</v>
      </c>
      <c r="I287" s="19">
        <v>9.608</v>
      </c>
      <c r="J287" s="27">
        <v>628.5877</v>
      </c>
      <c r="K287" s="27">
        <v>4.471</v>
      </c>
      <c r="L287" s="27">
        <v>0.031</v>
      </c>
      <c r="M287" s="21">
        <v>143.07666666666668</v>
      </c>
      <c r="N287" s="21">
        <v>26.509666666666664</v>
      </c>
      <c r="O287" s="21">
        <v>131.53966666666668</v>
      </c>
      <c r="P287" s="21">
        <v>27.122</v>
      </c>
      <c r="Q287" s="21">
        <v>90.57966666666668</v>
      </c>
      <c r="R287" s="21">
        <v>28.901</v>
      </c>
      <c r="S287" s="22"/>
      <c r="T287" s="22"/>
      <c r="U287" s="22"/>
      <c r="V287" s="22"/>
      <c r="W287" s="22"/>
      <c r="X287" s="22"/>
      <c r="Y287" s="22"/>
      <c r="Z287" s="22"/>
      <c r="AA287" s="22"/>
      <c r="AB287" s="22"/>
      <c r="AC287" s="22"/>
      <c r="AD287" s="22"/>
      <c r="AE287" s="22"/>
      <c r="AF287" s="22"/>
      <c r="AG287" s="22"/>
      <c r="AH287" s="22"/>
      <c r="AI287" s="22"/>
      <c r="AJ287" s="22"/>
      <c r="AK287" s="22"/>
      <c r="AL287" s="22"/>
    </row>
    <row r="288">
      <c r="A288" s="13" t="s">
        <v>20</v>
      </c>
      <c r="B288" s="13" t="s">
        <v>20</v>
      </c>
      <c r="C288" s="26">
        <v>45565.0</v>
      </c>
      <c r="D288" s="13" t="s">
        <v>21</v>
      </c>
      <c r="E288" s="13">
        <v>1.1</v>
      </c>
      <c r="F288" s="13" t="s">
        <v>22</v>
      </c>
      <c r="G288" s="13">
        <v>3.0</v>
      </c>
      <c r="H288" s="13" t="s">
        <v>23</v>
      </c>
      <c r="I288" s="23">
        <v>24.5839</v>
      </c>
      <c r="J288" s="23">
        <v>510.0</v>
      </c>
      <c r="K288" s="23">
        <v>5.591</v>
      </c>
      <c r="L288" s="23">
        <v>0.052</v>
      </c>
      <c r="M288" s="22">
        <v>119.24833333333333</v>
      </c>
      <c r="N288" s="22">
        <v>27.891000000000002</v>
      </c>
      <c r="O288" s="22">
        <v>94.33699999999999</v>
      </c>
      <c r="P288" s="22">
        <v>28.313333333333333</v>
      </c>
      <c r="Q288" s="22">
        <v>59.452999999999996</v>
      </c>
      <c r="R288" s="22">
        <v>26.49933333333333</v>
      </c>
      <c r="S288" s="23"/>
      <c r="T288" s="22"/>
      <c r="U288" s="22"/>
      <c r="V288" s="22"/>
      <c r="W288" s="22"/>
      <c r="X288" s="22"/>
      <c r="Y288" s="22"/>
      <c r="Z288" s="22"/>
      <c r="AA288" s="22"/>
      <c r="AB288" s="22"/>
      <c r="AC288" s="22"/>
      <c r="AD288" s="22"/>
      <c r="AE288" s="22"/>
      <c r="AF288" s="22"/>
      <c r="AG288" s="22"/>
      <c r="AH288" s="22"/>
      <c r="AI288" s="22"/>
      <c r="AJ288" s="22"/>
      <c r="AK288" s="22"/>
      <c r="AL288" s="22"/>
    </row>
    <row r="289">
      <c r="A289" s="13" t="s">
        <v>20</v>
      </c>
      <c r="B289" s="13" t="s">
        <v>20</v>
      </c>
      <c r="C289" s="26">
        <v>45565.0</v>
      </c>
      <c r="D289" s="13" t="s">
        <v>21</v>
      </c>
      <c r="E289" s="13">
        <v>1.2</v>
      </c>
      <c r="F289" s="13" t="s">
        <v>22</v>
      </c>
      <c r="G289" s="13">
        <v>3.0</v>
      </c>
      <c r="H289" s="13" t="s">
        <v>23</v>
      </c>
      <c r="I289" s="23">
        <v>23.7047</v>
      </c>
      <c r="J289" s="23">
        <v>558.0323</v>
      </c>
      <c r="K289" s="23">
        <v>3.044</v>
      </c>
      <c r="L289" s="23">
        <v>0.083</v>
      </c>
      <c r="M289" s="22">
        <v>172.03099999999998</v>
      </c>
      <c r="N289" s="22">
        <v>29.031666666666666</v>
      </c>
      <c r="O289" s="22">
        <v>141.21333333333334</v>
      </c>
      <c r="P289" s="22">
        <v>28.436333333333334</v>
      </c>
      <c r="Q289" s="22">
        <v>86.13</v>
      </c>
      <c r="R289" s="22">
        <v>29.47366666666667</v>
      </c>
      <c r="S289" s="23"/>
      <c r="T289" s="22"/>
      <c r="U289" s="22"/>
      <c r="V289" s="22"/>
      <c r="W289" s="22"/>
      <c r="X289" s="22"/>
      <c r="Y289" s="22"/>
      <c r="Z289" s="22"/>
      <c r="AA289" s="22"/>
      <c r="AB289" s="22"/>
      <c r="AC289" s="22"/>
      <c r="AD289" s="22"/>
      <c r="AE289" s="22"/>
      <c r="AF289" s="22"/>
      <c r="AG289" s="22"/>
      <c r="AH289" s="22"/>
      <c r="AI289" s="22"/>
      <c r="AJ289" s="22"/>
      <c r="AK289" s="22"/>
      <c r="AL289" s="22"/>
    </row>
    <row r="290">
      <c r="A290" s="13" t="s">
        <v>20</v>
      </c>
      <c r="B290" s="13" t="s">
        <v>20</v>
      </c>
      <c r="C290" s="26">
        <v>45565.0</v>
      </c>
      <c r="D290" s="13" t="s">
        <v>21</v>
      </c>
      <c r="E290" s="13">
        <v>1.3</v>
      </c>
      <c r="F290" s="13" t="s">
        <v>22</v>
      </c>
      <c r="G290" s="13">
        <v>3.0</v>
      </c>
      <c r="H290" s="13" t="s">
        <v>23</v>
      </c>
      <c r="I290" s="23">
        <v>23.5933</v>
      </c>
      <c r="J290" s="23">
        <v>554.5183</v>
      </c>
      <c r="K290" s="23">
        <v>4.153</v>
      </c>
      <c r="L290" s="23">
        <v>0.04</v>
      </c>
      <c r="M290" s="22">
        <v>156.60966666666664</v>
      </c>
      <c r="N290" s="22">
        <v>25.757</v>
      </c>
      <c r="O290" s="22">
        <v>121.02300000000001</v>
      </c>
      <c r="P290" s="22">
        <v>25.766333333333336</v>
      </c>
      <c r="Q290" s="22">
        <v>65.27033333333334</v>
      </c>
      <c r="R290" s="22">
        <v>25.991</v>
      </c>
      <c r="S290" s="23"/>
      <c r="T290" s="22"/>
      <c r="U290" s="22"/>
      <c r="V290" s="22"/>
      <c r="W290" s="22"/>
      <c r="X290" s="22"/>
      <c r="Y290" s="22"/>
      <c r="Z290" s="22"/>
      <c r="AA290" s="22"/>
      <c r="AB290" s="22"/>
      <c r="AC290" s="22"/>
      <c r="AD290" s="22"/>
      <c r="AE290" s="22"/>
      <c r="AF290" s="22"/>
      <c r="AG290" s="22"/>
      <c r="AH290" s="22"/>
      <c r="AI290" s="22"/>
      <c r="AJ290" s="22"/>
      <c r="AK290" s="22"/>
      <c r="AL290" s="22"/>
    </row>
    <row r="291">
      <c r="A291" s="13" t="s">
        <v>20</v>
      </c>
      <c r="B291" s="13" t="s">
        <v>20</v>
      </c>
      <c r="C291" s="26">
        <v>45565.0</v>
      </c>
      <c r="D291" s="13" t="s">
        <v>21</v>
      </c>
      <c r="E291" s="13">
        <v>1.4</v>
      </c>
      <c r="F291" s="13" t="s">
        <v>22</v>
      </c>
      <c r="G291" s="13">
        <v>3.0</v>
      </c>
      <c r="H291" s="13" t="s">
        <v>23</v>
      </c>
      <c r="I291" s="23">
        <v>22.0098</v>
      </c>
      <c r="J291" s="23">
        <v>450.0011</v>
      </c>
      <c r="K291" s="23">
        <v>4.298</v>
      </c>
      <c r="L291" s="23">
        <v>0.036</v>
      </c>
      <c r="M291" s="22">
        <v>159.915</v>
      </c>
      <c r="N291" s="22">
        <v>30.853333333333335</v>
      </c>
      <c r="O291" s="22">
        <v>132.48166666666668</v>
      </c>
      <c r="P291" s="22">
        <v>32.52633333333333</v>
      </c>
      <c r="Q291" s="22">
        <v>95.617</v>
      </c>
      <c r="R291" s="22">
        <v>33.782000000000004</v>
      </c>
      <c r="S291" s="23"/>
      <c r="T291" s="22"/>
      <c r="U291" s="22"/>
      <c r="V291" s="22"/>
      <c r="W291" s="22"/>
      <c r="X291" s="22"/>
      <c r="Y291" s="22"/>
      <c r="Z291" s="22"/>
      <c r="AA291" s="22"/>
      <c r="AB291" s="22"/>
      <c r="AC291" s="22"/>
      <c r="AD291" s="22"/>
      <c r="AE291" s="22"/>
      <c r="AF291" s="22"/>
      <c r="AG291" s="22"/>
      <c r="AH291" s="22"/>
      <c r="AI291" s="22"/>
      <c r="AJ291" s="22"/>
      <c r="AK291" s="22"/>
      <c r="AL291" s="22"/>
    </row>
    <row r="292">
      <c r="A292" s="13" t="s">
        <v>20</v>
      </c>
      <c r="B292" s="13" t="s">
        <v>20</v>
      </c>
      <c r="C292" s="26">
        <v>45565.0</v>
      </c>
      <c r="D292" s="13" t="s">
        <v>21</v>
      </c>
      <c r="E292" s="13">
        <v>2.1</v>
      </c>
      <c r="F292" s="13" t="s">
        <v>22</v>
      </c>
      <c r="G292" s="13">
        <v>3.0</v>
      </c>
      <c r="H292" s="13" t="s">
        <v>23</v>
      </c>
      <c r="I292" s="23">
        <v>16.0734</v>
      </c>
      <c r="J292" s="23">
        <v>536.0933</v>
      </c>
      <c r="K292" s="23">
        <v>1.843</v>
      </c>
      <c r="L292" s="23">
        <v>0.028</v>
      </c>
      <c r="M292" s="22">
        <v>127.21499999999999</v>
      </c>
      <c r="N292" s="22">
        <v>27.337333333333333</v>
      </c>
      <c r="O292" s="22">
        <v>102.51066666666668</v>
      </c>
      <c r="P292" s="22">
        <v>28.635</v>
      </c>
      <c r="Q292" s="22">
        <v>60.16733333333334</v>
      </c>
      <c r="R292" s="22">
        <v>25.941666666666666</v>
      </c>
      <c r="S292" s="23"/>
      <c r="T292" s="22"/>
      <c r="U292" s="22"/>
      <c r="V292" s="22"/>
      <c r="W292" s="22"/>
      <c r="X292" s="22"/>
      <c r="Y292" s="22"/>
      <c r="Z292" s="22"/>
      <c r="AA292" s="22"/>
      <c r="AB292" s="22"/>
      <c r="AC292" s="22"/>
      <c r="AD292" s="22"/>
      <c r="AE292" s="22"/>
      <c r="AF292" s="22"/>
      <c r="AG292" s="22"/>
      <c r="AH292" s="22"/>
      <c r="AI292" s="22"/>
      <c r="AJ292" s="22"/>
      <c r="AK292" s="22"/>
      <c r="AL292" s="22"/>
    </row>
    <row r="293">
      <c r="A293" s="13" t="s">
        <v>20</v>
      </c>
      <c r="B293" s="13" t="s">
        <v>20</v>
      </c>
      <c r="C293" s="26">
        <v>45565.0</v>
      </c>
      <c r="D293" s="13" t="s">
        <v>21</v>
      </c>
      <c r="E293" s="13">
        <v>2.2</v>
      </c>
      <c r="F293" s="13" t="s">
        <v>22</v>
      </c>
      <c r="G293" s="13">
        <v>3.0</v>
      </c>
      <c r="H293" s="13" t="s">
        <v>23</v>
      </c>
      <c r="I293" s="23">
        <v>16.336</v>
      </c>
      <c r="J293" s="23">
        <v>552.0021</v>
      </c>
      <c r="K293" s="23">
        <v>2.775</v>
      </c>
      <c r="L293" s="23">
        <v>0.031</v>
      </c>
      <c r="M293" s="22">
        <v>180.40166666666664</v>
      </c>
      <c r="N293" s="22">
        <v>25.157333333333337</v>
      </c>
      <c r="O293" s="22">
        <v>152.63433333333333</v>
      </c>
      <c r="P293" s="22">
        <v>26.490333333333336</v>
      </c>
      <c r="Q293" s="22">
        <v>100.70866666666667</v>
      </c>
      <c r="R293" s="22">
        <v>28.456333333333333</v>
      </c>
      <c r="S293" s="23"/>
      <c r="T293" s="22"/>
      <c r="U293" s="22"/>
      <c r="V293" s="22"/>
      <c r="W293" s="22"/>
      <c r="X293" s="22"/>
      <c r="Y293" s="22"/>
      <c r="Z293" s="22"/>
      <c r="AA293" s="22"/>
      <c r="AB293" s="22"/>
      <c r="AC293" s="22"/>
      <c r="AD293" s="22"/>
      <c r="AE293" s="22"/>
      <c r="AF293" s="22"/>
      <c r="AG293" s="22"/>
      <c r="AH293" s="22"/>
      <c r="AI293" s="22"/>
      <c r="AJ293" s="22"/>
      <c r="AK293" s="22"/>
      <c r="AL293" s="22"/>
    </row>
    <row r="294">
      <c r="A294" s="13" t="s">
        <v>20</v>
      </c>
      <c r="B294" s="13" t="s">
        <v>20</v>
      </c>
      <c r="C294" s="26">
        <v>45565.0</v>
      </c>
      <c r="D294" s="13" t="s">
        <v>21</v>
      </c>
      <c r="E294" s="13">
        <v>2.3</v>
      </c>
      <c r="F294" s="13" t="s">
        <v>22</v>
      </c>
      <c r="G294" s="13">
        <v>3.0</v>
      </c>
      <c r="H294" s="13" t="s">
        <v>23</v>
      </c>
      <c r="I294" s="23">
        <v>17.7835</v>
      </c>
      <c r="J294" s="23">
        <v>609.0166</v>
      </c>
      <c r="K294" s="23">
        <v>2.347</v>
      </c>
      <c r="L294" s="23">
        <v>0.027</v>
      </c>
      <c r="M294" s="22">
        <v>145.992</v>
      </c>
      <c r="N294" s="22">
        <v>38.00466666666667</v>
      </c>
      <c r="O294" s="22">
        <v>91.23033333333335</v>
      </c>
      <c r="P294" s="22">
        <v>37.573</v>
      </c>
      <c r="Q294" s="22">
        <v>68.22433333333333</v>
      </c>
      <c r="R294" s="22">
        <v>30.164</v>
      </c>
      <c r="S294" s="23"/>
      <c r="T294" s="22"/>
      <c r="U294" s="22"/>
      <c r="V294" s="22"/>
      <c r="W294" s="22"/>
      <c r="X294" s="22"/>
      <c r="Y294" s="22"/>
      <c r="Z294" s="22"/>
      <c r="AA294" s="22"/>
      <c r="AB294" s="22"/>
      <c r="AC294" s="22"/>
      <c r="AD294" s="22"/>
      <c r="AE294" s="22"/>
      <c r="AF294" s="22"/>
      <c r="AG294" s="22"/>
      <c r="AH294" s="22"/>
      <c r="AI294" s="22"/>
      <c r="AJ294" s="22"/>
      <c r="AK294" s="22"/>
      <c r="AL294" s="22"/>
    </row>
    <row r="295">
      <c r="A295" s="13" t="s">
        <v>20</v>
      </c>
      <c r="B295" s="13" t="s">
        <v>20</v>
      </c>
      <c r="C295" s="26">
        <v>45565.0</v>
      </c>
      <c r="D295" s="13" t="s">
        <v>21</v>
      </c>
      <c r="E295" s="13">
        <v>2.4</v>
      </c>
      <c r="F295" s="13" t="s">
        <v>22</v>
      </c>
      <c r="G295" s="13">
        <v>3.0</v>
      </c>
      <c r="H295" s="13" t="s">
        <v>23</v>
      </c>
      <c r="I295" s="23">
        <v>17.2687</v>
      </c>
      <c r="J295" s="23">
        <v>442.8065</v>
      </c>
      <c r="K295" s="23">
        <v>2.086</v>
      </c>
      <c r="L295" s="23">
        <v>0.056</v>
      </c>
      <c r="M295" s="22">
        <v>163.77966666666666</v>
      </c>
      <c r="N295" s="22">
        <v>26.482</v>
      </c>
      <c r="O295" s="22">
        <v>139.71766666666667</v>
      </c>
      <c r="P295" s="22">
        <v>28.476333333333333</v>
      </c>
      <c r="Q295" s="22">
        <v>99.67633333333333</v>
      </c>
      <c r="R295" s="22">
        <v>30.451333333333334</v>
      </c>
      <c r="S295" s="23"/>
      <c r="T295" s="22"/>
      <c r="U295" s="22"/>
      <c r="V295" s="22"/>
      <c r="W295" s="22"/>
      <c r="X295" s="22"/>
      <c r="Y295" s="22"/>
      <c r="Z295" s="22"/>
      <c r="AA295" s="22"/>
      <c r="AB295" s="22"/>
      <c r="AC295" s="22"/>
      <c r="AD295" s="22"/>
      <c r="AE295" s="22"/>
      <c r="AF295" s="22"/>
      <c r="AG295" s="22"/>
      <c r="AH295" s="22"/>
      <c r="AI295" s="22"/>
      <c r="AJ295" s="22"/>
      <c r="AK295" s="22"/>
      <c r="AL295" s="22"/>
    </row>
    <row r="296">
      <c r="A296" s="13" t="s">
        <v>20</v>
      </c>
      <c r="B296" s="13" t="s">
        <v>20</v>
      </c>
      <c r="C296" s="26">
        <v>45565.0</v>
      </c>
      <c r="D296" s="13" t="s">
        <v>21</v>
      </c>
      <c r="E296" s="13">
        <v>3.1</v>
      </c>
      <c r="F296" s="13" t="s">
        <v>22</v>
      </c>
      <c r="G296" s="13">
        <v>3.0</v>
      </c>
      <c r="H296" s="13" t="s">
        <v>23</v>
      </c>
      <c r="I296" s="23">
        <v>21.5947</v>
      </c>
      <c r="J296" s="23">
        <v>546.0211</v>
      </c>
      <c r="K296" s="23">
        <v>3.246</v>
      </c>
      <c r="L296" s="23">
        <v>0.109</v>
      </c>
      <c r="M296" s="22">
        <v>139.50366666666665</v>
      </c>
      <c r="N296" s="22">
        <v>28.97266666666667</v>
      </c>
      <c r="O296" s="22">
        <v>120.18233333333332</v>
      </c>
      <c r="P296" s="22">
        <v>27.453999999999997</v>
      </c>
      <c r="Q296" s="22">
        <v>57.11166666666667</v>
      </c>
      <c r="R296" s="22">
        <v>24.830666666666662</v>
      </c>
      <c r="S296" s="23"/>
      <c r="T296" s="22"/>
      <c r="U296" s="22"/>
      <c r="V296" s="22"/>
      <c r="W296" s="22"/>
      <c r="X296" s="22"/>
      <c r="Y296" s="22"/>
      <c r="Z296" s="22"/>
      <c r="AA296" s="22"/>
      <c r="AB296" s="22"/>
      <c r="AC296" s="22"/>
      <c r="AD296" s="22"/>
      <c r="AE296" s="22"/>
      <c r="AF296" s="22"/>
      <c r="AG296" s="22"/>
      <c r="AH296" s="22"/>
      <c r="AI296" s="22"/>
      <c r="AJ296" s="22"/>
      <c r="AK296" s="22"/>
      <c r="AL296" s="22"/>
    </row>
    <row r="297">
      <c r="A297" s="13" t="s">
        <v>20</v>
      </c>
      <c r="B297" s="13" t="s">
        <v>20</v>
      </c>
      <c r="C297" s="26">
        <v>45565.0</v>
      </c>
      <c r="D297" s="13" t="s">
        <v>21</v>
      </c>
      <c r="E297" s="13">
        <v>3.2</v>
      </c>
      <c r="F297" s="13" t="s">
        <v>22</v>
      </c>
      <c r="G297" s="13">
        <v>3.0</v>
      </c>
      <c r="H297" s="13" t="s">
        <v>23</v>
      </c>
      <c r="I297" s="23">
        <v>14.1441</v>
      </c>
      <c r="J297" s="23">
        <v>553.2117</v>
      </c>
      <c r="K297" s="23">
        <v>3.502</v>
      </c>
      <c r="L297" s="23">
        <v>0.039</v>
      </c>
      <c r="M297" s="22">
        <v>131.81233333333333</v>
      </c>
      <c r="N297" s="22">
        <v>30.243</v>
      </c>
      <c r="O297" s="22">
        <v>112.08933333333333</v>
      </c>
      <c r="P297" s="22">
        <v>29.617666666666665</v>
      </c>
      <c r="Q297" s="22">
        <v>54.92466666666667</v>
      </c>
      <c r="R297" s="22">
        <v>26.672666666666668</v>
      </c>
      <c r="S297" s="23"/>
      <c r="T297" s="22"/>
      <c r="U297" s="22"/>
      <c r="V297" s="22"/>
      <c r="W297" s="22"/>
      <c r="X297" s="22"/>
      <c r="Y297" s="22"/>
      <c r="Z297" s="22"/>
      <c r="AA297" s="22"/>
      <c r="AB297" s="22"/>
      <c r="AC297" s="22"/>
      <c r="AD297" s="22"/>
      <c r="AE297" s="22"/>
      <c r="AF297" s="22"/>
      <c r="AG297" s="22"/>
      <c r="AH297" s="22"/>
      <c r="AI297" s="22"/>
      <c r="AJ297" s="22"/>
      <c r="AK297" s="22"/>
      <c r="AL297" s="22"/>
    </row>
    <row r="298">
      <c r="A298" s="13" t="s">
        <v>20</v>
      </c>
      <c r="B298" s="13" t="s">
        <v>20</v>
      </c>
      <c r="C298" s="26">
        <v>45565.0</v>
      </c>
      <c r="D298" s="13" t="s">
        <v>21</v>
      </c>
      <c r="E298" s="13">
        <v>3.3</v>
      </c>
      <c r="F298" s="13" t="s">
        <v>22</v>
      </c>
      <c r="G298" s="13">
        <v>3.0</v>
      </c>
      <c r="H298" s="13" t="s">
        <v>23</v>
      </c>
      <c r="I298" s="23">
        <v>16.8852</v>
      </c>
      <c r="J298" s="23">
        <v>583.2049</v>
      </c>
      <c r="K298" s="23">
        <v>2.811</v>
      </c>
      <c r="L298" s="23">
        <v>0.026</v>
      </c>
      <c r="M298" s="22">
        <v>120.62533333333333</v>
      </c>
      <c r="N298" s="22">
        <v>35.882</v>
      </c>
      <c r="O298" s="22">
        <v>100.68900000000001</v>
      </c>
      <c r="P298" s="22">
        <v>34.75966666666667</v>
      </c>
      <c r="Q298" s="22">
        <v>48.63466666666667</v>
      </c>
      <c r="R298" s="22">
        <v>27.887333333333334</v>
      </c>
      <c r="S298" s="23"/>
      <c r="T298" s="22"/>
      <c r="U298" s="22"/>
      <c r="V298" s="22"/>
      <c r="W298" s="22"/>
      <c r="X298" s="22"/>
      <c r="Y298" s="22"/>
      <c r="Z298" s="22"/>
      <c r="AA298" s="22"/>
      <c r="AB298" s="22"/>
      <c r="AC298" s="22"/>
      <c r="AD298" s="22"/>
      <c r="AE298" s="22"/>
      <c r="AF298" s="22"/>
      <c r="AG298" s="22"/>
      <c r="AH298" s="22"/>
      <c r="AI298" s="22"/>
      <c r="AJ298" s="22"/>
      <c r="AK298" s="22"/>
      <c r="AL298" s="22"/>
    </row>
    <row r="299">
      <c r="A299" s="13" t="s">
        <v>20</v>
      </c>
      <c r="B299" s="13" t="s">
        <v>20</v>
      </c>
      <c r="C299" s="26">
        <v>45565.0</v>
      </c>
      <c r="D299" s="13" t="s">
        <v>21</v>
      </c>
      <c r="E299" s="13">
        <v>3.4</v>
      </c>
      <c r="F299" s="13" t="s">
        <v>22</v>
      </c>
      <c r="G299" s="13">
        <v>3.0</v>
      </c>
      <c r="H299" s="13" t="s">
        <v>23</v>
      </c>
      <c r="I299" s="23">
        <v>17.6857</v>
      </c>
      <c r="J299" s="23">
        <v>470.475</v>
      </c>
      <c r="K299" s="23">
        <v>3.098</v>
      </c>
      <c r="L299" s="23">
        <v>0.054</v>
      </c>
      <c r="M299" s="22">
        <v>180.167</v>
      </c>
      <c r="N299" s="22">
        <v>23.891333333333336</v>
      </c>
      <c r="O299" s="22">
        <v>166.407</v>
      </c>
      <c r="P299" s="22">
        <v>24.492333333333335</v>
      </c>
      <c r="Q299" s="22">
        <v>122.65366666666667</v>
      </c>
      <c r="R299" s="22">
        <v>30.104666666666663</v>
      </c>
      <c r="S299" s="23"/>
      <c r="T299" s="22"/>
      <c r="U299" s="22"/>
      <c r="V299" s="22"/>
      <c r="W299" s="22"/>
      <c r="X299" s="22"/>
      <c r="Y299" s="22"/>
      <c r="Z299" s="22"/>
      <c r="AA299" s="22"/>
      <c r="AB299" s="22"/>
      <c r="AC299" s="22"/>
      <c r="AD299" s="22"/>
      <c r="AE299" s="22"/>
      <c r="AF299" s="22"/>
      <c r="AG299" s="22"/>
      <c r="AH299" s="22"/>
      <c r="AI299" s="22"/>
      <c r="AJ299" s="22"/>
      <c r="AK299" s="22"/>
      <c r="AL299" s="22"/>
    </row>
    <row r="300">
      <c r="A300" s="13" t="s">
        <v>20</v>
      </c>
      <c r="B300" s="13" t="s">
        <v>20</v>
      </c>
      <c r="C300" s="26">
        <v>45565.0</v>
      </c>
      <c r="D300" s="13" t="s">
        <v>24</v>
      </c>
      <c r="E300" s="13">
        <v>1.1</v>
      </c>
      <c r="F300" s="13" t="s">
        <v>22</v>
      </c>
      <c r="G300" s="13">
        <v>3.0</v>
      </c>
      <c r="H300" s="13" t="s">
        <v>23</v>
      </c>
      <c r="I300" s="23">
        <v>19.8905</v>
      </c>
      <c r="J300" s="23">
        <v>494.4015</v>
      </c>
      <c r="K300" s="23">
        <v>6.781</v>
      </c>
      <c r="L300" s="23">
        <v>0.053</v>
      </c>
      <c r="M300" s="22">
        <v>153.80366666666666</v>
      </c>
      <c r="N300" s="22">
        <v>19.362</v>
      </c>
      <c r="O300" s="22">
        <v>121.45233333333334</v>
      </c>
      <c r="P300" s="22">
        <v>17.512333333333334</v>
      </c>
      <c r="Q300" s="22">
        <v>60.105</v>
      </c>
      <c r="R300" s="22">
        <v>16.16</v>
      </c>
      <c r="S300" s="23"/>
      <c r="T300" s="22"/>
      <c r="U300" s="22"/>
      <c r="V300" s="22"/>
      <c r="W300" s="22"/>
      <c r="X300" s="22"/>
      <c r="Y300" s="22"/>
      <c r="Z300" s="22"/>
      <c r="AA300" s="22"/>
      <c r="AB300" s="22"/>
      <c r="AC300" s="22"/>
      <c r="AD300" s="22"/>
      <c r="AE300" s="22"/>
      <c r="AF300" s="22"/>
      <c r="AG300" s="22"/>
      <c r="AH300" s="22"/>
      <c r="AI300" s="22"/>
      <c r="AJ300" s="22"/>
      <c r="AK300" s="22"/>
      <c r="AL300" s="22"/>
    </row>
    <row r="301">
      <c r="A301" s="13" t="s">
        <v>20</v>
      </c>
      <c r="B301" s="13" t="s">
        <v>20</v>
      </c>
      <c r="C301" s="26">
        <v>45565.0</v>
      </c>
      <c r="D301" s="13" t="s">
        <v>24</v>
      </c>
      <c r="E301" s="13">
        <v>1.2</v>
      </c>
      <c r="F301" s="13" t="s">
        <v>22</v>
      </c>
      <c r="G301" s="13">
        <v>3.0</v>
      </c>
      <c r="H301" s="13" t="s">
        <v>23</v>
      </c>
      <c r="I301" s="23">
        <v>18.8646</v>
      </c>
      <c r="J301" s="23">
        <v>578.405</v>
      </c>
      <c r="K301" s="23">
        <v>5.739</v>
      </c>
      <c r="L301" s="23">
        <v>0.122</v>
      </c>
      <c r="M301" s="22">
        <v>162.12366666666665</v>
      </c>
      <c r="N301" s="22">
        <v>17.861666666666668</v>
      </c>
      <c r="O301" s="22">
        <v>129.665</v>
      </c>
      <c r="P301" s="22">
        <v>15.654666666666666</v>
      </c>
      <c r="Q301" s="22">
        <v>60.18033333333333</v>
      </c>
      <c r="R301" s="22">
        <v>17.479000000000003</v>
      </c>
      <c r="S301" s="23"/>
      <c r="T301" s="22"/>
      <c r="U301" s="22"/>
      <c r="V301" s="22"/>
      <c r="W301" s="22"/>
      <c r="X301" s="22"/>
      <c r="Y301" s="22"/>
      <c r="Z301" s="22"/>
      <c r="AA301" s="22"/>
      <c r="AB301" s="22"/>
      <c r="AC301" s="22"/>
      <c r="AD301" s="22"/>
      <c r="AE301" s="22"/>
      <c r="AF301" s="22"/>
      <c r="AG301" s="22"/>
      <c r="AH301" s="22"/>
      <c r="AI301" s="22"/>
      <c r="AJ301" s="22"/>
      <c r="AK301" s="22"/>
      <c r="AL301" s="22"/>
    </row>
    <row r="302">
      <c r="A302" s="13" t="s">
        <v>20</v>
      </c>
      <c r="B302" s="13" t="s">
        <v>20</v>
      </c>
      <c r="C302" s="26">
        <v>45565.0</v>
      </c>
      <c r="D302" s="13" t="s">
        <v>24</v>
      </c>
      <c r="E302" s="13">
        <v>1.3</v>
      </c>
      <c r="F302" s="13" t="s">
        <v>22</v>
      </c>
      <c r="G302" s="13">
        <v>3.0</v>
      </c>
      <c r="H302" s="13" t="s">
        <v>23</v>
      </c>
      <c r="I302" s="23">
        <v>15.5944</v>
      </c>
      <c r="J302" s="23">
        <v>571.2454</v>
      </c>
      <c r="K302" s="23">
        <v>5.09</v>
      </c>
      <c r="L302" s="23">
        <v>0.098</v>
      </c>
      <c r="M302" s="22">
        <v>150.61666666666667</v>
      </c>
      <c r="N302" s="22">
        <v>25.32466666666667</v>
      </c>
      <c r="O302" s="22">
        <v>118.019</v>
      </c>
      <c r="P302" s="22">
        <v>24.580333333333332</v>
      </c>
      <c r="Q302" s="22">
        <v>58.113</v>
      </c>
      <c r="R302" s="22">
        <v>22.448999999999998</v>
      </c>
      <c r="S302" s="23"/>
      <c r="T302" s="22"/>
      <c r="U302" s="22"/>
      <c r="V302" s="22"/>
      <c r="W302" s="22"/>
      <c r="X302" s="22"/>
      <c r="Y302" s="22"/>
      <c r="Z302" s="22"/>
      <c r="AA302" s="22"/>
      <c r="AB302" s="22"/>
      <c r="AC302" s="22"/>
      <c r="AD302" s="22"/>
      <c r="AE302" s="22"/>
      <c r="AF302" s="22"/>
      <c r="AG302" s="22"/>
      <c r="AH302" s="22"/>
      <c r="AI302" s="22"/>
      <c r="AJ302" s="22"/>
      <c r="AK302" s="22"/>
      <c r="AL302" s="22"/>
    </row>
    <row r="303">
      <c r="A303" s="13" t="s">
        <v>20</v>
      </c>
      <c r="B303" s="13" t="s">
        <v>20</v>
      </c>
      <c r="C303" s="26">
        <v>45565.0</v>
      </c>
      <c r="D303" s="13" t="s">
        <v>24</v>
      </c>
      <c r="E303" s="13">
        <v>1.4</v>
      </c>
      <c r="F303" s="13" t="s">
        <v>22</v>
      </c>
      <c r="G303" s="13">
        <v>3.0</v>
      </c>
      <c r="H303" s="13" t="s">
        <v>23</v>
      </c>
      <c r="I303" s="23">
        <v>16.9214</v>
      </c>
      <c r="J303" s="23">
        <v>462.0</v>
      </c>
      <c r="K303" s="23">
        <v>4.689</v>
      </c>
      <c r="L303" s="23">
        <v>0.053</v>
      </c>
      <c r="M303" s="22">
        <v>162.07633333333334</v>
      </c>
      <c r="N303" s="22">
        <v>16.177</v>
      </c>
      <c r="O303" s="22">
        <v>131.13966666666667</v>
      </c>
      <c r="P303" s="22">
        <v>15.945333333333332</v>
      </c>
      <c r="Q303" s="22">
        <v>78.327</v>
      </c>
      <c r="R303" s="22">
        <v>19.279</v>
      </c>
      <c r="S303" s="23"/>
      <c r="T303" s="22"/>
      <c r="U303" s="22"/>
      <c r="V303" s="22"/>
      <c r="W303" s="22"/>
      <c r="X303" s="22"/>
      <c r="Y303" s="22"/>
      <c r="Z303" s="22"/>
      <c r="AA303" s="22"/>
      <c r="AB303" s="22"/>
      <c r="AC303" s="22"/>
      <c r="AD303" s="22"/>
      <c r="AE303" s="22"/>
      <c r="AF303" s="22"/>
      <c r="AG303" s="22"/>
      <c r="AH303" s="22"/>
      <c r="AI303" s="22"/>
      <c r="AJ303" s="22"/>
      <c r="AK303" s="22"/>
      <c r="AL303" s="22"/>
    </row>
    <row r="304">
      <c r="A304" s="13" t="s">
        <v>20</v>
      </c>
      <c r="B304" s="13" t="s">
        <v>20</v>
      </c>
      <c r="C304" s="26">
        <v>45565.0</v>
      </c>
      <c r="D304" s="13" t="s">
        <v>24</v>
      </c>
      <c r="E304" s="13">
        <v>2.1</v>
      </c>
      <c r="F304" s="13" t="s">
        <v>22</v>
      </c>
      <c r="G304" s="13">
        <v>3.0</v>
      </c>
      <c r="H304" s="13" t="s">
        <v>23</v>
      </c>
      <c r="I304" s="23">
        <v>11.0005</v>
      </c>
      <c r="J304" s="23">
        <v>555.6324</v>
      </c>
      <c r="K304" s="23">
        <v>3.255</v>
      </c>
      <c r="L304" s="23">
        <v>0.044</v>
      </c>
      <c r="M304" s="22">
        <v>143.37733333333333</v>
      </c>
      <c r="N304" s="22">
        <v>19.221</v>
      </c>
      <c r="O304" s="22">
        <v>116.98433333333332</v>
      </c>
      <c r="P304" s="22">
        <v>17.246</v>
      </c>
      <c r="Q304" s="22">
        <v>56.025</v>
      </c>
      <c r="R304" s="22">
        <v>16.325333333333333</v>
      </c>
      <c r="S304" s="23"/>
      <c r="T304" s="22"/>
      <c r="U304" s="22"/>
      <c r="V304" s="22"/>
      <c r="W304" s="22"/>
      <c r="X304" s="22"/>
      <c r="Y304" s="22"/>
      <c r="Z304" s="22"/>
      <c r="AA304" s="22"/>
      <c r="AB304" s="22"/>
      <c r="AC304" s="22"/>
      <c r="AD304" s="22"/>
      <c r="AE304" s="22"/>
      <c r="AF304" s="22"/>
      <c r="AG304" s="22"/>
      <c r="AH304" s="22"/>
      <c r="AI304" s="22"/>
      <c r="AJ304" s="22"/>
      <c r="AK304" s="22"/>
      <c r="AL304" s="22"/>
    </row>
    <row r="305">
      <c r="A305" s="13" t="s">
        <v>20</v>
      </c>
      <c r="B305" s="13" t="s">
        <v>20</v>
      </c>
      <c r="C305" s="26">
        <v>45565.0</v>
      </c>
      <c r="D305" s="13" t="s">
        <v>24</v>
      </c>
      <c r="E305" s="13">
        <v>2.2</v>
      </c>
      <c r="F305" s="13" t="s">
        <v>22</v>
      </c>
      <c r="G305" s="13">
        <v>3.0</v>
      </c>
      <c r="H305" s="13" t="s">
        <v>23</v>
      </c>
      <c r="I305" s="23">
        <v>15.1467</v>
      </c>
      <c r="J305" s="23">
        <v>525.6342</v>
      </c>
      <c r="K305" s="23">
        <v>3.196</v>
      </c>
      <c r="L305" s="23">
        <v>0.005</v>
      </c>
      <c r="M305" s="22">
        <v>153.46833333333333</v>
      </c>
      <c r="N305" s="22">
        <v>21.27733333333333</v>
      </c>
      <c r="O305" s="22">
        <v>123.373</v>
      </c>
      <c r="P305" s="22">
        <v>22.009333333333334</v>
      </c>
      <c r="Q305" s="22">
        <v>51.96533333333333</v>
      </c>
      <c r="R305" s="22">
        <v>18.106</v>
      </c>
      <c r="S305" s="23"/>
      <c r="T305" s="22"/>
      <c r="U305" s="22"/>
      <c r="V305" s="22"/>
      <c r="W305" s="22"/>
      <c r="X305" s="22"/>
      <c r="Y305" s="22"/>
      <c r="Z305" s="22"/>
      <c r="AA305" s="22"/>
      <c r="AB305" s="22"/>
      <c r="AC305" s="22"/>
      <c r="AD305" s="22"/>
      <c r="AE305" s="22"/>
      <c r="AF305" s="22"/>
      <c r="AG305" s="22"/>
      <c r="AH305" s="22"/>
      <c r="AI305" s="22"/>
      <c r="AJ305" s="22"/>
      <c r="AK305" s="22"/>
      <c r="AL305" s="22"/>
    </row>
    <row r="306">
      <c r="A306" s="13" t="s">
        <v>20</v>
      </c>
      <c r="B306" s="13" t="s">
        <v>20</v>
      </c>
      <c r="C306" s="26">
        <v>45565.0</v>
      </c>
      <c r="D306" s="13" t="s">
        <v>24</v>
      </c>
      <c r="E306" s="13">
        <v>2.3</v>
      </c>
      <c r="F306" s="13" t="s">
        <v>22</v>
      </c>
      <c r="G306" s="13">
        <v>3.0</v>
      </c>
      <c r="H306" s="13" t="s">
        <v>23</v>
      </c>
      <c r="I306" s="23">
        <v>15.67767</v>
      </c>
      <c r="J306" s="23">
        <v>579.6112</v>
      </c>
      <c r="K306" s="23">
        <v>3.26</v>
      </c>
      <c r="L306" s="23">
        <v>0.036</v>
      </c>
      <c r="M306" s="22">
        <v>144.93200000000002</v>
      </c>
      <c r="N306" s="22">
        <v>26.124</v>
      </c>
      <c r="O306" s="22">
        <v>112.825</v>
      </c>
      <c r="P306" s="22">
        <v>24.816999999999997</v>
      </c>
      <c r="Q306" s="22">
        <v>47.863</v>
      </c>
      <c r="R306" s="22">
        <v>18.970666666666666</v>
      </c>
      <c r="S306" s="23"/>
      <c r="T306" s="22"/>
      <c r="U306" s="22"/>
      <c r="V306" s="22"/>
      <c r="W306" s="22"/>
      <c r="X306" s="22"/>
      <c r="Y306" s="22"/>
      <c r="Z306" s="22"/>
      <c r="AA306" s="22"/>
      <c r="AB306" s="22"/>
      <c r="AC306" s="22"/>
      <c r="AD306" s="22"/>
      <c r="AE306" s="22"/>
      <c r="AF306" s="22"/>
      <c r="AG306" s="22"/>
      <c r="AH306" s="22"/>
      <c r="AI306" s="22"/>
      <c r="AJ306" s="22"/>
      <c r="AK306" s="22"/>
      <c r="AL306" s="22"/>
    </row>
    <row r="307">
      <c r="A307" s="24" t="s">
        <v>20</v>
      </c>
      <c r="B307" s="24" t="s">
        <v>20</v>
      </c>
      <c r="C307" s="26">
        <v>45565.0</v>
      </c>
      <c r="D307" s="24" t="s">
        <v>24</v>
      </c>
      <c r="E307" s="13">
        <v>2.4</v>
      </c>
      <c r="F307" s="24" t="s">
        <v>22</v>
      </c>
      <c r="G307" s="13">
        <v>3.0</v>
      </c>
      <c r="H307" s="24" t="s">
        <v>23</v>
      </c>
      <c r="I307" s="24">
        <v>14.8451</v>
      </c>
      <c r="J307" s="24">
        <v>523.2</v>
      </c>
      <c r="K307" s="24">
        <v>2.574</v>
      </c>
      <c r="L307" s="24">
        <v>0.07</v>
      </c>
      <c r="M307" s="21">
        <v>153.80366666666666</v>
      </c>
      <c r="N307" s="21">
        <v>19.362</v>
      </c>
      <c r="O307" s="21">
        <v>121.45233333333334</v>
      </c>
      <c r="P307" s="21">
        <v>17.512333333333334</v>
      </c>
      <c r="Q307" s="21">
        <v>60.105</v>
      </c>
      <c r="R307" s="21">
        <v>16.16</v>
      </c>
      <c r="S307" s="22"/>
      <c r="T307" s="22"/>
      <c r="U307" s="22"/>
      <c r="V307" s="22"/>
      <c r="W307" s="22"/>
      <c r="X307" s="22"/>
      <c r="Y307" s="22"/>
      <c r="Z307" s="22"/>
      <c r="AA307" s="22"/>
      <c r="AB307" s="22"/>
      <c r="AC307" s="22"/>
      <c r="AD307" s="22"/>
      <c r="AE307" s="22"/>
      <c r="AF307" s="22"/>
      <c r="AG307" s="22"/>
      <c r="AH307" s="22"/>
      <c r="AI307" s="22"/>
      <c r="AJ307" s="22"/>
      <c r="AK307" s="22"/>
      <c r="AL307" s="22"/>
    </row>
    <row r="308">
      <c r="A308" s="13" t="s">
        <v>20</v>
      </c>
      <c r="B308" s="13" t="s">
        <v>20</v>
      </c>
      <c r="C308" s="26">
        <v>45565.0</v>
      </c>
      <c r="D308" s="13" t="s">
        <v>24</v>
      </c>
      <c r="E308" s="13">
        <v>3.1</v>
      </c>
      <c r="F308" s="13" t="s">
        <v>22</v>
      </c>
      <c r="G308" s="13">
        <v>3.0</v>
      </c>
      <c r="H308" s="13" t="s">
        <v>23</v>
      </c>
      <c r="I308" s="23">
        <v>16.2969</v>
      </c>
      <c r="J308" s="23">
        <v>532.8216</v>
      </c>
      <c r="K308" s="23">
        <v>4.694</v>
      </c>
      <c r="L308" s="23">
        <v>0.031</v>
      </c>
      <c r="M308" s="22">
        <v>177.2973333333333</v>
      </c>
      <c r="N308" s="22">
        <v>21.17866666666667</v>
      </c>
      <c r="O308" s="22">
        <v>141.6783333333333</v>
      </c>
      <c r="P308" s="22">
        <v>21.717000000000002</v>
      </c>
      <c r="Q308" s="22">
        <v>68.77399999999999</v>
      </c>
      <c r="R308" s="22">
        <v>21.93733333333333</v>
      </c>
      <c r="S308" s="22"/>
      <c r="T308" s="22"/>
      <c r="U308" s="22"/>
      <c r="V308" s="22"/>
      <c r="W308" s="22"/>
      <c r="X308" s="22"/>
      <c r="Y308" s="22"/>
      <c r="Z308" s="22"/>
      <c r="AA308" s="22"/>
      <c r="AB308" s="22"/>
      <c r="AC308" s="22"/>
      <c r="AD308" s="22"/>
      <c r="AE308" s="22"/>
      <c r="AF308" s="22"/>
      <c r="AG308" s="22"/>
      <c r="AH308" s="22"/>
      <c r="AI308" s="22"/>
      <c r="AJ308" s="22"/>
      <c r="AK308" s="22"/>
      <c r="AL308" s="22"/>
    </row>
    <row r="309">
      <c r="A309" s="13" t="s">
        <v>20</v>
      </c>
      <c r="B309" s="13" t="s">
        <v>20</v>
      </c>
      <c r="C309" s="26">
        <v>45565.0</v>
      </c>
      <c r="D309" s="13" t="s">
        <v>24</v>
      </c>
      <c r="E309" s="13">
        <v>3.2</v>
      </c>
      <c r="F309" s="13" t="s">
        <v>22</v>
      </c>
      <c r="G309" s="13">
        <v>3.0</v>
      </c>
      <c r="H309" s="13" t="s">
        <v>23</v>
      </c>
      <c r="I309" s="23">
        <v>14.1858</v>
      </c>
      <c r="J309" s="23">
        <v>553.2325</v>
      </c>
      <c r="K309" s="23">
        <v>4.834</v>
      </c>
      <c r="L309" s="23">
        <v>0.009</v>
      </c>
      <c r="M309" s="22">
        <v>161.25</v>
      </c>
      <c r="N309" s="22">
        <v>28.126</v>
      </c>
      <c r="O309" s="22">
        <v>127.04466666666667</v>
      </c>
      <c r="P309" s="22">
        <v>27.182</v>
      </c>
      <c r="Q309" s="22">
        <v>61.904666666666664</v>
      </c>
      <c r="R309" s="22">
        <v>22.363</v>
      </c>
      <c r="S309" s="22"/>
      <c r="T309" s="22"/>
      <c r="U309" s="22"/>
      <c r="V309" s="22"/>
      <c r="W309" s="22"/>
      <c r="X309" s="22"/>
      <c r="Y309" s="22"/>
      <c r="Z309" s="22"/>
      <c r="AA309" s="22"/>
      <c r="AB309" s="22"/>
      <c r="AC309" s="22"/>
      <c r="AD309" s="22"/>
      <c r="AE309" s="22"/>
      <c r="AF309" s="22"/>
      <c r="AG309" s="22"/>
      <c r="AH309" s="22"/>
      <c r="AI309" s="22"/>
      <c r="AJ309" s="22"/>
      <c r="AK309" s="22"/>
      <c r="AL309" s="22"/>
    </row>
    <row r="310">
      <c r="A310" s="13" t="s">
        <v>20</v>
      </c>
      <c r="B310" s="13" t="s">
        <v>20</v>
      </c>
      <c r="C310" s="26">
        <v>45565.0</v>
      </c>
      <c r="D310" s="13" t="s">
        <v>24</v>
      </c>
      <c r="E310" s="13">
        <v>3.3</v>
      </c>
      <c r="F310" s="13" t="s">
        <v>22</v>
      </c>
      <c r="G310" s="13">
        <v>3.0</v>
      </c>
      <c r="H310" s="13" t="s">
        <v>23</v>
      </c>
      <c r="I310" s="23">
        <v>15.7342</v>
      </c>
      <c r="J310" s="23">
        <v>577.205</v>
      </c>
      <c r="K310" s="23">
        <v>5.016</v>
      </c>
      <c r="L310" s="23">
        <v>0.033</v>
      </c>
      <c r="M310" s="22">
        <v>159.15599999999998</v>
      </c>
      <c r="N310" s="22">
        <v>27.433666666666664</v>
      </c>
      <c r="O310" s="22">
        <v>124.11800000000001</v>
      </c>
      <c r="P310" s="22">
        <v>26.532333333333337</v>
      </c>
      <c r="Q310" s="22">
        <v>60.20233333333332</v>
      </c>
      <c r="R310" s="22">
        <v>22.33566666666667</v>
      </c>
      <c r="S310" s="22"/>
      <c r="T310" s="22"/>
      <c r="U310" s="22"/>
      <c r="V310" s="22"/>
      <c r="W310" s="22"/>
      <c r="X310" s="22"/>
      <c r="Y310" s="22"/>
      <c r="Z310" s="22"/>
      <c r="AA310" s="22"/>
      <c r="AB310" s="22"/>
      <c r="AC310" s="22"/>
      <c r="AD310" s="22"/>
      <c r="AE310" s="22"/>
      <c r="AF310" s="22"/>
      <c r="AG310" s="22"/>
      <c r="AH310" s="22"/>
      <c r="AI310" s="22"/>
      <c r="AJ310" s="22"/>
      <c r="AK310" s="22"/>
      <c r="AL310" s="22"/>
    </row>
    <row r="311">
      <c r="A311" s="13" t="s">
        <v>20</v>
      </c>
      <c r="B311" s="13" t="s">
        <v>20</v>
      </c>
      <c r="C311" s="26">
        <v>45565.0</v>
      </c>
      <c r="D311" s="13" t="s">
        <v>24</v>
      </c>
      <c r="E311" s="13">
        <v>3.4</v>
      </c>
      <c r="F311" s="13" t="s">
        <v>22</v>
      </c>
      <c r="G311" s="13">
        <v>3.0</v>
      </c>
      <c r="H311" s="13" t="s">
        <v>23</v>
      </c>
      <c r="I311" s="23">
        <v>21.8445</v>
      </c>
      <c r="J311" s="23">
        <v>469.2061</v>
      </c>
      <c r="K311" s="23">
        <v>6.33</v>
      </c>
      <c r="L311" s="23">
        <v>0.058</v>
      </c>
      <c r="M311" s="22">
        <v>177.323</v>
      </c>
      <c r="N311" s="22">
        <v>24.109666666666666</v>
      </c>
      <c r="O311" s="22">
        <v>145.03766666666664</v>
      </c>
      <c r="P311" s="22">
        <v>24.987</v>
      </c>
      <c r="Q311" s="22">
        <v>95.02066666666667</v>
      </c>
      <c r="R311" s="22">
        <v>25.184</v>
      </c>
      <c r="S311" s="22"/>
      <c r="T311" s="22"/>
      <c r="U311" s="22"/>
      <c r="V311" s="22"/>
      <c r="W311" s="22"/>
      <c r="X311" s="22"/>
      <c r="Y311" s="22"/>
      <c r="Z311" s="22"/>
      <c r="AA311" s="22"/>
      <c r="AB311" s="22"/>
      <c r="AC311" s="22"/>
      <c r="AD311" s="22"/>
      <c r="AE311" s="22"/>
      <c r="AF311" s="22"/>
      <c r="AG311" s="22"/>
      <c r="AH311" s="22"/>
      <c r="AI311" s="22"/>
      <c r="AJ311" s="22"/>
      <c r="AK311" s="22"/>
      <c r="AL311" s="22"/>
    </row>
    <row r="312">
      <c r="A312" s="13" t="s">
        <v>20</v>
      </c>
      <c r="B312" s="13" t="s">
        <v>20</v>
      </c>
      <c r="C312" s="26">
        <v>45565.0</v>
      </c>
      <c r="D312" s="13" t="s">
        <v>25</v>
      </c>
      <c r="E312" s="13">
        <v>1.1</v>
      </c>
      <c r="F312" s="13" t="s">
        <v>22</v>
      </c>
      <c r="G312" s="13">
        <v>3.0</v>
      </c>
      <c r="H312" s="13" t="s">
        <v>23</v>
      </c>
      <c r="I312" s="23">
        <v>17.2765</v>
      </c>
      <c r="J312" s="23">
        <v>500.4058</v>
      </c>
      <c r="K312" s="23">
        <v>3.821</v>
      </c>
      <c r="L312" s="23">
        <v>0.062</v>
      </c>
      <c r="M312" s="22">
        <v>121.22733333333333</v>
      </c>
      <c r="N312" s="22">
        <v>22.52433333333333</v>
      </c>
      <c r="O312" s="22">
        <v>99.36500000000001</v>
      </c>
      <c r="P312" s="22">
        <v>23.861333333333334</v>
      </c>
      <c r="Q312" s="22">
        <v>39.84166666666667</v>
      </c>
      <c r="R312" s="22">
        <v>18.447666666666667</v>
      </c>
      <c r="S312" s="22"/>
      <c r="T312" s="22"/>
      <c r="U312" s="22"/>
      <c r="V312" s="22"/>
      <c r="W312" s="22"/>
      <c r="X312" s="22"/>
      <c r="Y312" s="22"/>
      <c r="Z312" s="22"/>
      <c r="AA312" s="22"/>
      <c r="AB312" s="22"/>
      <c r="AC312" s="22"/>
      <c r="AD312" s="22"/>
      <c r="AE312" s="22"/>
      <c r="AF312" s="22"/>
      <c r="AG312" s="22"/>
      <c r="AH312" s="22"/>
      <c r="AI312" s="22"/>
      <c r="AJ312" s="22"/>
      <c r="AK312" s="22"/>
      <c r="AL312" s="22"/>
    </row>
    <row r="313">
      <c r="A313" s="13" t="s">
        <v>20</v>
      </c>
      <c r="B313" s="13" t="s">
        <v>20</v>
      </c>
      <c r="C313" s="26">
        <v>45565.0</v>
      </c>
      <c r="D313" s="13" t="s">
        <v>25</v>
      </c>
      <c r="E313" s="13">
        <v>1.2</v>
      </c>
      <c r="F313" s="13" t="s">
        <v>22</v>
      </c>
      <c r="G313" s="13">
        <v>3.0</v>
      </c>
      <c r="H313" s="13" t="s">
        <v>23</v>
      </c>
      <c r="I313" s="23">
        <v>14.4984</v>
      </c>
      <c r="J313" s="23">
        <v>577.4108</v>
      </c>
      <c r="K313" s="23">
        <v>3.993</v>
      </c>
      <c r="L313" s="23">
        <v>0.064</v>
      </c>
      <c r="M313" s="22">
        <v>133.40099999999998</v>
      </c>
      <c r="N313" s="22">
        <v>27.58366666666667</v>
      </c>
      <c r="O313" s="22">
        <v>109.22566666666667</v>
      </c>
      <c r="P313" s="22">
        <v>28.302000000000003</v>
      </c>
      <c r="Q313" s="22">
        <v>53.589666666666666</v>
      </c>
      <c r="R313" s="22">
        <v>24.484333333333336</v>
      </c>
      <c r="S313" s="22"/>
      <c r="T313" s="22"/>
      <c r="U313" s="22"/>
      <c r="V313" s="22"/>
      <c r="W313" s="22"/>
      <c r="X313" s="22"/>
      <c r="Y313" s="22"/>
      <c r="Z313" s="22"/>
      <c r="AA313" s="22"/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</row>
    <row r="314">
      <c r="A314" s="13" t="s">
        <v>20</v>
      </c>
      <c r="B314" s="13" t="s">
        <v>20</v>
      </c>
      <c r="C314" s="26">
        <v>45565.0</v>
      </c>
      <c r="D314" s="13" t="s">
        <v>25</v>
      </c>
      <c r="E314" s="13">
        <v>1.3</v>
      </c>
      <c r="F314" s="13" t="s">
        <v>22</v>
      </c>
      <c r="G314" s="13">
        <v>3.0</v>
      </c>
      <c r="H314" s="13" t="s">
        <v>23</v>
      </c>
      <c r="I314" s="23">
        <v>16.4008</v>
      </c>
      <c r="J314" s="23">
        <v>523.2014</v>
      </c>
      <c r="K314" s="23">
        <v>3.429</v>
      </c>
      <c r="L314" s="23">
        <v>0.1</v>
      </c>
      <c r="M314" s="22">
        <v>133.42</v>
      </c>
      <c r="N314" s="22">
        <v>28.270666666666667</v>
      </c>
      <c r="O314" s="22">
        <v>107.57333333333334</v>
      </c>
      <c r="P314" s="22">
        <v>29.875</v>
      </c>
      <c r="Q314" s="22">
        <v>49.863</v>
      </c>
      <c r="R314" s="22">
        <v>24.447000000000003</v>
      </c>
      <c r="S314" s="22"/>
      <c r="T314" s="22"/>
      <c r="U314" s="22"/>
      <c r="V314" s="22"/>
      <c r="W314" s="22"/>
      <c r="X314" s="22"/>
      <c r="Y314" s="22"/>
      <c r="Z314" s="22"/>
      <c r="AA314" s="22"/>
      <c r="AB314" s="22"/>
      <c r="AC314" s="22"/>
      <c r="AD314" s="22"/>
      <c r="AE314" s="22"/>
      <c r="AF314" s="22"/>
      <c r="AG314" s="22"/>
      <c r="AH314" s="22"/>
      <c r="AI314" s="22"/>
      <c r="AJ314" s="22"/>
      <c r="AK314" s="22"/>
      <c r="AL314" s="22"/>
    </row>
    <row r="315">
      <c r="A315" s="13" t="s">
        <v>20</v>
      </c>
      <c r="B315" s="13" t="s">
        <v>20</v>
      </c>
      <c r="C315" s="26">
        <v>45565.0</v>
      </c>
      <c r="D315" s="13" t="s">
        <v>25</v>
      </c>
      <c r="E315" s="13">
        <v>1.4</v>
      </c>
      <c r="F315" s="13" t="s">
        <v>22</v>
      </c>
      <c r="G315" s="13">
        <v>3.0</v>
      </c>
      <c r="H315" s="13" t="s">
        <v>23</v>
      </c>
      <c r="I315" s="23">
        <v>20.49</v>
      </c>
      <c r="J315" s="23">
        <v>523.2</v>
      </c>
      <c r="K315" s="23">
        <v>2.523</v>
      </c>
      <c r="L315" s="23">
        <v>0.045</v>
      </c>
      <c r="M315" s="22">
        <v>141.51266666666666</v>
      </c>
      <c r="N315" s="22">
        <v>24.069333333333333</v>
      </c>
      <c r="O315" s="22">
        <v>118.62033333333333</v>
      </c>
      <c r="P315" s="22">
        <v>21.221999999999998</v>
      </c>
      <c r="Q315" s="22">
        <v>66.66133333333333</v>
      </c>
      <c r="R315" s="22">
        <v>20.747</v>
      </c>
      <c r="S315" s="22"/>
      <c r="T315" s="22"/>
      <c r="U315" s="22"/>
      <c r="V315" s="22"/>
      <c r="W315" s="22"/>
      <c r="X315" s="22"/>
      <c r="Y315" s="22"/>
      <c r="Z315" s="22"/>
      <c r="AA315" s="22"/>
      <c r="AB315" s="22"/>
      <c r="AC315" s="22"/>
      <c r="AD315" s="22"/>
      <c r="AE315" s="22"/>
      <c r="AF315" s="22"/>
      <c r="AG315" s="22"/>
      <c r="AH315" s="22"/>
      <c r="AI315" s="22"/>
      <c r="AJ315" s="22"/>
      <c r="AK315" s="22"/>
      <c r="AL315" s="22"/>
    </row>
    <row r="316">
      <c r="A316" s="13" t="s">
        <v>20</v>
      </c>
      <c r="B316" s="13" t="s">
        <v>20</v>
      </c>
      <c r="C316" s="26">
        <v>45565.0</v>
      </c>
      <c r="D316" s="13" t="s">
        <v>25</v>
      </c>
      <c r="E316" s="13">
        <v>2.1</v>
      </c>
      <c r="F316" s="13" t="s">
        <v>22</v>
      </c>
      <c r="G316" s="13">
        <v>3.0</v>
      </c>
      <c r="H316" s="13" t="s">
        <v>23</v>
      </c>
      <c r="I316" s="23">
        <v>19.4535</v>
      </c>
      <c r="J316" s="23">
        <v>558.0323</v>
      </c>
      <c r="K316" s="23">
        <v>5.013</v>
      </c>
      <c r="L316" s="23">
        <v>0.052</v>
      </c>
      <c r="M316" s="22">
        <v>136.59033333333335</v>
      </c>
      <c r="N316" s="22">
        <v>24.953666666666667</v>
      </c>
      <c r="O316" s="22">
        <v>109.84966666666666</v>
      </c>
      <c r="P316" s="22">
        <v>26.249</v>
      </c>
      <c r="Q316" s="22">
        <v>52.900666666666666</v>
      </c>
      <c r="R316" s="22">
        <v>21.542666666666666</v>
      </c>
      <c r="S316" s="22"/>
      <c r="T316" s="22"/>
      <c r="U316" s="22"/>
      <c r="V316" s="22"/>
      <c r="W316" s="22"/>
      <c r="X316" s="22"/>
      <c r="Y316" s="22"/>
      <c r="Z316" s="22"/>
      <c r="AA316" s="22"/>
      <c r="AB316" s="22"/>
      <c r="AC316" s="22"/>
      <c r="AD316" s="22"/>
      <c r="AE316" s="22"/>
      <c r="AF316" s="22"/>
      <c r="AG316" s="22"/>
      <c r="AH316" s="22"/>
      <c r="AI316" s="22"/>
      <c r="AJ316" s="22"/>
      <c r="AK316" s="22"/>
      <c r="AL316" s="22"/>
    </row>
    <row r="317">
      <c r="A317" s="13" t="s">
        <v>20</v>
      </c>
      <c r="B317" s="13" t="s">
        <v>20</v>
      </c>
      <c r="C317" s="26">
        <v>45565.0</v>
      </c>
      <c r="D317" s="13" t="s">
        <v>25</v>
      </c>
      <c r="E317" s="13">
        <v>2.2</v>
      </c>
      <c r="F317" s="13" t="s">
        <v>22</v>
      </c>
      <c r="G317" s="13">
        <v>3.0</v>
      </c>
      <c r="H317" s="13" t="s">
        <v>23</v>
      </c>
      <c r="I317" s="23">
        <v>22.7414</v>
      </c>
      <c r="J317" s="23">
        <v>547.2329</v>
      </c>
      <c r="K317" s="23">
        <v>6.224</v>
      </c>
      <c r="L317" s="23">
        <v>0.025</v>
      </c>
      <c r="M317" s="22">
        <v>153.484</v>
      </c>
      <c r="N317" s="22">
        <v>30.006666666666664</v>
      </c>
      <c r="O317" s="22">
        <v>126.601</v>
      </c>
      <c r="P317" s="22">
        <v>32.58133333333333</v>
      </c>
      <c r="Q317" s="22">
        <v>65.04266666666666</v>
      </c>
      <c r="R317" s="22">
        <v>30.385666666666665</v>
      </c>
      <c r="S317" s="22"/>
      <c r="T317" s="22"/>
      <c r="U317" s="22"/>
      <c r="V317" s="22"/>
      <c r="W317" s="22"/>
      <c r="X317" s="22"/>
      <c r="Y317" s="22"/>
      <c r="Z317" s="22"/>
      <c r="AA317" s="22"/>
      <c r="AB317" s="22"/>
      <c r="AC317" s="22"/>
      <c r="AD317" s="22"/>
      <c r="AE317" s="22"/>
      <c r="AF317" s="22"/>
      <c r="AG317" s="22"/>
      <c r="AH317" s="22"/>
      <c r="AI317" s="22"/>
      <c r="AJ317" s="22"/>
      <c r="AK317" s="22"/>
      <c r="AL317" s="22"/>
    </row>
    <row r="318">
      <c r="A318" s="13" t="s">
        <v>20</v>
      </c>
      <c r="B318" s="13" t="s">
        <v>20</v>
      </c>
      <c r="C318" s="26">
        <v>45565.0</v>
      </c>
      <c r="D318" s="13" t="s">
        <v>25</v>
      </c>
      <c r="E318" s="13">
        <v>2.3</v>
      </c>
      <c r="F318" s="13" t="s">
        <v>22</v>
      </c>
      <c r="G318" s="13">
        <v>3.0</v>
      </c>
      <c r="H318" s="13" t="s">
        <v>23</v>
      </c>
      <c r="I318" s="23">
        <v>16.435</v>
      </c>
      <c r="J318" s="23">
        <v>571.205</v>
      </c>
      <c r="K318" s="23">
        <v>5.151</v>
      </c>
      <c r="L318" s="23">
        <v>0.066</v>
      </c>
      <c r="M318" s="22">
        <v>147.44766666666666</v>
      </c>
      <c r="N318" s="22">
        <v>24.145</v>
      </c>
      <c r="O318" s="22">
        <v>119.605</v>
      </c>
      <c r="P318" s="22">
        <v>26.22</v>
      </c>
      <c r="Q318" s="22">
        <v>54.935333333333325</v>
      </c>
      <c r="R318" s="22">
        <v>23.802666666666667</v>
      </c>
      <c r="S318" s="22"/>
      <c r="T318" s="22"/>
      <c r="U318" s="22"/>
      <c r="V318" s="22"/>
      <c r="W318" s="22"/>
      <c r="X318" s="22"/>
      <c r="Y318" s="22"/>
      <c r="Z318" s="22"/>
      <c r="AA318" s="22"/>
      <c r="AB318" s="22"/>
      <c r="AC318" s="22"/>
      <c r="AD318" s="22"/>
      <c r="AE318" s="22"/>
      <c r="AF318" s="22"/>
      <c r="AG318" s="22"/>
      <c r="AH318" s="22"/>
      <c r="AI318" s="22"/>
      <c r="AJ318" s="22"/>
      <c r="AK318" s="22"/>
      <c r="AL318" s="22"/>
    </row>
    <row r="319">
      <c r="A319" s="13" t="s">
        <v>20</v>
      </c>
      <c r="B319" s="13" t="s">
        <v>20</v>
      </c>
      <c r="C319" s="26">
        <v>45565.0</v>
      </c>
      <c r="D319" s="13" t="s">
        <v>25</v>
      </c>
      <c r="E319" s="13">
        <v>2.4</v>
      </c>
      <c r="F319" s="13" t="s">
        <v>22</v>
      </c>
      <c r="G319" s="13">
        <v>3.0</v>
      </c>
      <c r="H319" s="13" t="s">
        <v>23</v>
      </c>
      <c r="I319" s="23">
        <v>18.4861</v>
      </c>
      <c r="J319" s="23">
        <v>494.4015</v>
      </c>
      <c r="K319" s="23">
        <v>4.584</v>
      </c>
      <c r="L319" s="23">
        <v>0.018</v>
      </c>
      <c r="M319" s="22">
        <v>136.37166666666667</v>
      </c>
      <c r="N319" s="22">
        <v>27.864333333333335</v>
      </c>
      <c r="O319" s="22">
        <v>116.14566666666667</v>
      </c>
      <c r="P319" s="22">
        <v>29.459</v>
      </c>
      <c r="Q319" s="22">
        <v>73.05166666666668</v>
      </c>
      <c r="R319" s="22">
        <v>27.119666666666664</v>
      </c>
      <c r="S319" s="22"/>
      <c r="T319" s="22"/>
      <c r="U319" s="22"/>
      <c r="V319" s="22"/>
      <c r="W319" s="22"/>
      <c r="X319" s="22"/>
      <c r="Y319" s="22"/>
      <c r="Z319" s="22"/>
      <c r="AA319" s="22"/>
      <c r="AB319" s="22"/>
      <c r="AC319" s="22"/>
      <c r="AD319" s="22"/>
      <c r="AE319" s="22"/>
      <c r="AF319" s="22"/>
      <c r="AG319" s="22"/>
      <c r="AH319" s="22"/>
      <c r="AI319" s="22"/>
      <c r="AJ319" s="22"/>
      <c r="AK319" s="22"/>
      <c r="AL319" s="22"/>
    </row>
    <row r="320">
      <c r="A320" s="13" t="s">
        <v>20</v>
      </c>
      <c r="B320" s="13" t="s">
        <v>20</v>
      </c>
      <c r="C320" s="26">
        <v>45565.0</v>
      </c>
      <c r="D320" s="13" t="s">
        <v>25</v>
      </c>
      <c r="E320" s="13">
        <v>3.1</v>
      </c>
      <c r="F320" s="13" t="s">
        <v>22</v>
      </c>
      <c r="G320" s="13">
        <v>3.0</v>
      </c>
      <c r="H320" s="13" t="s">
        <v>23</v>
      </c>
      <c r="I320" s="23">
        <v>18.089</v>
      </c>
      <c r="J320" s="23">
        <v>537.6335</v>
      </c>
      <c r="K320" s="23">
        <v>3.394</v>
      </c>
      <c r="L320" s="23">
        <v>0.06</v>
      </c>
      <c r="M320" s="22">
        <v>142.18533333333335</v>
      </c>
      <c r="N320" s="22">
        <v>26.601333333333333</v>
      </c>
      <c r="O320" s="22">
        <v>115.83033333333333</v>
      </c>
      <c r="P320" s="22">
        <v>28.427999999999997</v>
      </c>
      <c r="Q320" s="22">
        <v>53.973333333333336</v>
      </c>
      <c r="R320" s="22">
        <v>65.182</v>
      </c>
      <c r="S320" s="22"/>
      <c r="T320" s="22"/>
      <c r="U320" s="22"/>
      <c r="V320" s="22"/>
      <c r="W320" s="22"/>
      <c r="X320" s="22"/>
      <c r="Y320" s="22"/>
      <c r="Z320" s="22"/>
      <c r="AA320" s="22"/>
      <c r="AB320" s="22"/>
      <c r="AC320" s="22"/>
      <c r="AD320" s="22"/>
      <c r="AE320" s="22"/>
      <c r="AF320" s="22"/>
      <c r="AG320" s="22"/>
      <c r="AH320" s="22"/>
      <c r="AI320" s="22"/>
      <c r="AJ320" s="22"/>
      <c r="AK320" s="22"/>
      <c r="AL320" s="22"/>
    </row>
    <row r="321">
      <c r="A321" s="13" t="s">
        <v>20</v>
      </c>
      <c r="B321" s="13" t="s">
        <v>20</v>
      </c>
      <c r="C321" s="26">
        <v>45565.0</v>
      </c>
      <c r="D321" s="13" t="s">
        <v>25</v>
      </c>
      <c r="E321" s="13">
        <v>3.2</v>
      </c>
      <c r="F321" s="13" t="s">
        <v>22</v>
      </c>
      <c r="G321" s="13">
        <v>3.0</v>
      </c>
      <c r="H321" s="13" t="s">
        <v>23</v>
      </c>
      <c r="I321" s="23">
        <v>18.3276</v>
      </c>
      <c r="J321" s="23">
        <v>574.8113</v>
      </c>
      <c r="K321" s="23">
        <v>3.894</v>
      </c>
      <c r="L321" s="23">
        <v>0.016</v>
      </c>
      <c r="M321" s="22">
        <v>147.12800000000001</v>
      </c>
      <c r="N321" s="22">
        <v>26.575666666666667</v>
      </c>
      <c r="O321" s="22">
        <v>120.985</v>
      </c>
      <c r="P321" s="22">
        <v>29.090000000000003</v>
      </c>
      <c r="Q321" s="22">
        <v>58.038000000000004</v>
      </c>
      <c r="R321" s="22">
        <v>28.173666666666666</v>
      </c>
      <c r="S321" s="22"/>
      <c r="T321" s="22"/>
      <c r="U321" s="22"/>
      <c r="V321" s="22"/>
      <c r="W321" s="22"/>
      <c r="X321" s="22"/>
      <c r="Y321" s="22"/>
      <c r="Z321" s="22"/>
      <c r="AA321" s="22"/>
      <c r="AB321" s="22"/>
      <c r="AC321" s="22"/>
      <c r="AD321" s="22"/>
      <c r="AE321" s="22"/>
      <c r="AF321" s="22"/>
      <c r="AG321" s="22"/>
      <c r="AH321" s="22"/>
      <c r="AI321" s="22"/>
      <c r="AJ321" s="22"/>
      <c r="AK321" s="22"/>
      <c r="AL321" s="22"/>
    </row>
    <row r="322">
      <c r="A322" s="13" t="s">
        <v>20</v>
      </c>
      <c r="B322" s="13" t="s">
        <v>20</v>
      </c>
      <c r="C322" s="26">
        <v>45565.0</v>
      </c>
      <c r="D322" s="13" t="s">
        <v>25</v>
      </c>
      <c r="E322" s="13">
        <v>3.3</v>
      </c>
      <c r="F322" s="13" t="s">
        <v>22</v>
      </c>
      <c r="G322" s="13">
        <v>3.0</v>
      </c>
      <c r="H322" s="13" t="s">
        <v>23</v>
      </c>
      <c r="I322" s="23">
        <v>15.1811</v>
      </c>
      <c r="J322" s="23">
        <v>590.4195</v>
      </c>
      <c r="K322" s="23">
        <v>4.251</v>
      </c>
      <c r="L322" s="23">
        <v>0.044</v>
      </c>
      <c r="M322" s="22">
        <v>159.54533333333333</v>
      </c>
      <c r="N322" s="22">
        <v>23.041</v>
      </c>
      <c r="O322" s="22">
        <v>128.93866666666665</v>
      </c>
      <c r="P322" s="22">
        <v>24.961333333333332</v>
      </c>
      <c r="Q322" s="22">
        <v>61.239666666666665</v>
      </c>
      <c r="R322" s="22">
        <v>25.189999999999998</v>
      </c>
      <c r="S322" s="22"/>
      <c r="T322" s="22"/>
      <c r="U322" s="22"/>
      <c r="V322" s="22"/>
      <c r="W322" s="22"/>
      <c r="X322" s="22"/>
      <c r="Y322" s="22"/>
      <c r="Z322" s="22"/>
      <c r="AA322" s="22"/>
      <c r="AB322" s="22"/>
      <c r="AC322" s="22"/>
      <c r="AD322" s="22"/>
      <c r="AE322" s="22"/>
      <c r="AF322" s="22"/>
      <c r="AG322" s="22"/>
      <c r="AH322" s="22"/>
      <c r="AI322" s="22"/>
      <c r="AJ322" s="22"/>
      <c r="AK322" s="22"/>
      <c r="AL322" s="22"/>
    </row>
    <row r="323">
      <c r="A323" s="13" t="s">
        <v>20</v>
      </c>
      <c r="B323" s="13" t="s">
        <v>20</v>
      </c>
      <c r="C323" s="26">
        <v>45565.0</v>
      </c>
      <c r="D323" s="13" t="s">
        <v>25</v>
      </c>
      <c r="E323" s="13">
        <v>3.4</v>
      </c>
      <c r="F323" s="13" t="s">
        <v>22</v>
      </c>
      <c r="G323" s="13">
        <v>3.0</v>
      </c>
      <c r="H323" s="13" t="s">
        <v>23</v>
      </c>
      <c r="I323" s="23">
        <v>18.0961</v>
      </c>
      <c r="J323" s="23">
        <v>501.7435</v>
      </c>
      <c r="K323" s="23">
        <v>5.129</v>
      </c>
      <c r="L323" s="23">
        <v>0.011</v>
      </c>
      <c r="M323" s="22">
        <v>133.842</v>
      </c>
      <c r="N323" s="22">
        <v>25.671000000000003</v>
      </c>
      <c r="O323" s="22">
        <v>111.18533333333333</v>
      </c>
      <c r="P323" s="22">
        <v>27.57466666666667</v>
      </c>
      <c r="Q323" s="22">
        <v>70.23266666666666</v>
      </c>
      <c r="R323" s="22">
        <v>25.86766666666667</v>
      </c>
      <c r="S323" s="22"/>
      <c r="T323" s="22"/>
      <c r="U323" s="22"/>
      <c r="V323" s="22"/>
      <c r="W323" s="22"/>
      <c r="X323" s="22"/>
      <c r="Y323" s="22"/>
      <c r="Z323" s="22"/>
      <c r="AA323" s="22"/>
      <c r="AB323" s="22"/>
      <c r="AC323" s="22"/>
      <c r="AD323" s="22"/>
      <c r="AE323" s="22"/>
      <c r="AF323" s="22"/>
      <c r="AG323" s="22"/>
      <c r="AH323" s="22"/>
      <c r="AI323" s="22"/>
      <c r="AJ323" s="22"/>
      <c r="AK323" s="22"/>
      <c r="AL323" s="22"/>
    </row>
    <row r="324">
      <c r="A324" s="13" t="s">
        <v>20</v>
      </c>
      <c r="B324" s="13" t="s">
        <v>20</v>
      </c>
      <c r="C324" s="26">
        <v>45607.0</v>
      </c>
      <c r="D324" s="13" t="s">
        <v>21</v>
      </c>
      <c r="E324" s="13">
        <v>1.1</v>
      </c>
      <c r="F324" s="13" t="s">
        <v>22</v>
      </c>
      <c r="G324" s="13">
        <v>3.0</v>
      </c>
      <c r="H324" s="13" t="s">
        <v>26</v>
      </c>
      <c r="I324" s="23">
        <v>25.2318</v>
      </c>
      <c r="J324" s="23">
        <v>528.0341</v>
      </c>
      <c r="K324" s="23">
        <v>5.793</v>
      </c>
      <c r="L324" s="23">
        <v>0.047</v>
      </c>
      <c r="M324" s="22">
        <v>134.83166666666665</v>
      </c>
      <c r="N324" s="22">
        <v>34.15200000000001</v>
      </c>
      <c r="O324" s="22">
        <v>101.20400000000001</v>
      </c>
      <c r="P324" s="22">
        <v>33.47299999999999</v>
      </c>
      <c r="Q324" s="22">
        <v>44.486</v>
      </c>
      <c r="R324" s="22">
        <v>25.247666666666664</v>
      </c>
      <c r="S324" s="22"/>
      <c r="T324" s="22"/>
      <c r="U324" s="22"/>
      <c r="V324" s="22"/>
      <c r="W324" s="22"/>
      <c r="X324" s="22"/>
      <c r="Y324" s="22"/>
      <c r="Z324" s="22"/>
      <c r="AA324" s="22"/>
      <c r="AB324" s="22"/>
      <c r="AC324" s="22"/>
      <c r="AD324" s="22"/>
      <c r="AE324" s="22"/>
      <c r="AF324" s="22"/>
      <c r="AG324" s="22"/>
      <c r="AH324" s="22"/>
      <c r="AI324" s="22"/>
      <c r="AJ324" s="22"/>
      <c r="AK324" s="22"/>
      <c r="AL324" s="22"/>
    </row>
    <row r="325">
      <c r="A325" s="13" t="s">
        <v>20</v>
      </c>
      <c r="B325" s="13" t="s">
        <v>20</v>
      </c>
      <c r="C325" s="26">
        <v>45607.0</v>
      </c>
      <c r="D325" s="13" t="s">
        <v>21</v>
      </c>
      <c r="E325" s="13">
        <v>1.2</v>
      </c>
      <c r="F325" s="13" t="s">
        <v>22</v>
      </c>
      <c r="G325" s="13">
        <v>3.0</v>
      </c>
      <c r="H325" s="13" t="s">
        <v>26</v>
      </c>
      <c r="I325" s="23">
        <v>23.6451</v>
      </c>
      <c r="J325" s="23">
        <v>564.0817</v>
      </c>
      <c r="K325" s="23">
        <v>3.619</v>
      </c>
      <c r="L325" s="23">
        <v>0.019</v>
      </c>
      <c r="M325" s="22">
        <v>144.48833333333334</v>
      </c>
      <c r="N325" s="22">
        <v>21.287000000000003</v>
      </c>
      <c r="O325" s="22">
        <v>115.09266666666667</v>
      </c>
      <c r="P325" s="22">
        <v>19.965999999999998</v>
      </c>
      <c r="Q325" s="22">
        <v>64.77133333333333</v>
      </c>
      <c r="R325" s="22">
        <v>22.153333333333336</v>
      </c>
      <c r="S325" s="22"/>
      <c r="T325" s="22"/>
      <c r="U325" s="22"/>
      <c r="V325" s="22"/>
      <c r="W325" s="22"/>
      <c r="X325" s="22"/>
      <c r="Y325" s="22"/>
      <c r="Z325" s="22"/>
      <c r="AA325" s="22"/>
      <c r="AB325" s="22"/>
      <c r="AC325" s="22"/>
      <c r="AD325" s="22"/>
      <c r="AE325" s="22"/>
      <c r="AF325" s="22"/>
      <c r="AG325" s="22"/>
      <c r="AH325" s="22"/>
      <c r="AI325" s="22"/>
      <c r="AJ325" s="22"/>
      <c r="AK325" s="22"/>
      <c r="AL325" s="22"/>
    </row>
    <row r="326">
      <c r="A326" s="13" t="s">
        <v>20</v>
      </c>
      <c r="B326" s="13" t="s">
        <v>20</v>
      </c>
      <c r="C326" s="26">
        <v>45607.0</v>
      </c>
      <c r="D326" s="13" t="s">
        <v>21</v>
      </c>
      <c r="E326" s="13">
        <v>1.3</v>
      </c>
      <c r="F326" s="13" t="s">
        <v>22</v>
      </c>
      <c r="G326" s="13">
        <v>3.0</v>
      </c>
      <c r="H326" s="13" t="s">
        <v>26</v>
      </c>
      <c r="I326" s="23">
        <v>24.0559</v>
      </c>
      <c r="J326" s="23">
        <v>548.4053</v>
      </c>
      <c r="K326" s="23">
        <v>3.954</v>
      </c>
      <c r="L326" s="23">
        <v>0.059</v>
      </c>
      <c r="M326" s="22">
        <v>108.83533333333332</v>
      </c>
      <c r="N326" s="22">
        <v>23.65233333333333</v>
      </c>
      <c r="O326" s="22">
        <v>114.528</v>
      </c>
      <c r="P326" s="22">
        <v>23.99333333333333</v>
      </c>
      <c r="Q326" s="22">
        <v>55.52266666666667</v>
      </c>
      <c r="R326" s="22">
        <v>25.891333333333332</v>
      </c>
      <c r="S326" s="22"/>
      <c r="T326" s="22"/>
      <c r="U326" s="22"/>
      <c r="V326" s="22"/>
      <c r="W326" s="22"/>
      <c r="X326" s="22"/>
      <c r="Y326" s="22"/>
      <c r="Z326" s="22"/>
      <c r="AA326" s="22"/>
      <c r="AB326" s="22"/>
      <c r="AC326" s="22"/>
      <c r="AD326" s="22"/>
      <c r="AE326" s="22"/>
      <c r="AF326" s="22"/>
      <c r="AG326" s="22"/>
      <c r="AH326" s="22"/>
      <c r="AI326" s="22"/>
      <c r="AJ326" s="22"/>
      <c r="AK326" s="22"/>
      <c r="AL326" s="22"/>
    </row>
    <row r="327">
      <c r="A327" s="13" t="s">
        <v>20</v>
      </c>
      <c r="B327" s="13" t="s">
        <v>20</v>
      </c>
      <c r="C327" s="26">
        <v>45607.0</v>
      </c>
      <c r="D327" s="13" t="s">
        <v>21</v>
      </c>
      <c r="E327" s="13">
        <v>1.4</v>
      </c>
      <c r="F327" s="13" t="s">
        <v>22</v>
      </c>
      <c r="G327" s="13">
        <v>3.0</v>
      </c>
      <c r="H327" s="13" t="s">
        <v>26</v>
      </c>
      <c r="I327" s="23">
        <v>22.7961</v>
      </c>
      <c r="J327" s="23">
        <v>541.2213</v>
      </c>
      <c r="K327" s="23">
        <v>3.872</v>
      </c>
      <c r="L327" s="23">
        <v>0.037</v>
      </c>
      <c r="M327" s="22">
        <v>173.62866666666665</v>
      </c>
      <c r="N327" s="22">
        <v>25.344666666666665</v>
      </c>
      <c r="O327" s="22">
        <v>145.331</v>
      </c>
      <c r="P327" s="22">
        <v>26.286</v>
      </c>
      <c r="Q327" s="22">
        <v>115.97066666666666</v>
      </c>
      <c r="R327" s="22">
        <v>27.871</v>
      </c>
      <c r="S327" s="22"/>
      <c r="T327" s="22"/>
      <c r="U327" s="22"/>
      <c r="V327" s="22"/>
      <c r="W327" s="22"/>
      <c r="X327" s="22"/>
      <c r="Y327" s="22"/>
      <c r="Z327" s="22"/>
      <c r="AA327" s="22"/>
      <c r="AB327" s="22"/>
      <c r="AC327" s="22"/>
      <c r="AD327" s="22"/>
      <c r="AE327" s="22"/>
      <c r="AF327" s="22"/>
      <c r="AG327" s="22"/>
      <c r="AH327" s="22"/>
      <c r="AI327" s="22"/>
      <c r="AJ327" s="22"/>
      <c r="AK327" s="22"/>
      <c r="AL327" s="22"/>
    </row>
    <row r="328">
      <c r="A328" s="13" t="s">
        <v>20</v>
      </c>
      <c r="B328" s="13" t="s">
        <v>20</v>
      </c>
      <c r="C328" s="26">
        <v>45607.0</v>
      </c>
      <c r="D328" s="13" t="s">
        <v>21</v>
      </c>
      <c r="E328" s="13">
        <v>2.1</v>
      </c>
      <c r="F328" s="13" t="s">
        <v>22</v>
      </c>
      <c r="G328" s="13">
        <v>3.0</v>
      </c>
      <c r="H328" s="13" t="s">
        <v>26</v>
      </c>
      <c r="I328" s="23">
        <v>16.3395</v>
      </c>
      <c r="J328" s="23">
        <v>588.0049</v>
      </c>
      <c r="K328" s="23">
        <v>1.86</v>
      </c>
      <c r="L328" s="23">
        <v>0.015</v>
      </c>
      <c r="M328" s="22">
        <v>121.47566666666667</v>
      </c>
      <c r="N328" s="22">
        <v>25.90133333333333</v>
      </c>
      <c r="O328" s="22">
        <v>103.18333333333334</v>
      </c>
      <c r="P328" s="22">
        <v>25.204666666666668</v>
      </c>
      <c r="Q328" s="22">
        <v>72.75433333333332</v>
      </c>
      <c r="R328" s="22">
        <v>17.339666666666666</v>
      </c>
      <c r="S328" s="22"/>
      <c r="T328" s="22"/>
      <c r="U328" s="22"/>
      <c r="V328" s="22"/>
      <c r="W328" s="22"/>
      <c r="X328" s="22"/>
      <c r="Y328" s="22"/>
      <c r="Z328" s="22"/>
      <c r="AA328" s="22"/>
      <c r="AB328" s="22"/>
      <c r="AC328" s="22"/>
      <c r="AD328" s="22"/>
      <c r="AE328" s="22"/>
      <c r="AF328" s="22"/>
      <c r="AG328" s="22"/>
      <c r="AH328" s="22"/>
      <c r="AI328" s="22"/>
      <c r="AJ328" s="22"/>
      <c r="AK328" s="22"/>
      <c r="AL328" s="22"/>
    </row>
    <row r="329">
      <c r="A329" s="13" t="s">
        <v>20</v>
      </c>
      <c r="B329" s="13" t="s">
        <v>20</v>
      </c>
      <c r="C329" s="26">
        <v>45607.0</v>
      </c>
      <c r="D329" s="13" t="s">
        <v>21</v>
      </c>
      <c r="E329" s="13">
        <v>2.2</v>
      </c>
      <c r="F329" s="13" t="s">
        <v>22</v>
      </c>
      <c r="G329" s="13">
        <v>3.0</v>
      </c>
      <c r="H329" s="13" t="s">
        <v>26</v>
      </c>
      <c r="I329" s="23">
        <v>16.3513</v>
      </c>
      <c r="J329" s="23">
        <v>543.6649</v>
      </c>
      <c r="K329" s="23">
        <v>2.588</v>
      </c>
      <c r="L329" s="23">
        <v>0.019</v>
      </c>
      <c r="M329" s="22">
        <v>142.439</v>
      </c>
      <c r="N329" s="22">
        <v>20.207333333333334</v>
      </c>
      <c r="O329" s="22">
        <v>116.55333333333334</v>
      </c>
      <c r="P329" s="22">
        <v>20.130666666666666</v>
      </c>
      <c r="Q329" s="22">
        <v>63.279666666666664</v>
      </c>
      <c r="R329" s="22">
        <v>21.298333333333332</v>
      </c>
      <c r="S329" s="22"/>
      <c r="T329" s="22"/>
      <c r="U329" s="22"/>
      <c r="V329" s="22"/>
      <c r="W329" s="22"/>
      <c r="X329" s="22"/>
      <c r="Y329" s="22"/>
      <c r="Z329" s="22"/>
      <c r="AA329" s="22"/>
      <c r="AB329" s="22"/>
      <c r="AC329" s="22"/>
      <c r="AD329" s="22"/>
      <c r="AE329" s="22"/>
      <c r="AF329" s="22"/>
      <c r="AG329" s="22"/>
      <c r="AH329" s="22"/>
      <c r="AI329" s="22"/>
      <c r="AJ329" s="22"/>
      <c r="AK329" s="22"/>
      <c r="AL329" s="22"/>
    </row>
    <row r="330">
      <c r="A330" s="13" t="s">
        <v>20</v>
      </c>
      <c r="B330" s="13" t="s">
        <v>20</v>
      </c>
      <c r="C330" s="26">
        <v>45607.0</v>
      </c>
      <c r="D330" s="13" t="s">
        <v>21</v>
      </c>
      <c r="E330" s="13">
        <v>2.3</v>
      </c>
      <c r="F330" s="13" t="s">
        <v>22</v>
      </c>
      <c r="G330" s="13">
        <v>3.0</v>
      </c>
      <c r="H330" s="13" t="s">
        <v>26</v>
      </c>
      <c r="I330" s="23">
        <v>18.0865</v>
      </c>
      <c r="J330" s="23">
        <v>530.4</v>
      </c>
      <c r="K330" s="23">
        <v>2.433</v>
      </c>
      <c r="L330" s="23">
        <v>0.017</v>
      </c>
      <c r="M330" s="22">
        <v>149.597</v>
      </c>
      <c r="N330" s="22">
        <v>29.631666666666664</v>
      </c>
      <c r="O330" s="22">
        <v>119.51533333333333</v>
      </c>
      <c r="P330" s="22">
        <v>27.858</v>
      </c>
      <c r="Q330" s="22">
        <v>66.14666666666666</v>
      </c>
      <c r="R330" s="22">
        <v>23.683333333333334</v>
      </c>
      <c r="S330" s="22"/>
      <c r="T330" s="22"/>
      <c r="U330" s="22"/>
      <c r="V330" s="22"/>
      <c r="W330" s="22"/>
      <c r="X330" s="22"/>
      <c r="Y330" s="22"/>
      <c r="Z330" s="22"/>
      <c r="AA330" s="22"/>
      <c r="AB330" s="22"/>
      <c r="AC330" s="22"/>
      <c r="AD330" s="22"/>
      <c r="AE330" s="22"/>
      <c r="AF330" s="22"/>
      <c r="AG330" s="22"/>
      <c r="AH330" s="22"/>
      <c r="AI330" s="22"/>
      <c r="AJ330" s="22"/>
      <c r="AK330" s="22"/>
      <c r="AL330" s="22"/>
    </row>
    <row r="331">
      <c r="A331" s="13" t="s">
        <v>20</v>
      </c>
      <c r="B331" s="13" t="s">
        <v>20</v>
      </c>
      <c r="C331" s="26">
        <v>45607.0</v>
      </c>
      <c r="D331" s="13" t="s">
        <v>21</v>
      </c>
      <c r="E331" s="13">
        <v>2.4</v>
      </c>
      <c r="F331" s="13" t="s">
        <v>22</v>
      </c>
      <c r="G331" s="13">
        <v>3.0</v>
      </c>
      <c r="H331" s="13" t="s">
        <v>26</v>
      </c>
      <c r="I331" s="23">
        <v>17.2983</v>
      </c>
      <c r="J331" s="23">
        <v>517.2056</v>
      </c>
      <c r="K331" s="23">
        <v>2.203</v>
      </c>
      <c r="L331" s="23">
        <v>0.013</v>
      </c>
      <c r="M331" s="22">
        <v>165.70533333333333</v>
      </c>
      <c r="N331" s="22">
        <v>25.471</v>
      </c>
      <c r="O331" s="22">
        <v>142.431</v>
      </c>
      <c r="P331" s="22">
        <v>27.296666666666667</v>
      </c>
      <c r="Q331" s="22">
        <v>103.66733333333333</v>
      </c>
      <c r="R331" s="22">
        <v>28.141333333333336</v>
      </c>
      <c r="S331" s="22"/>
      <c r="T331" s="22"/>
      <c r="U331" s="22"/>
      <c r="V331" s="22"/>
      <c r="W331" s="22"/>
      <c r="X331" s="22"/>
      <c r="Y331" s="22"/>
      <c r="Z331" s="22"/>
      <c r="AA331" s="22"/>
      <c r="AB331" s="22"/>
      <c r="AC331" s="22"/>
      <c r="AD331" s="22"/>
      <c r="AE331" s="22"/>
      <c r="AF331" s="22"/>
      <c r="AG331" s="22"/>
      <c r="AH331" s="22"/>
      <c r="AI331" s="22"/>
      <c r="AJ331" s="22"/>
      <c r="AK331" s="22"/>
      <c r="AL331" s="22"/>
    </row>
    <row r="332">
      <c r="A332" s="13" t="s">
        <v>20</v>
      </c>
      <c r="B332" s="13" t="s">
        <v>20</v>
      </c>
      <c r="C332" s="26">
        <v>45607.0</v>
      </c>
      <c r="D332" s="13" t="s">
        <v>21</v>
      </c>
      <c r="E332" s="13">
        <v>3.1</v>
      </c>
      <c r="F332" s="13" t="s">
        <v>22</v>
      </c>
      <c r="G332" s="13">
        <v>3.0</v>
      </c>
      <c r="H332" s="13" t="s">
        <v>26</v>
      </c>
      <c r="I332" s="23">
        <v>21.296</v>
      </c>
      <c r="J332" s="23">
        <v>576.1012</v>
      </c>
      <c r="K332" s="23">
        <v>3.652</v>
      </c>
      <c r="L332" s="23">
        <v>0.031</v>
      </c>
      <c r="M332" s="22">
        <v>94.71600000000001</v>
      </c>
      <c r="N332" s="22">
        <v>72.391</v>
      </c>
      <c r="O332" s="22">
        <v>81.00099999999999</v>
      </c>
      <c r="P332" s="22">
        <v>53.947</v>
      </c>
      <c r="Q332" s="22">
        <v>43.075666666666656</v>
      </c>
      <c r="R332" s="22">
        <v>26.064999999999998</v>
      </c>
      <c r="S332" s="22"/>
      <c r="T332" s="22"/>
      <c r="U332" s="22"/>
      <c r="V332" s="22"/>
      <c r="W332" s="22"/>
      <c r="X332" s="22"/>
      <c r="Y332" s="22"/>
      <c r="Z332" s="22"/>
      <c r="AA332" s="22"/>
      <c r="AB332" s="22"/>
      <c r="AC332" s="22"/>
      <c r="AD332" s="22"/>
      <c r="AE332" s="22"/>
      <c r="AF332" s="22"/>
      <c r="AG332" s="22"/>
      <c r="AH332" s="22"/>
      <c r="AI332" s="22"/>
      <c r="AJ332" s="22"/>
      <c r="AK332" s="22"/>
      <c r="AL332" s="22"/>
    </row>
    <row r="333">
      <c r="A333" s="13" t="s">
        <v>20</v>
      </c>
      <c r="B333" s="13" t="s">
        <v>20</v>
      </c>
      <c r="C333" s="26">
        <v>45607.0</v>
      </c>
      <c r="D333" s="13" t="s">
        <v>21</v>
      </c>
      <c r="E333" s="13">
        <v>3.2</v>
      </c>
      <c r="F333" s="13" t="s">
        <v>22</v>
      </c>
      <c r="G333" s="13">
        <v>3.0</v>
      </c>
      <c r="H333" s="13" t="s">
        <v>26</v>
      </c>
      <c r="I333" s="23">
        <v>14.3115</v>
      </c>
      <c r="J333" s="23">
        <v>570.0051</v>
      </c>
      <c r="K333" s="23">
        <v>3.446</v>
      </c>
      <c r="L333" s="23">
        <v>0.039</v>
      </c>
      <c r="M333" s="22">
        <v>125.53933333333333</v>
      </c>
      <c r="N333" s="22">
        <v>34.22233333333333</v>
      </c>
      <c r="O333" s="22">
        <v>105.07233333333333</v>
      </c>
      <c r="P333" s="22">
        <v>32.667</v>
      </c>
      <c r="Q333" s="22">
        <v>52.79633333333334</v>
      </c>
      <c r="R333" s="22">
        <v>26.894000000000002</v>
      </c>
      <c r="S333" s="22"/>
      <c r="T333" s="22"/>
      <c r="U333" s="22"/>
      <c r="V333" s="22"/>
      <c r="W333" s="22"/>
      <c r="X333" s="22"/>
      <c r="Y333" s="22"/>
      <c r="Z333" s="22"/>
      <c r="AA333" s="22"/>
      <c r="AB333" s="22"/>
      <c r="AC333" s="22"/>
      <c r="AD333" s="22"/>
      <c r="AE333" s="22"/>
      <c r="AF333" s="22"/>
      <c r="AG333" s="22"/>
      <c r="AH333" s="22"/>
      <c r="AI333" s="22"/>
      <c r="AJ333" s="22"/>
      <c r="AK333" s="22"/>
      <c r="AL333" s="22"/>
    </row>
    <row r="334">
      <c r="A334" s="13" t="s">
        <v>20</v>
      </c>
      <c r="B334" s="13" t="s">
        <v>20</v>
      </c>
      <c r="C334" s="26">
        <v>45607.0</v>
      </c>
      <c r="D334" s="13" t="s">
        <v>21</v>
      </c>
      <c r="E334" s="13">
        <v>3.3</v>
      </c>
      <c r="F334" s="13" t="s">
        <v>22</v>
      </c>
      <c r="G334" s="13">
        <v>3.0</v>
      </c>
      <c r="H334" s="13" t="s">
        <v>26</v>
      </c>
      <c r="I334" s="23">
        <v>17.3067</v>
      </c>
      <c r="J334" s="23">
        <v>544.9599</v>
      </c>
      <c r="K334" s="23">
        <v>2.728</v>
      </c>
      <c r="L334" s="23">
        <v>0.052</v>
      </c>
      <c r="M334" s="22">
        <v>120.36599999999999</v>
      </c>
      <c r="N334" s="22">
        <v>22.287333333333336</v>
      </c>
      <c r="O334" s="22">
        <v>100.50366666666666</v>
      </c>
      <c r="P334" s="22">
        <v>21.471999999999998</v>
      </c>
      <c r="Q334" s="22">
        <v>45.73166666666666</v>
      </c>
      <c r="R334" s="22">
        <v>18.004</v>
      </c>
      <c r="S334" s="22"/>
      <c r="T334" s="22"/>
      <c r="U334" s="22"/>
      <c r="V334" s="22"/>
      <c r="W334" s="22"/>
      <c r="X334" s="22"/>
      <c r="Y334" s="22"/>
      <c r="Z334" s="22"/>
      <c r="AA334" s="22"/>
      <c r="AB334" s="22"/>
      <c r="AC334" s="22"/>
      <c r="AD334" s="22"/>
      <c r="AE334" s="22"/>
      <c r="AF334" s="22"/>
      <c r="AG334" s="22"/>
      <c r="AH334" s="22"/>
      <c r="AI334" s="22"/>
      <c r="AJ334" s="22"/>
      <c r="AK334" s="22"/>
      <c r="AL334" s="22"/>
    </row>
    <row r="335">
      <c r="A335" s="13" t="s">
        <v>20</v>
      </c>
      <c r="B335" s="13" t="s">
        <v>20</v>
      </c>
      <c r="C335" s="26">
        <v>45607.0</v>
      </c>
      <c r="D335" s="13" t="s">
        <v>21</v>
      </c>
      <c r="E335" s="13">
        <v>3.4</v>
      </c>
      <c r="F335" s="13" t="s">
        <v>22</v>
      </c>
      <c r="G335" s="13">
        <v>3.0</v>
      </c>
      <c r="H335" s="13" t="s">
        <v>26</v>
      </c>
      <c r="I335" s="23">
        <v>18.052</v>
      </c>
      <c r="J335" s="23">
        <v>534.0216</v>
      </c>
      <c r="K335" s="23">
        <v>3.306</v>
      </c>
      <c r="L335" s="23">
        <v>0.035</v>
      </c>
      <c r="M335" s="22">
        <v>157.47566666666668</v>
      </c>
      <c r="N335" s="22">
        <v>27.391333333333336</v>
      </c>
      <c r="O335" s="22">
        <v>144.224</v>
      </c>
      <c r="P335" s="22">
        <v>27.104</v>
      </c>
      <c r="Q335" s="22">
        <v>104.705</v>
      </c>
      <c r="R335" s="22">
        <v>31.596000000000004</v>
      </c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</row>
    <row r="336">
      <c r="A336" s="13" t="s">
        <v>20</v>
      </c>
      <c r="B336" s="13" t="s">
        <v>20</v>
      </c>
      <c r="C336" s="26">
        <v>45607.0</v>
      </c>
      <c r="D336" s="13" t="s">
        <v>24</v>
      </c>
      <c r="E336" s="13">
        <v>1.1</v>
      </c>
      <c r="F336" s="13" t="s">
        <v>22</v>
      </c>
      <c r="G336" s="13">
        <v>3.0</v>
      </c>
      <c r="H336" s="13" t="s">
        <v>26</v>
      </c>
      <c r="I336" s="23">
        <v>20.3752</v>
      </c>
      <c r="J336" s="23">
        <v>525.6055</v>
      </c>
      <c r="K336" s="23">
        <v>6.524</v>
      </c>
      <c r="L336" s="23">
        <v>0.046</v>
      </c>
      <c r="M336" s="22">
        <v>165.67066666666668</v>
      </c>
      <c r="N336" s="22">
        <v>18.977333333333334</v>
      </c>
      <c r="O336" s="22">
        <v>141.96666666666667</v>
      </c>
      <c r="P336" s="22">
        <v>17.591666666666665</v>
      </c>
      <c r="Q336" s="22">
        <v>96.724</v>
      </c>
      <c r="R336" s="22">
        <v>19.377666666666666</v>
      </c>
      <c r="S336" s="22"/>
      <c r="T336" s="22"/>
      <c r="U336" s="22"/>
      <c r="V336" s="22"/>
      <c r="W336" s="22"/>
      <c r="X336" s="22"/>
      <c r="Y336" s="22"/>
      <c r="Z336" s="22"/>
      <c r="AA336" s="22"/>
      <c r="AB336" s="22"/>
      <c r="AC336" s="22"/>
      <c r="AD336" s="22"/>
      <c r="AE336" s="22"/>
      <c r="AF336" s="22"/>
      <c r="AG336" s="22"/>
      <c r="AH336" s="22"/>
      <c r="AI336" s="22"/>
      <c r="AJ336" s="22"/>
      <c r="AK336" s="22"/>
      <c r="AL336" s="22"/>
    </row>
    <row r="337">
      <c r="A337" s="13" t="s">
        <v>20</v>
      </c>
      <c r="B337" s="13" t="s">
        <v>20</v>
      </c>
      <c r="C337" s="26">
        <v>45607.0</v>
      </c>
      <c r="D337" s="13" t="s">
        <v>24</v>
      </c>
      <c r="E337" s="13">
        <v>1.2</v>
      </c>
      <c r="F337" s="13" t="s">
        <v>22</v>
      </c>
      <c r="G337" s="13">
        <v>3.0</v>
      </c>
      <c r="H337" s="13" t="s">
        <v>26</v>
      </c>
      <c r="I337" s="23">
        <v>18.9896</v>
      </c>
      <c r="J337" s="23">
        <v>554.4831</v>
      </c>
      <c r="K337" s="23">
        <v>5.977</v>
      </c>
      <c r="L337" s="23">
        <v>0.073</v>
      </c>
      <c r="M337" s="22">
        <v>143.74766666666667</v>
      </c>
      <c r="N337" s="22">
        <v>17.069333333333333</v>
      </c>
      <c r="O337" s="22">
        <v>121.60466666666667</v>
      </c>
      <c r="P337" s="22">
        <v>17.351000000000003</v>
      </c>
      <c r="Q337" s="22">
        <v>83.953</v>
      </c>
      <c r="R337" s="22">
        <v>19.800666666666668</v>
      </c>
      <c r="S337" s="22"/>
      <c r="T337" s="22"/>
      <c r="U337" s="22"/>
      <c r="V337" s="22"/>
      <c r="W337" s="22"/>
      <c r="X337" s="22"/>
      <c r="Y337" s="22"/>
      <c r="Z337" s="22"/>
      <c r="AA337" s="22"/>
      <c r="AB337" s="22"/>
      <c r="AC337" s="22"/>
      <c r="AD337" s="22"/>
      <c r="AE337" s="22"/>
      <c r="AF337" s="22"/>
      <c r="AG337" s="22"/>
      <c r="AH337" s="22"/>
      <c r="AI337" s="22"/>
      <c r="AJ337" s="22"/>
      <c r="AK337" s="22"/>
      <c r="AL337" s="22"/>
    </row>
    <row r="338">
      <c r="A338" s="13" t="s">
        <v>20</v>
      </c>
      <c r="B338" s="13" t="s">
        <v>20</v>
      </c>
      <c r="C338" s="26">
        <v>45607.0</v>
      </c>
      <c r="D338" s="13" t="s">
        <v>24</v>
      </c>
      <c r="E338" s="13">
        <v>1.3</v>
      </c>
      <c r="F338" s="13" t="s">
        <v>22</v>
      </c>
      <c r="G338" s="13">
        <v>3.0</v>
      </c>
      <c r="H338" s="13" t="s">
        <v>26</v>
      </c>
      <c r="I338" s="23">
        <v>15.769</v>
      </c>
      <c r="J338" s="23">
        <v>568.8013</v>
      </c>
      <c r="K338" s="23">
        <v>4.824</v>
      </c>
      <c r="L338" s="23">
        <v>0.043</v>
      </c>
      <c r="M338" s="22">
        <v>156.23666666666665</v>
      </c>
      <c r="N338" s="22">
        <v>17.748</v>
      </c>
      <c r="O338" s="22">
        <v>124.063</v>
      </c>
      <c r="P338" s="22">
        <v>16.582333333333334</v>
      </c>
      <c r="Q338" s="22">
        <v>69.14866666666667</v>
      </c>
      <c r="R338" s="22">
        <v>21.468999999999998</v>
      </c>
      <c r="S338" s="22"/>
      <c r="T338" s="22"/>
      <c r="U338" s="22"/>
      <c r="V338" s="22"/>
      <c r="W338" s="22"/>
      <c r="X338" s="22"/>
      <c r="Y338" s="22"/>
      <c r="Z338" s="22"/>
      <c r="AA338" s="22"/>
      <c r="AB338" s="22"/>
      <c r="AC338" s="22"/>
      <c r="AD338" s="22"/>
      <c r="AE338" s="22"/>
      <c r="AF338" s="22"/>
      <c r="AG338" s="22"/>
      <c r="AH338" s="22"/>
      <c r="AI338" s="22"/>
      <c r="AJ338" s="22"/>
      <c r="AK338" s="22"/>
      <c r="AL338" s="22"/>
    </row>
    <row r="339">
      <c r="A339" s="13" t="s">
        <v>20</v>
      </c>
      <c r="B339" s="13" t="s">
        <v>20</v>
      </c>
      <c r="C339" s="26">
        <v>45607.0</v>
      </c>
      <c r="D339" s="13" t="s">
        <v>24</v>
      </c>
      <c r="E339" s="13">
        <v>1.4</v>
      </c>
      <c r="F339" s="13" t="s">
        <v>22</v>
      </c>
      <c r="G339" s="13">
        <v>3.0</v>
      </c>
      <c r="H339" s="13" t="s">
        <v>26</v>
      </c>
      <c r="I339" s="23">
        <v>17.4093</v>
      </c>
      <c r="J339" s="23">
        <v>523.2124</v>
      </c>
      <c r="K339" s="23">
        <v>5.405</v>
      </c>
      <c r="L339" s="23">
        <v>0.056</v>
      </c>
      <c r="M339" s="22">
        <v>163.69433333333333</v>
      </c>
      <c r="N339" s="22">
        <v>19.363333333333333</v>
      </c>
      <c r="O339" s="22">
        <v>128.33666666666667</v>
      </c>
      <c r="P339" s="22">
        <v>18.527666666666665</v>
      </c>
      <c r="Q339" s="22">
        <v>75.527</v>
      </c>
      <c r="R339" s="22">
        <v>21.025000000000002</v>
      </c>
      <c r="S339" s="22"/>
      <c r="T339" s="22"/>
      <c r="U339" s="22"/>
      <c r="V339" s="22"/>
      <c r="W339" s="22"/>
      <c r="X339" s="22"/>
      <c r="Y339" s="22"/>
      <c r="Z339" s="22"/>
      <c r="AA339" s="22"/>
      <c r="AB339" s="22"/>
      <c r="AC339" s="22"/>
      <c r="AD339" s="22"/>
      <c r="AE339" s="22"/>
      <c r="AF339" s="22"/>
      <c r="AG339" s="22"/>
      <c r="AH339" s="22"/>
      <c r="AI339" s="22"/>
      <c r="AJ339" s="22"/>
      <c r="AK339" s="22"/>
      <c r="AL339" s="22"/>
    </row>
    <row r="340">
      <c r="A340" s="13" t="s">
        <v>20</v>
      </c>
      <c r="B340" s="13" t="s">
        <v>20</v>
      </c>
      <c r="C340" s="26">
        <v>45607.0</v>
      </c>
      <c r="D340" s="13" t="s">
        <v>24</v>
      </c>
      <c r="E340" s="13">
        <v>2.1</v>
      </c>
      <c r="F340" s="13" t="s">
        <v>22</v>
      </c>
      <c r="G340" s="13">
        <v>3.0</v>
      </c>
      <c r="H340" s="13" t="s">
        <v>26</v>
      </c>
      <c r="I340" s="23">
        <v>11.1693</v>
      </c>
      <c r="J340" s="23">
        <v>537.6054</v>
      </c>
      <c r="K340" s="23">
        <v>3.927</v>
      </c>
      <c r="L340" s="23">
        <v>0.045</v>
      </c>
      <c r="M340" s="22">
        <v>134.677</v>
      </c>
      <c r="N340" s="22">
        <v>26.125333333333334</v>
      </c>
      <c r="O340" s="22">
        <v>117.12233333333334</v>
      </c>
      <c r="P340" s="22">
        <v>24.499</v>
      </c>
      <c r="Q340" s="22">
        <v>72.093</v>
      </c>
      <c r="R340" s="22">
        <v>23.643666666666665</v>
      </c>
      <c r="S340" s="22"/>
      <c r="T340" s="22"/>
      <c r="U340" s="22"/>
      <c r="V340" s="22"/>
      <c r="W340" s="22"/>
      <c r="X340" s="22"/>
      <c r="Y340" s="22"/>
      <c r="Z340" s="22"/>
      <c r="AA340" s="22"/>
      <c r="AB340" s="22"/>
      <c r="AC340" s="22"/>
      <c r="AD340" s="22"/>
      <c r="AE340" s="22"/>
      <c r="AF340" s="22"/>
      <c r="AG340" s="22"/>
      <c r="AH340" s="22"/>
      <c r="AI340" s="22"/>
      <c r="AJ340" s="22"/>
      <c r="AK340" s="22"/>
      <c r="AL340" s="22"/>
    </row>
    <row r="341">
      <c r="A341" s="13" t="s">
        <v>20</v>
      </c>
      <c r="B341" s="13" t="s">
        <v>20</v>
      </c>
      <c r="C341" s="26">
        <v>45607.0</v>
      </c>
      <c r="D341" s="13" t="s">
        <v>24</v>
      </c>
      <c r="E341" s="13">
        <v>2.2</v>
      </c>
      <c r="F341" s="13" t="s">
        <v>22</v>
      </c>
      <c r="G341" s="13">
        <v>3.0</v>
      </c>
      <c r="H341" s="13" t="s">
        <v>26</v>
      </c>
      <c r="I341" s="23">
        <v>15.193</v>
      </c>
      <c r="J341" s="23">
        <v>580.8607</v>
      </c>
      <c r="K341" s="23">
        <v>3.409</v>
      </c>
      <c r="L341" s="23">
        <v>0.022</v>
      </c>
      <c r="M341" s="22">
        <v>136.24766666666665</v>
      </c>
      <c r="N341" s="22">
        <v>19.424333333333333</v>
      </c>
      <c r="O341" s="22">
        <v>114.66466666666666</v>
      </c>
      <c r="P341" s="22">
        <v>21.270666666666667</v>
      </c>
      <c r="Q341" s="22">
        <v>66.30566666666668</v>
      </c>
      <c r="R341" s="22">
        <v>21.801000000000002</v>
      </c>
      <c r="S341" s="22"/>
      <c r="T341" s="22"/>
      <c r="U341" s="22"/>
      <c r="V341" s="22"/>
      <c r="W341" s="22"/>
      <c r="X341" s="22"/>
      <c r="Y341" s="22"/>
      <c r="Z341" s="22"/>
      <c r="AA341" s="22"/>
      <c r="AB341" s="22"/>
      <c r="AC341" s="22"/>
      <c r="AD341" s="22"/>
      <c r="AE341" s="22"/>
      <c r="AF341" s="22"/>
      <c r="AG341" s="22"/>
      <c r="AH341" s="22"/>
      <c r="AI341" s="22"/>
      <c r="AJ341" s="22"/>
      <c r="AK341" s="22"/>
      <c r="AL341" s="22"/>
    </row>
    <row r="342">
      <c r="A342" s="13" t="s">
        <v>20</v>
      </c>
      <c r="B342" s="13" t="s">
        <v>20</v>
      </c>
      <c r="C342" s="26">
        <v>45607.0</v>
      </c>
      <c r="D342" s="13" t="s">
        <v>24</v>
      </c>
      <c r="E342" s="13">
        <v>2.3</v>
      </c>
      <c r="F342" s="13" t="s">
        <v>22</v>
      </c>
      <c r="G342" s="13">
        <v>3.0</v>
      </c>
      <c r="H342" s="13" t="s">
        <v>26</v>
      </c>
      <c r="I342" s="23">
        <v>16.1325</v>
      </c>
      <c r="J342" s="23">
        <v>538.812</v>
      </c>
      <c r="K342" s="23">
        <v>3.447</v>
      </c>
      <c r="L342" s="23">
        <v>0.017</v>
      </c>
      <c r="M342" s="22">
        <v>135.38666666666666</v>
      </c>
      <c r="N342" s="22">
        <v>21.497333333333334</v>
      </c>
      <c r="O342" s="22">
        <v>108.19800000000002</v>
      </c>
      <c r="P342" s="22">
        <v>21.250333333333334</v>
      </c>
      <c r="Q342" s="22">
        <v>59.55766666666667</v>
      </c>
      <c r="R342" s="22">
        <v>21.575333333333333</v>
      </c>
      <c r="S342" s="22"/>
      <c r="T342" s="22"/>
      <c r="U342" s="22"/>
      <c r="V342" s="22"/>
      <c r="W342" s="22"/>
      <c r="X342" s="22"/>
      <c r="Y342" s="22"/>
      <c r="Z342" s="22"/>
      <c r="AA342" s="22"/>
      <c r="AB342" s="22"/>
      <c r="AC342" s="22"/>
      <c r="AD342" s="22"/>
      <c r="AE342" s="22"/>
      <c r="AF342" s="22"/>
      <c r="AG342" s="22"/>
      <c r="AH342" s="22"/>
      <c r="AI342" s="22"/>
      <c r="AJ342" s="22"/>
      <c r="AK342" s="22"/>
      <c r="AL342" s="22"/>
    </row>
    <row r="343">
      <c r="A343" s="13" t="s">
        <v>20</v>
      </c>
      <c r="B343" s="13" t="s">
        <v>20</v>
      </c>
      <c r="C343" s="26">
        <v>45607.0</v>
      </c>
      <c r="D343" s="13" t="s">
        <v>24</v>
      </c>
      <c r="E343" s="13">
        <v>2.4</v>
      </c>
      <c r="F343" s="13" t="s">
        <v>22</v>
      </c>
      <c r="G343" s="13">
        <v>3.0</v>
      </c>
      <c r="H343" s="13" t="s">
        <v>26</v>
      </c>
      <c r="I343" s="23">
        <v>15.0927</v>
      </c>
      <c r="J343" s="23">
        <v>532.9094</v>
      </c>
      <c r="K343" s="23">
        <v>3.095</v>
      </c>
      <c r="L343" s="23">
        <v>0.031</v>
      </c>
      <c r="M343" s="22">
        <v>135.30033333333333</v>
      </c>
      <c r="N343" s="22">
        <v>24.096666666666664</v>
      </c>
      <c r="O343" s="22">
        <v>111.88133333333333</v>
      </c>
      <c r="P343" s="22">
        <v>22.051333333333332</v>
      </c>
      <c r="Q343" s="22">
        <v>65.17899999999999</v>
      </c>
      <c r="R343" s="22">
        <v>20.438666666666666</v>
      </c>
      <c r="S343" s="21"/>
      <c r="T343" s="22"/>
      <c r="U343" s="22"/>
      <c r="V343" s="22"/>
      <c r="W343" s="22"/>
      <c r="X343" s="22"/>
      <c r="Y343" s="22"/>
      <c r="Z343" s="22"/>
      <c r="AA343" s="22"/>
      <c r="AB343" s="22"/>
      <c r="AC343" s="22"/>
      <c r="AD343" s="22"/>
      <c r="AE343" s="22"/>
      <c r="AF343" s="22"/>
      <c r="AG343" s="22"/>
      <c r="AH343" s="22"/>
      <c r="AI343" s="22"/>
      <c r="AJ343" s="22"/>
      <c r="AK343" s="22"/>
      <c r="AL343" s="22"/>
    </row>
    <row r="344">
      <c r="A344" s="13" t="s">
        <v>20</v>
      </c>
      <c r="B344" s="13" t="s">
        <v>20</v>
      </c>
      <c r="C344" s="26">
        <v>45607.0</v>
      </c>
      <c r="D344" s="13" t="s">
        <v>24</v>
      </c>
      <c r="E344" s="13">
        <v>3.1</v>
      </c>
      <c r="F344" s="13" t="s">
        <v>22</v>
      </c>
      <c r="G344" s="13">
        <v>3.0</v>
      </c>
      <c r="H344" s="13" t="s">
        <v>26</v>
      </c>
      <c r="I344" s="23">
        <v>16.6961</v>
      </c>
      <c r="J344" s="23">
        <v>564.0204</v>
      </c>
      <c r="K344" s="23">
        <v>4.933</v>
      </c>
      <c r="L344" s="23">
        <v>0.029</v>
      </c>
      <c r="M344" s="22">
        <v>138.21666666666667</v>
      </c>
      <c r="N344" s="22">
        <v>16.403666666666666</v>
      </c>
      <c r="O344" s="22">
        <v>104.12666666666667</v>
      </c>
      <c r="P344" s="22">
        <v>14.849333333333334</v>
      </c>
      <c r="Q344" s="22">
        <v>53.25033333333334</v>
      </c>
      <c r="R344" s="22">
        <v>13.070666666666668</v>
      </c>
      <c r="S344" s="22"/>
      <c r="T344" s="22"/>
      <c r="U344" s="22"/>
      <c r="V344" s="22"/>
      <c r="W344" s="22"/>
      <c r="X344" s="22"/>
      <c r="Y344" s="22"/>
      <c r="Z344" s="22"/>
      <c r="AA344" s="22"/>
      <c r="AB344" s="22"/>
      <c r="AC344" s="22"/>
      <c r="AD344" s="22"/>
      <c r="AE344" s="22"/>
      <c r="AF344" s="22"/>
      <c r="AG344" s="22"/>
      <c r="AH344" s="22"/>
      <c r="AI344" s="22"/>
      <c r="AJ344" s="22"/>
      <c r="AK344" s="22"/>
      <c r="AL344" s="22"/>
    </row>
    <row r="345">
      <c r="A345" s="13" t="s">
        <v>20</v>
      </c>
      <c r="B345" s="13" t="s">
        <v>20</v>
      </c>
      <c r="C345" s="26">
        <v>45607.0</v>
      </c>
      <c r="D345" s="13" t="s">
        <v>24</v>
      </c>
      <c r="E345" s="13">
        <v>3.2</v>
      </c>
      <c r="F345" s="13" t="s">
        <v>22</v>
      </c>
      <c r="G345" s="13">
        <v>3.0</v>
      </c>
      <c r="H345" s="13" t="s">
        <v>26</v>
      </c>
      <c r="I345" s="23">
        <v>14.4698</v>
      </c>
      <c r="J345" s="23">
        <v>534.6013</v>
      </c>
      <c r="K345" s="23">
        <v>5.175</v>
      </c>
      <c r="L345" s="23">
        <v>0.058</v>
      </c>
      <c r="M345" s="22">
        <v>140.35999999999999</v>
      </c>
      <c r="N345" s="22">
        <v>20.736666666666665</v>
      </c>
      <c r="O345" s="22">
        <v>105.69</v>
      </c>
      <c r="P345" s="22">
        <v>21.294666666666668</v>
      </c>
      <c r="Q345" s="22">
        <v>54.76766666666666</v>
      </c>
      <c r="R345" s="22">
        <v>21.763666666666666</v>
      </c>
      <c r="S345" s="22"/>
      <c r="T345" s="22"/>
      <c r="U345" s="22"/>
      <c r="V345" s="22"/>
      <c r="W345" s="22"/>
      <c r="X345" s="22"/>
      <c r="Y345" s="22"/>
      <c r="Z345" s="22"/>
      <c r="AA345" s="22"/>
      <c r="AB345" s="22"/>
      <c r="AC345" s="22"/>
      <c r="AD345" s="22"/>
      <c r="AE345" s="22"/>
      <c r="AF345" s="22"/>
      <c r="AG345" s="22"/>
      <c r="AH345" s="22"/>
      <c r="AI345" s="22"/>
      <c r="AJ345" s="22"/>
      <c r="AK345" s="22"/>
      <c r="AL345" s="22"/>
    </row>
    <row r="346">
      <c r="A346" s="13" t="s">
        <v>20</v>
      </c>
      <c r="B346" s="13" t="s">
        <v>20</v>
      </c>
      <c r="C346" s="26">
        <v>45607.0</v>
      </c>
      <c r="D346" s="13" t="s">
        <v>24</v>
      </c>
      <c r="E346" s="13">
        <v>3.3</v>
      </c>
      <c r="F346" s="13" t="s">
        <v>22</v>
      </c>
      <c r="G346" s="13">
        <v>3.0</v>
      </c>
      <c r="H346" s="13" t="s">
        <v>26</v>
      </c>
      <c r="I346" s="23">
        <v>15.8733</v>
      </c>
      <c r="J346" s="23">
        <v>546.0013</v>
      </c>
      <c r="K346" s="23">
        <v>5.18</v>
      </c>
      <c r="L346" s="23">
        <v>0.034</v>
      </c>
      <c r="M346" s="22">
        <v>136.68433333333334</v>
      </c>
      <c r="N346" s="22">
        <v>19.533333333333335</v>
      </c>
      <c r="O346" s="22">
        <v>100.71733333333333</v>
      </c>
      <c r="P346" s="22">
        <v>19.89</v>
      </c>
      <c r="Q346" s="22">
        <v>48.26166666666666</v>
      </c>
      <c r="R346" s="22">
        <v>20.781666666666666</v>
      </c>
      <c r="S346" s="22"/>
      <c r="T346" s="22"/>
      <c r="U346" s="22"/>
      <c r="V346" s="22"/>
      <c r="W346" s="22"/>
      <c r="X346" s="22"/>
      <c r="Y346" s="22"/>
      <c r="Z346" s="22"/>
      <c r="AA346" s="22"/>
      <c r="AB346" s="22"/>
      <c r="AC346" s="22"/>
      <c r="AD346" s="22"/>
      <c r="AE346" s="22"/>
      <c r="AF346" s="22"/>
      <c r="AG346" s="22"/>
      <c r="AH346" s="22"/>
      <c r="AI346" s="22"/>
      <c r="AJ346" s="22"/>
      <c r="AK346" s="22"/>
      <c r="AL346" s="22"/>
    </row>
    <row r="347">
      <c r="A347" s="13" t="s">
        <v>20</v>
      </c>
      <c r="B347" s="13" t="s">
        <v>20</v>
      </c>
      <c r="C347" s="26">
        <v>45607.0</v>
      </c>
      <c r="D347" s="13" t="s">
        <v>24</v>
      </c>
      <c r="E347" s="13">
        <v>3.4</v>
      </c>
      <c r="F347" s="13" t="s">
        <v>22</v>
      </c>
      <c r="G347" s="13">
        <v>3.0</v>
      </c>
      <c r="H347" s="13" t="s">
        <v>26</v>
      </c>
      <c r="I347" s="23">
        <v>22.1801</v>
      </c>
      <c r="J347" s="23">
        <v>529.2218</v>
      </c>
      <c r="K347" s="23">
        <v>6.657</v>
      </c>
      <c r="L347" s="23">
        <v>0.12</v>
      </c>
      <c r="M347" s="22">
        <v>160.49433333333332</v>
      </c>
      <c r="N347" s="22">
        <v>32.446</v>
      </c>
      <c r="O347" s="22">
        <v>141.65566666666666</v>
      </c>
      <c r="P347" s="22">
        <v>30.53266666666667</v>
      </c>
      <c r="Q347" s="22">
        <v>97.39433333333334</v>
      </c>
      <c r="R347" s="22">
        <v>26.812</v>
      </c>
      <c r="S347" s="22"/>
      <c r="T347" s="22"/>
      <c r="U347" s="22"/>
      <c r="V347" s="22"/>
      <c r="W347" s="22"/>
      <c r="X347" s="22"/>
      <c r="Y347" s="22"/>
      <c r="Z347" s="22"/>
      <c r="AA347" s="22"/>
      <c r="AB347" s="22"/>
      <c r="AC347" s="22"/>
      <c r="AD347" s="22"/>
      <c r="AE347" s="22"/>
      <c r="AF347" s="22"/>
      <c r="AG347" s="22"/>
      <c r="AH347" s="22"/>
      <c r="AI347" s="22"/>
      <c r="AJ347" s="22"/>
      <c r="AK347" s="22"/>
      <c r="AL347" s="22"/>
    </row>
    <row r="348">
      <c r="A348" s="13" t="s">
        <v>20</v>
      </c>
      <c r="B348" s="13" t="s">
        <v>20</v>
      </c>
      <c r="C348" s="26">
        <v>45607.0</v>
      </c>
      <c r="D348" s="13" t="s">
        <v>25</v>
      </c>
      <c r="E348" s="13">
        <v>1.1</v>
      </c>
      <c r="F348" s="13" t="s">
        <v>22</v>
      </c>
      <c r="G348" s="13">
        <v>3.0</v>
      </c>
      <c r="H348" s="13" t="s">
        <v>26</v>
      </c>
      <c r="I348" s="23">
        <v>17.6316</v>
      </c>
      <c r="J348" s="23">
        <v>574.8614</v>
      </c>
      <c r="K348" s="23">
        <v>3.709</v>
      </c>
      <c r="L348" s="23">
        <v>0.011</v>
      </c>
      <c r="M348" s="22">
        <v>138.57833333333335</v>
      </c>
      <c r="N348" s="22">
        <v>33.30766666666667</v>
      </c>
      <c r="O348" s="22">
        <v>124.152</v>
      </c>
      <c r="P348" s="22">
        <v>33.584</v>
      </c>
      <c r="Q348" s="22">
        <v>72.82166666666667</v>
      </c>
      <c r="R348" s="22">
        <v>31.53333333333333</v>
      </c>
      <c r="S348" s="22"/>
      <c r="T348" s="22"/>
      <c r="U348" s="22"/>
      <c r="V348" s="22"/>
      <c r="W348" s="22"/>
      <c r="X348" s="22"/>
      <c r="Y348" s="22"/>
      <c r="Z348" s="22"/>
      <c r="AA348" s="22"/>
      <c r="AB348" s="22"/>
      <c r="AC348" s="22"/>
      <c r="AD348" s="22"/>
      <c r="AE348" s="22"/>
      <c r="AF348" s="22"/>
      <c r="AG348" s="22"/>
      <c r="AH348" s="22"/>
      <c r="AI348" s="22"/>
      <c r="AJ348" s="22"/>
      <c r="AK348" s="22"/>
      <c r="AL348" s="22"/>
    </row>
    <row r="349">
      <c r="A349" s="13" t="s">
        <v>20</v>
      </c>
      <c r="B349" s="13" t="s">
        <v>20</v>
      </c>
      <c r="C349" s="26">
        <v>45607.0</v>
      </c>
      <c r="D349" s="13" t="s">
        <v>25</v>
      </c>
      <c r="E349" s="13">
        <v>1.2</v>
      </c>
      <c r="F349" s="13" t="s">
        <v>22</v>
      </c>
      <c r="G349" s="13">
        <v>3.0</v>
      </c>
      <c r="H349" s="13" t="s">
        <v>26</v>
      </c>
      <c r="I349" s="23">
        <v>14.4651</v>
      </c>
      <c r="J349" s="23">
        <v>597.6048</v>
      </c>
      <c r="K349" s="23">
        <v>4.587</v>
      </c>
      <c r="L349" s="23">
        <v>0.084</v>
      </c>
      <c r="M349" s="22">
        <v>113.69066666666667</v>
      </c>
      <c r="N349" s="22">
        <v>39.09733333333333</v>
      </c>
      <c r="O349" s="22">
        <v>97.871</v>
      </c>
      <c r="P349" s="22">
        <v>39.86566666666667</v>
      </c>
      <c r="Q349" s="22">
        <v>57.782999999999994</v>
      </c>
      <c r="R349" s="22">
        <v>35.11366666666667</v>
      </c>
      <c r="S349" s="22"/>
      <c r="T349" s="22"/>
      <c r="U349" s="22"/>
      <c r="V349" s="22"/>
      <c r="W349" s="22"/>
      <c r="X349" s="22"/>
      <c r="Y349" s="22"/>
      <c r="Z349" s="22"/>
      <c r="AA349" s="22"/>
      <c r="AB349" s="22"/>
      <c r="AC349" s="22"/>
      <c r="AD349" s="22"/>
      <c r="AE349" s="22"/>
      <c r="AF349" s="22"/>
      <c r="AG349" s="22"/>
      <c r="AH349" s="22"/>
      <c r="AI349" s="22"/>
      <c r="AJ349" s="22"/>
      <c r="AK349" s="22"/>
      <c r="AL349" s="22"/>
    </row>
    <row r="350">
      <c r="A350" s="13" t="s">
        <v>20</v>
      </c>
      <c r="B350" s="13" t="s">
        <v>20</v>
      </c>
      <c r="C350" s="26">
        <v>45607.0</v>
      </c>
      <c r="D350" s="13" t="s">
        <v>25</v>
      </c>
      <c r="E350" s="13">
        <v>1.3</v>
      </c>
      <c r="F350" s="13" t="s">
        <v>22</v>
      </c>
      <c r="G350" s="13">
        <v>3.0</v>
      </c>
      <c r="H350" s="13" t="s">
        <v>26</v>
      </c>
      <c r="I350" s="23">
        <v>16.775</v>
      </c>
      <c r="J350" s="23">
        <v>576.02</v>
      </c>
      <c r="K350" s="23">
        <v>3.726</v>
      </c>
      <c r="L350" s="23">
        <v>0.033</v>
      </c>
      <c r="M350" s="22">
        <v>109.45633333333335</v>
      </c>
      <c r="N350" s="22">
        <v>35.04966666666667</v>
      </c>
      <c r="O350" s="22">
        <v>93.40233333333333</v>
      </c>
      <c r="P350" s="22">
        <v>34.833666666666666</v>
      </c>
      <c r="Q350" s="22">
        <v>52.439</v>
      </c>
      <c r="R350" s="22">
        <v>27.959</v>
      </c>
      <c r="S350" s="22"/>
      <c r="T350" s="22"/>
      <c r="U350" s="22"/>
      <c r="V350" s="22"/>
      <c r="W350" s="22"/>
      <c r="X350" s="22"/>
      <c r="Y350" s="22"/>
      <c r="Z350" s="22"/>
      <c r="AA350" s="22"/>
      <c r="AB350" s="22"/>
      <c r="AC350" s="22"/>
      <c r="AD350" s="22"/>
      <c r="AE350" s="22"/>
      <c r="AF350" s="22"/>
      <c r="AG350" s="22"/>
      <c r="AH350" s="22"/>
      <c r="AI350" s="22"/>
      <c r="AJ350" s="22"/>
      <c r="AK350" s="22"/>
      <c r="AL350" s="22"/>
    </row>
    <row r="351">
      <c r="A351" s="13" t="s">
        <v>20</v>
      </c>
      <c r="B351" s="13" t="s">
        <v>20</v>
      </c>
      <c r="C351" s="26">
        <v>45607.0</v>
      </c>
      <c r="D351" s="13" t="s">
        <v>25</v>
      </c>
      <c r="E351" s="13">
        <v>1.4</v>
      </c>
      <c r="F351" s="13" t="s">
        <v>22</v>
      </c>
      <c r="G351" s="13">
        <v>3.0</v>
      </c>
      <c r="H351" s="13" t="s">
        <v>26</v>
      </c>
      <c r="I351" s="23">
        <v>20.4944</v>
      </c>
      <c r="J351" s="23">
        <v>529.2218</v>
      </c>
      <c r="K351" s="23">
        <v>5.845</v>
      </c>
      <c r="L351" s="23">
        <v>0.06</v>
      </c>
      <c r="M351" s="22">
        <v>149.346</v>
      </c>
      <c r="N351" s="22">
        <v>26.185000000000002</v>
      </c>
      <c r="O351" s="22">
        <v>131.88133333333334</v>
      </c>
      <c r="P351" s="22">
        <v>26.180333333333333</v>
      </c>
      <c r="Q351" s="22">
        <v>98.84233333333333</v>
      </c>
      <c r="R351" s="22">
        <v>24.775333333333336</v>
      </c>
      <c r="S351" s="22"/>
      <c r="T351" s="22"/>
      <c r="U351" s="22"/>
      <c r="V351" s="22"/>
      <c r="W351" s="22"/>
      <c r="X351" s="22"/>
      <c r="Y351" s="22"/>
      <c r="Z351" s="22"/>
      <c r="AA351" s="22"/>
      <c r="AB351" s="22"/>
      <c r="AC351" s="22"/>
      <c r="AD351" s="22"/>
      <c r="AE351" s="22"/>
      <c r="AF351" s="22"/>
      <c r="AG351" s="22"/>
      <c r="AH351" s="22"/>
      <c r="AI351" s="22"/>
      <c r="AJ351" s="22"/>
      <c r="AK351" s="22"/>
      <c r="AL351" s="22"/>
    </row>
    <row r="352">
      <c r="A352" s="13" t="s">
        <v>20</v>
      </c>
      <c r="B352" s="13" t="s">
        <v>20</v>
      </c>
      <c r="C352" s="26">
        <v>45607.0</v>
      </c>
      <c r="D352" s="13" t="s">
        <v>25</v>
      </c>
      <c r="E352" s="13">
        <v>2.1</v>
      </c>
      <c r="F352" s="13" t="s">
        <v>22</v>
      </c>
      <c r="G352" s="13">
        <v>3.0</v>
      </c>
      <c r="H352" s="13" t="s">
        <v>26</v>
      </c>
      <c r="I352" s="23">
        <v>19.7462</v>
      </c>
      <c r="J352" s="23">
        <v>530.4054</v>
      </c>
      <c r="K352" s="23">
        <v>5.598</v>
      </c>
      <c r="L352" s="23">
        <v>0.04</v>
      </c>
      <c r="M352" s="22">
        <v>139.63333333333335</v>
      </c>
      <c r="N352" s="22">
        <v>22.981666666666666</v>
      </c>
      <c r="O352" s="22">
        <v>123.38433333333332</v>
      </c>
      <c r="P352" s="22">
        <v>22.715333333333334</v>
      </c>
      <c r="Q352" s="22">
        <v>81.09033333333333</v>
      </c>
      <c r="R352" s="22">
        <v>20.297</v>
      </c>
      <c r="S352" s="22"/>
      <c r="T352" s="22"/>
      <c r="U352" s="22"/>
      <c r="V352" s="22"/>
      <c r="W352" s="22"/>
      <c r="X352" s="22"/>
      <c r="Y352" s="22"/>
      <c r="Z352" s="22"/>
      <c r="AA352" s="22"/>
      <c r="AB352" s="22"/>
      <c r="AC352" s="22"/>
      <c r="AD352" s="22"/>
      <c r="AE352" s="22"/>
      <c r="AF352" s="22"/>
      <c r="AG352" s="22"/>
      <c r="AH352" s="22"/>
      <c r="AI352" s="22"/>
      <c r="AJ352" s="22"/>
      <c r="AK352" s="22"/>
      <c r="AL352" s="22"/>
    </row>
    <row r="353">
      <c r="A353" s="13" t="s">
        <v>20</v>
      </c>
      <c r="B353" s="13" t="s">
        <v>20</v>
      </c>
      <c r="C353" s="26">
        <v>45607.0</v>
      </c>
      <c r="D353" s="13" t="s">
        <v>25</v>
      </c>
      <c r="E353" s="13">
        <v>2.2</v>
      </c>
      <c r="F353" s="13" t="s">
        <v>22</v>
      </c>
      <c r="G353" s="13">
        <v>3.0</v>
      </c>
      <c r="H353" s="13" t="s">
        <v>26</v>
      </c>
      <c r="I353" s="23">
        <v>23.1203</v>
      </c>
      <c r="J353" s="23">
        <v>565.2051</v>
      </c>
      <c r="K353" s="23">
        <v>6.49</v>
      </c>
      <c r="L353" s="23">
        <v>0.055</v>
      </c>
      <c r="M353" s="22">
        <v>138.962</v>
      </c>
      <c r="N353" s="22">
        <v>38.34733333333333</v>
      </c>
      <c r="O353" s="22">
        <v>122.12566666666667</v>
      </c>
      <c r="P353" s="22">
        <v>38.11033333333334</v>
      </c>
      <c r="Q353" s="22">
        <v>77.08999999999999</v>
      </c>
      <c r="R353" s="22">
        <v>34.76133333333333</v>
      </c>
      <c r="S353" s="22"/>
      <c r="T353" s="22"/>
      <c r="U353" s="22"/>
      <c r="V353" s="22"/>
      <c r="W353" s="22"/>
      <c r="X353" s="22"/>
      <c r="Y353" s="22"/>
      <c r="Z353" s="22"/>
      <c r="AA353" s="22"/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</row>
    <row r="354">
      <c r="A354" s="13" t="s">
        <v>20</v>
      </c>
      <c r="B354" s="13" t="s">
        <v>20</v>
      </c>
      <c r="C354" s="26">
        <v>45607.0</v>
      </c>
      <c r="D354" s="13" t="s">
        <v>25</v>
      </c>
      <c r="E354" s="13">
        <v>2.3</v>
      </c>
      <c r="F354" s="13" t="s">
        <v>22</v>
      </c>
      <c r="G354" s="13">
        <v>3.0</v>
      </c>
      <c r="H354" s="13" t="s">
        <v>26</v>
      </c>
      <c r="I354" s="23">
        <v>16.4772</v>
      </c>
      <c r="J354" s="23">
        <v>436.0929</v>
      </c>
      <c r="K354" s="23">
        <v>7.961</v>
      </c>
      <c r="L354" s="23">
        <v>0.01</v>
      </c>
      <c r="M354" s="22">
        <v>152.9656666666667</v>
      </c>
      <c r="N354" s="22">
        <v>26.064666666666668</v>
      </c>
      <c r="O354" s="22">
        <v>132.87</v>
      </c>
      <c r="P354" s="22">
        <v>27.273666666666667</v>
      </c>
      <c r="Q354" s="22">
        <v>79.24666666666666</v>
      </c>
      <c r="R354" s="22">
        <v>27.100000000000005</v>
      </c>
      <c r="S354" s="22"/>
      <c r="T354" s="22"/>
      <c r="U354" s="22"/>
      <c r="V354" s="22"/>
      <c r="W354" s="22"/>
      <c r="X354" s="22"/>
      <c r="Y354" s="22"/>
      <c r="Z354" s="22"/>
      <c r="AA354" s="22"/>
      <c r="AB354" s="22"/>
      <c r="AC354" s="22"/>
      <c r="AD354" s="22"/>
      <c r="AE354" s="22"/>
      <c r="AF354" s="22"/>
      <c r="AG354" s="22"/>
      <c r="AH354" s="22"/>
      <c r="AI354" s="22"/>
      <c r="AJ354" s="22"/>
      <c r="AK354" s="22"/>
      <c r="AL354" s="22"/>
    </row>
    <row r="355">
      <c r="A355" s="13" t="s">
        <v>20</v>
      </c>
      <c r="B355" s="13" t="s">
        <v>20</v>
      </c>
      <c r="C355" s="26">
        <v>45607.0</v>
      </c>
      <c r="D355" s="13" t="s">
        <v>25</v>
      </c>
      <c r="E355" s="13">
        <v>2.4</v>
      </c>
      <c r="F355" s="13" t="s">
        <v>22</v>
      </c>
      <c r="G355" s="13">
        <v>3.0</v>
      </c>
      <c r="H355" s="13" t="s">
        <v>26</v>
      </c>
      <c r="I355" s="23">
        <v>18.617</v>
      </c>
      <c r="J355" s="23">
        <v>550.9307</v>
      </c>
      <c r="K355" s="23">
        <v>4.511</v>
      </c>
      <c r="L355" s="23">
        <v>0.062</v>
      </c>
      <c r="M355" s="22">
        <v>146.534</v>
      </c>
      <c r="N355" s="22">
        <v>25.060000000000002</v>
      </c>
      <c r="O355" s="22">
        <v>128.74533333333332</v>
      </c>
      <c r="P355" s="22">
        <v>25.524333333333335</v>
      </c>
      <c r="Q355" s="22">
        <v>97.44833333333332</v>
      </c>
      <c r="R355" s="22">
        <v>25.273666666666667</v>
      </c>
      <c r="S355" s="22"/>
      <c r="T355" s="22"/>
      <c r="U355" s="22"/>
      <c r="V355" s="22"/>
      <c r="W355" s="22"/>
      <c r="X355" s="22"/>
      <c r="Y355" s="22"/>
      <c r="Z355" s="22"/>
      <c r="AA355" s="22"/>
      <c r="AB355" s="22"/>
      <c r="AC355" s="22"/>
      <c r="AD355" s="22"/>
      <c r="AE355" s="22"/>
      <c r="AF355" s="22"/>
      <c r="AG355" s="22"/>
      <c r="AH355" s="22"/>
      <c r="AI355" s="22"/>
      <c r="AJ355" s="22"/>
      <c r="AK355" s="22"/>
      <c r="AL355" s="22"/>
    </row>
    <row r="356">
      <c r="A356" s="13" t="s">
        <v>20</v>
      </c>
      <c r="B356" s="13" t="s">
        <v>20</v>
      </c>
      <c r="C356" s="26">
        <v>45607.0</v>
      </c>
      <c r="D356" s="13" t="s">
        <v>25</v>
      </c>
      <c r="E356" s="13">
        <v>3.1</v>
      </c>
      <c r="F356" s="13" t="s">
        <v>22</v>
      </c>
      <c r="G356" s="13">
        <v>3.0</v>
      </c>
      <c r="H356" s="13" t="s">
        <v>26</v>
      </c>
      <c r="I356" s="23">
        <v>18.3751</v>
      </c>
      <c r="J356" s="23">
        <v>585.6111</v>
      </c>
      <c r="K356" s="23">
        <v>3.76</v>
      </c>
      <c r="L356" s="23">
        <v>0.042</v>
      </c>
      <c r="M356" s="22">
        <v>129.66766666666663</v>
      </c>
      <c r="N356" s="22">
        <v>27.542666666666666</v>
      </c>
      <c r="O356" s="22">
        <v>114.67900000000002</v>
      </c>
      <c r="P356" s="22">
        <v>28.214333333333332</v>
      </c>
      <c r="Q356" s="22">
        <v>76.52533333333334</v>
      </c>
      <c r="R356" s="22">
        <v>26.727999999999998</v>
      </c>
      <c r="S356" s="22"/>
      <c r="T356" s="22"/>
      <c r="U356" s="22"/>
      <c r="V356" s="22"/>
      <c r="W356" s="22"/>
      <c r="X356" s="22"/>
      <c r="Y356" s="22"/>
      <c r="Z356" s="22"/>
      <c r="AA356" s="22"/>
      <c r="AB356" s="22"/>
      <c r="AC356" s="22"/>
      <c r="AD356" s="22"/>
      <c r="AE356" s="22"/>
      <c r="AF356" s="22"/>
      <c r="AG356" s="22"/>
      <c r="AH356" s="22"/>
      <c r="AI356" s="22"/>
      <c r="AJ356" s="22"/>
      <c r="AK356" s="22"/>
      <c r="AL356" s="22"/>
    </row>
    <row r="357">
      <c r="A357" s="13" t="s">
        <v>20</v>
      </c>
      <c r="B357" s="13" t="s">
        <v>20</v>
      </c>
      <c r="C357" s="26">
        <v>45607.0</v>
      </c>
      <c r="D357" s="13" t="s">
        <v>25</v>
      </c>
      <c r="E357" s="13">
        <v>3.2</v>
      </c>
      <c r="F357" s="13" t="s">
        <v>22</v>
      </c>
      <c r="G357" s="13">
        <v>3.0</v>
      </c>
      <c r="H357" s="13" t="s">
        <v>26</v>
      </c>
      <c r="I357" s="23">
        <v>18.5689</v>
      </c>
      <c r="J357" s="23">
        <v>568.8051</v>
      </c>
      <c r="K357" s="23">
        <v>4.201</v>
      </c>
      <c r="L357" s="23">
        <v>0.016</v>
      </c>
      <c r="M357" s="22">
        <v>140.978</v>
      </c>
      <c r="N357" s="22">
        <v>31.798666666666662</v>
      </c>
      <c r="O357" s="22">
        <v>122.73766666666666</v>
      </c>
      <c r="P357" s="22">
        <v>33.14833333333333</v>
      </c>
      <c r="Q357" s="22">
        <v>74.63166666666666</v>
      </c>
      <c r="R357" s="22">
        <v>33.28733333333333</v>
      </c>
      <c r="S357" s="22"/>
      <c r="T357" s="22"/>
      <c r="U357" s="22"/>
      <c r="V357" s="22"/>
      <c r="W357" s="22"/>
      <c r="X357" s="22"/>
      <c r="Y357" s="22"/>
      <c r="Z357" s="22"/>
      <c r="AA357" s="22"/>
      <c r="AB357" s="22"/>
      <c r="AC357" s="22"/>
      <c r="AD357" s="22"/>
      <c r="AE357" s="22"/>
      <c r="AF357" s="22"/>
      <c r="AG357" s="22"/>
      <c r="AH357" s="22"/>
      <c r="AI357" s="22"/>
      <c r="AJ357" s="22"/>
      <c r="AK357" s="22"/>
      <c r="AL357" s="22"/>
    </row>
    <row r="358">
      <c r="A358" s="13" t="s">
        <v>20</v>
      </c>
      <c r="B358" s="13" t="s">
        <v>20</v>
      </c>
      <c r="C358" s="26">
        <v>45607.0</v>
      </c>
      <c r="D358" s="13" t="s">
        <v>25</v>
      </c>
      <c r="E358" s="13">
        <v>3.3</v>
      </c>
      <c r="F358" s="13" t="s">
        <v>22</v>
      </c>
      <c r="G358" s="13">
        <v>3.0</v>
      </c>
      <c r="H358" s="13" t="s">
        <v>26</v>
      </c>
      <c r="I358" s="23">
        <v>15.3565</v>
      </c>
      <c r="J358" s="23">
        <v>535.2484</v>
      </c>
      <c r="K358" s="23">
        <v>4.418</v>
      </c>
      <c r="L358" s="23">
        <v>0.058</v>
      </c>
      <c r="M358" s="22">
        <v>146.31766666666667</v>
      </c>
      <c r="N358" s="22">
        <v>25.645333333333337</v>
      </c>
      <c r="O358" s="22">
        <v>124.697</v>
      </c>
      <c r="P358" s="22">
        <v>27.432666666666666</v>
      </c>
      <c r="Q358" s="22">
        <v>70.85733333333333</v>
      </c>
      <c r="R358" s="22">
        <v>28.991333333333333</v>
      </c>
      <c r="S358" s="22"/>
      <c r="T358" s="22"/>
      <c r="U358" s="22"/>
      <c r="V358" s="22"/>
      <c r="W358" s="22"/>
      <c r="X358" s="22"/>
      <c r="Y358" s="22"/>
      <c r="Z358" s="22"/>
      <c r="AA358" s="22"/>
      <c r="AB358" s="22"/>
      <c r="AC358" s="22"/>
      <c r="AD358" s="22"/>
      <c r="AE358" s="22"/>
      <c r="AF358" s="22"/>
      <c r="AG358" s="22"/>
      <c r="AH358" s="22"/>
      <c r="AI358" s="22"/>
      <c r="AJ358" s="22"/>
      <c r="AK358" s="22"/>
      <c r="AL358" s="22"/>
    </row>
    <row r="359">
      <c r="A359" s="13" t="s">
        <v>20</v>
      </c>
      <c r="B359" s="13" t="s">
        <v>20</v>
      </c>
      <c r="C359" s="26">
        <v>45607.0</v>
      </c>
      <c r="D359" s="13" t="s">
        <v>25</v>
      </c>
      <c r="E359" s="13">
        <v>3.4</v>
      </c>
      <c r="F359" s="13" t="s">
        <v>22</v>
      </c>
      <c r="G359" s="13">
        <v>3.0</v>
      </c>
      <c r="H359" s="13" t="s">
        <v>26</v>
      </c>
      <c r="I359" s="23">
        <v>18.308</v>
      </c>
      <c r="J359" s="23">
        <v>525.6123</v>
      </c>
      <c r="K359" s="23">
        <v>5.585</v>
      </c>
      <c r="L359" s="23">
        <v>0.074</v>
      </c>
      <c r="M359" s="22">
        <v>138.918</v>
      </c>
      <c r="N359" s="22">
        <v>24.850333333333335</v>
      </c>
      <c r="O359" s="22">
        <v>119.39433333333334</v>
      </c>
      <c r="P359" s="22">
        <v>25.357666666666663</v>
      </c>
      <c r="Q359" s="22">
        <v>86.18700000000001</v>
      </c>
      <c r="R359" s="22">
        <v>24.109333333333336</v>
      </c>
      <c r="S359" s="22"/>
      <c r="T359" s="22"/>
      <c r="U359" s="22"/>
      <c r="V359" s="22"/>
      <c r="W359" s="22"/>
      <c r="X359" s="22"/>
      <c r="Y359" s="22"/>
      <c r="Z359" s="22"/>
      <c r="AA359" s="22"/>
      <c r="AB359" s="22"/>
      <c r="AC359" s="22"/>
      <c r="AD359" s="22"/>
      <c r="AE359" s="22"/>
      <c r="AF359" s="22"/>
      <c r="AG359" s="22"/>
      <c r="AH359" s="22"/>
      <c r="AI359" s="22"/>
      <c r="AJ359" s="22"/>
      <c r="AK359" s="22"/>
      <c r="AL359" s="22"/>
    </row>
    <row r="360">
      <c r="A360" s="13" t="s">
        <v>20</v>
      </c>
      <c r="B360" s="13" t="s">
        <v>20</v>
      </c>
      <c r="C360" s="26">
        <v>45691.0</v>
      </c>
      <c r="D360" s="13" t="s">
        <v>21</v>
      </c>
      <c r="E360" s="13">
        <v>10.1</v>
      </c>
      <c r="F360" s="13" t="s">
        <v>27</v>
      </c>
      <c r="G360" s="13">
        <v>3.0</v>
      </c>
      <c r="H360" s="13" t="s">
        <v>23</v>
      </c>
      <c r="I360" s="23">
        <v>18.0029</v>
      </c>
      <c r="J360" s="23">
        <v>507.6511</v>
      </c>
      <c r="K360" s="23">
        <v>3.383</v>
      </c>
      <c r="L360" s="23">
        <v>0.032</v>
      </c>
      <c r="M360" s="22">
        <v>141.41600000000003</v>
      </c>
      <c r="N360" s="22">
        <v>28.563333333333333</v>
      </c>
      <c r="O360" s="22">
        <v>117.653</v>
      </c>
      <c r="P360" s="22">
        <v>25.827333333333332</v>
      </c>
      <c r="Q360" s="22">
        <v>76.76133333333333</v>
      </c>
      <c r="R360" s="22">
        <v>23.319999999999997</v>
      </c>
      <c r="S360" s="22"/>
      <c r="T360" s="22"/>
      <c r="U360" s="22"/>
      <c r="V360" s="22"/>
      <c r="W360" s="22"/>
      <c r="X360" s="22"/>
      <c r="Y360" s="22"/>
      <c r="Z360" s="22"/>
      <c r="AA360" s="22"/>
      <c r="AB360" s="22"/>
      <c r="AC360" s="22"/>
      <c r="AD360" s="22"/>
      <c r="AE360" s="22"/>
      <c r="AF360" s="22"/>
      <c r="AG360" s="22"/>
      <c r="AH360" s="22"/>
      <c r="AI360" s="22"/>
      <c r="AJ360" s="22"/>
      <c r="AK360" s="22"/>
      <c r="AL360" s="22"/>
    </row>
    <row r="361">
      <c r="A361" s="13" t="s">
        <v>20</v>
      </c>
      <c r="B361" s="13" t="s">
        <v>20</v>
      </c>
      <c r="C361" s="26">
        <v>45691.0</v>
      </c>
      <c r="D361" s="13" t="s">
        <v>21</v>
      </c>
      <c r="E361" s="13">
        <v>10.2</v>
      </c>
      <c r="F361" s="13" t="s">
        <v>27</v>
      </c>
      <c r="G361" s="13">
        <v>3.0</v>
      </c>
      <c r="H361" s="13" t="s">
        <v>23</v>
      </c>
      <c r="I361" s="23">
        <v>16.4246</v>
      </c>
      <c r="J361" s="23">
        <v>498.013</v>
      </c>
      <c r="K361" s="23">
        <v>3.588</v>
      </c>
      <c r="L361" s="23">
        <v>0.041</v>
      </c>
      <c r="M361" s="22">
        <v>156.246</v>
      </c>
      <c r="N361" s="22">
        <v>28.383</v>
      </c>
      <c r="O361" s="22">
        <v>130.68033333333335</v>
      </c>
      <c r="P361" s="22">
        <v>27.702333333333332</v>
      </c>
      <c r="Q361" s="22">
        <v>85.65766666666667</v>
      </c>
      <c r="R361" s="22">
        <v>27.346</v>
      </c>
      <c r="S361" s="22"/>
      <c r="T361" s="22"/>
      <c r="U361" s="22"/>
      <c r="V361" s="22"/>
      <c r="W361" s="22"/>
      <c r="X361" s="22"/>
      <c r="Y361" s="22"/>
      <c r="Z361" s="22"/>
      <c r="AA361" s="22"/>
      <c r="AB361" s="22"/>
      <c r="AC361" s="22"/>
      <c r="AD361" s="22"/>
      <c r="AE361" s="22"/>
      <c r="AF361" s="22"/>
      <c r="AG361" s="22"/>
      <c r="AH361" s="22"/>
      <c r="AI361" s="22"/>
      <c r="AJ361" s="22"/>
      <c r="AK361" s="22"/>
      <c r="AL361" s="22"/>
    </row>
    <row r="362">
      <c r="A362" s="13" t="s">
        <v>20</v>
      </c>
      <c r="B362" s="13" t="s">
        <v>20</v>
      </c>
      <c r="C362" s="26">
        <v>45691.0</v>
      </c>
      <c r="D362" s="13" t="s">
        <v>21</v>
      </c>
      <c r="E362" s="13">
        <v>10.3</v>
      </c>
      <c r="F362" s="13" t="s">
        <v>27</v>
      </c>
      <c r="G362" s="13">
        <v>3.0</v>
      </c>
      <c r="H362" s="13" t="s">
        <v>23</v>
      </c>
      <c r="I362" s="23">
        <v>16.4622</v>
      </c>
      <c r="J362" s="23">
        <v>499.213</v>
      </c>
      <c r="K362" s="23">
        <v>3.51</v>
      </c>
      <c r="L362" s="23">
        <v>0.047</v>
      </c>
      <c r="M362" s="22">
        <v>133.71033333333332</v>
      </c>
      <c r="N362" s="22">
        <v>26.076333333333334</v>
      </c>
      <c r="O362" s="22">
        <v>113.44666666666667</v>
      </c>
      <c r="P362" s="22">
        <v>24.346</v>
      </c>
      <c r="Q362" s="22">
        <v>81.57866666666666</v>
      </c>
      <c r="R362" s="22">
        <v>25.804666666666666</v>
      </c>
      <c r="S362" s="22"/>
      <c r="T362" s="22"/>
      <c r="U362" s="22"/>
      <c r="V362" s="22"/>
      <c r="W362" s="22"/>
      <c r="X362" s="22"/>
      <c r="Y362" s="22"/>
      <c r="Z362" s="22"/>
      <c r="AA362" s="22"/>
      <c r="AB362" s="22"/>
      <c r="AC362" s="22"/>
      <c r="AD362" s="22"/>
      <c r="AE362" s="22"/>
      <c r="AF362" s="22"/>
      <c r="AG362" s="22"/>
      <c r="AH362" s="22"/>
      <c r="AI362" s="22"/>
      <c r="AJ362" s="22"/>
      <c r="AK362" s="22"/>
      <c r="AL362" s="22"/>
    </row>
    <row r="363">
      <c r="A363" s="13" t="s">
        <v>20</v>
      </c>
      <c r="B363" s="13" t="s">
        <v>20</v>
      </c>
      <c r="C363" s="26">
        <v>45691.0</v>
      </c>
      <c r="D363" s="13" t="s">
        <v>21</v>
      </c>
      <c r="E363" s="13">
        <v>10.4</v>
      </c>
      <c r="F363" s="13" t="s">
        <v>27</v>
      </c>
      <c r="G363" s="13">
        <v>3.0</v>
      </c>
      <c r="H363" s="13" t="s">
        <v>23</v>
      </c>
      <c r="I363" s="23">
        <v>19.4405</v>
      </c>
      <c r="J363" s="23">
        <v>494.4015</v>
      </c>
      <c r="K363" s="23">
        <v>3.449</v>
      </c>
      <c r="L363" s="23">
        <v>0.018</v>
      </c>
      <c r="M363" s="22">
        <v>101.97566666666667</v>
      </c>
      <c r="N363" s="22">
        <v>21.853333333333335</v>
      </c>
      <c r="O363" s="22">
        <v>131.72266666666667</v>
      </c>
      <c r="P363" s="22">
        <v>31.108000000000004</v>
      </c>
      <c r="Q363" s="22">
        <v>94.57433333333334</v>
      </c>
      <c r="R363" s="22">
        <v>29.80633333333333</v>
      </c>
      <c r="S363" s="22"/>
      <c r="T363" s="22"/>
      <c r="U363" s="22"/>
      <c r="V363" s="22"/>
      <c r="W363" s="22"/>
      <c r="X363" s="22"/>
      <c r="Y363" s="22"/>
      <c r="Z363" s="22"/>
      <c r="AA363" s="22"/>
      <c r="AB363" s="22"/>
      <c r="AC363" s="22"/>
      <c r="AD363" s="22"/>
      <c r="AE363" s="22"/>
      <c r="AF363" s="22"/>
      <c r="AG363" s="22"/>
      <c r="AH363" s="22"/>
      <c r="AI363" s="22"/>
      <c r="AJ363" s="22"/>
      <c r="AK363" s="22"/>
      <c r="AL363" s="22"/>
    </row>
    <row r="364">
      <c r="A364" s="13" t="s">
        <v>20</v>
      </c>
      <c r="B364" s="13" t="s">
        <v>20</v>
      </c>
      <c r="C364" s="26">
        <v>45691.0</v>
      </c>
      <c r="D364" s="13" t="s">
        <v>21</v>
      </c>
      <c r="E364" s="13">
        <v>11.1</v>
      </c>
      <c r="F364" s="13" t="s">
        <v>27</v>
      </c>
      <c r="G364" s="13">
        <v>3.0</v>
      </c>
      <c r="H364" s="13" t="s">
        <v>23</v>
      </c>
      <c r="I364" s="23">
        <v>17.885</v>
      </c>
      <c r="J364" s="23">
        <v>508.8354</v>
      </c>
      <c r="K364" s="23">
        <v>4.112</v>
      </c>
      <c r="L364" s="23">
        <v>0.008</v>
      </c>
      <c r="M364" s="22">
        <v>151.21</v>
      </c>
      <c r="N364" s="22">
        <v>32.083999999999996</v>
      </c>
      <c r="O364" s="22">
        <v>119.98133333333332</v>
      </c>
      <c r="P364" s="22">
        <v>30.621</v>
      </c>
      <c r="Q364" s="22">
        <v>80.40333333333332</v>
      </c>
      <c r="R364" s="22">
        <v>26.476333333333333</v>
      </c>
      <c r="S364" s="22"/>
      <c r="T364" s="22"/>
      <c r="U364" s="22"/>
      <c r="V364" s="22"/>
      <c r="W364" s="22"/>
      <c r="X364" s="22"/>
      <c r="Y364" s="22"/>
      <c r="Z364" s="22"/>
      <c r="AA364" s="22"/>
      <c r="AB364" s="22"/>
      <c r="AC364" s="22"/>
      <c r="AD364" s="22"/>
      <c r="AE364" s="22"/>
      <c r="AF364" s="22"/>
      <c r="AG364" s="22"/>
      <c r="AH364" s="22"/>
      <c r="AI364" s="22"/>
      <c r="AJ364" s="22"/>
      <c r="AK364" s="22"/>
      <c r="AL364" s="22"/>
    </row>
    <row r="365">
      <c r="A365" s="13" t="s">
        <v>20</v>
      </c>
      <c r="B365" s="13" t="s">
        <v>20</v>
      </c>
      <c r="C365" s="26">
        <v>45691.0</v>
      </c>
      <c r="D365" s="13" t="s">
        <v>21</v>
      </c>
      <c r="E365" s="13">
        <v>11.2</v>
      </c>
      <c r="F365" s="13" t="s">
        <v>27</v>
      </c>
      <c r="G365" s="13">
        <v>3.0</v>
      </c>
      <c r="H365" s="13" t="s">
        <v>23</v>
      </c>
      <c r="I365" s="23">
        <v>21.518</v>
      </c>
      <c r="J365" s="23">
        <v>488.4369</v>
      </c>
      <c r="K365" s="23">
        <v>4.848</v>
      </c>
      <c r="L365" s="23">
        <v>0.025</v>
      </c>
      <c r="M365" s="22">
        <v>163.30966666666666</v>
      </c>
      <c r="N365" s="22">
        <v>26.709666666666667</v>
      </c>
      <c r="O365" s="22">
        <v>125.12700000000001</v>
      </c>
      <c r="P365" s="22">
        <v>25.529666666666667</v>
      </c>
      <c r="Q365" s="22">
        <v>65.149</v>
      </c>
      <c r="R365" s="22">
        <v>24.80666666666667</v>
      </c>
      <c r="S365" s="22"/>
      <c r="T365" s="22"/>
      <c r="U365" s="22"/>
      <c r="V365" s="22"/>
      <c r="W365" s="22"/>
      <c r="X365" s="22"/>
      <c r="Y365" s="22"/>
      <c r="Z365" s="22"/>
      <c r="AA365" s="22"/>
      <c r="AB365" s="22"/>
      <c r="AC365" s="22"/>
      <c r="AD365" s="22"/>
      <c r="AE365" s="22"/>
      <c r="AF365" s="22"/>
      <c r="AG365" s="22"/>
      <c r="AH365" s="22"/>
      <c r="AI365" s="22"/>
      <c r="AJ365" s="22"/>
      <c r="AK365" s="22"/>
      <c r="AL365" s="22"/>
    </row>
    <row r="366">
      <c r="A366" s="13" t="s">
        <v>20</v>
      </c>
      <c r="B366" s="13" t="s">
        <v>20</v>
      </c>
      <c r="C366" s="26">
        <v>45691.0</v>
      </c>
      <c r="D366" s="13" t="s">
        <v>21</v>
      </c>
      <c r="E366" s="13">
        <v>11.3</v>
      </c>
      <c r="F366" s="13" t="s">
        <v>27</v>
      </c>
      <c r="G366" s="13">
        <v>3.0</v>
      </c>
      <c r="H366" s="13" t="s">
        <v>23</v>
      </c>
      <c r="I366" s="23">
        <v>20.0739</v>
      </c>
      <c r="J366" s="23">
        <v>504.0914</v>
      </c>
      <c r="K366" s="23">
        <v>5.462</v>
      </c>
      <c r="L366" s="23">
        <v>0.027</v>
      </c>
      <c r="M366" s="22">
        <v>162.192</v>
      </c>
      <c r="N366" s="22">
        <v>30.956333333333333</v>
      </c>
      <c r="O366" s="22">
        <v>129.54933333333335</v>
      </c>
      <c r="P366" s="22">
        <v>30.10166666666667</v>
      </c>
      <c r="Q366" s="22">
        <v>86.59733333333334</v>
      </c>
      <c r="R366" s="22">
        <v>28.086000000000002</v>
      </c>
      <c r="S366" s="22"/>
      <c r="T366" s="22"/>
      <c r="U366" s="22"/>
      <c r="V366" s="22"/>
      <c r="W366" s="22"/>
      <c r="X366" s="22"/>
      <c r="Y366" s="22"/>
      <c r="Z366" s="22"/>
      <c r="AA366" s="22"/>
      <c r="AB366" s="22"/>
      <c r="AC366" s="22"/>
      <c r="AD366" s="22"/>
      <c r="AE366" s="22"/>
      <c r="AF366" s="22"/>
      <c r="AG366" s="22"/>
      <c r="AH366" s="22"/>
      <c r="AI366" s="22"/>
      <c r="AJ366" s="22"/>
      <c r="AK366" s="22"/>
      <c r="AL366" s="22"/>
    </row>
    <row r="367">
      <c r="A367" s="13" t="s">
        <v>20</v>
      </c>
      <c r="B367" s="13" t="s">
        <v>20</v>
      </c>
      <c r="C367" s="26">
        <v>45691.0</v>
      </c>
      <c r="D367" s="13" t="s">
        <v>21</v>
      </c>
      <c r="E367" s="13">
        <v>11.4</v>
      </c>
      <c r="F367" s="13" t="s">
        <v>27</v>
      </c>
      <c r="G367" s="13">
        <v>3.0</v>
      </c>
      <c r="H367" s="13" t="s">
        <v>23</v>
      </c>
      <c r="I367" s="23">
        <v>17.1184</v>
      </c>
      <c r="J367" s="23">
        <v>512.4056</v>
      </c>
      <c r="K367" s="23">
        <v>2.936</v>
      </c>
      <c r="L367" s="23">
        <v>0.035</v>
      </c>
      <c r="M367" s="22">
        <v>165.67866666666666</v>
      </c>
      <c r="N367" s="22">
        <v>35.98433333333333</v>
      </c>
      <c r="O367" s="22">
        <v>134.73533333333333</v>
      </c>
      <c r="P367" s="22">
        <v>32.285333333333334</v>
      </c>
      <c r="Q367" s="22">
        <v>84.01266666666668</v>
      </c>
      <c r="R367" s="22">
        <v>26.85966666666667</v>
      </c>
      <c r="S367" s="22"/>
      <c r="T367" s="22"/>
      <c r="U367" s="22"/>
      <c r="V367" s="22"/>
      <c r="W367" s="22"/>
      <c r="X367" s="22"/>
      <c r="Y367" s="22"/>
      <c r="Z367" s="22"/>
      <c r="AA367" s="22"/>
      <c r="AB367" s="22"/>
      <c r="AC367" s="22"/>
      <c r="AD367" s="22"/>
      <c r="AE367" s="22"/>
      <c r="AF367" s="22"/>
      <c r="AG367" s="22"/>
      <c r="AH367" s="22"/>
      <c r="AI367" s="22"/>
      <c r="AJ367" s="22"/>
      <c r="AK367" s="22"/>
      <c r="AL367" s="22"/>
    </row>
    <row r="368">
      <c r="A368" s="13" t="s">
        <v>20</v>
      </c>
      <c r="B368" s="13" t="s">
        <v>20</v>
      </c>
      <c r="C368" s="26">
        <v>45691.0</v>
      </c>
      <c r="D368" s="13" t="s">
        <v>21</v>
      </c>
      <c r="E368" s="13">
        <v>12.1</v>
      </c>
      <c r="F368" s="13" t="s">
        <v>27</v>
      </c>
      <c r="G368" s="13">
        <v>3.0</v>
      </c>
      <c r="H368" s="13" t="s">
        <v>23</v>
      </c>
      <c r="I368" s="23">
        <v>17.2872</v>
      </c>
      <c r="J368" s="23">
        <v>504.0</v>
      </c>
      <c r="K368" s="23">
        <v>3.104</v>
      </c>
      <c r="L368" s="23">
        <v>0.064</v>
      </c>
      <c r="M368" s="22">
        <v>161.79033333333334</v>
      </c>
      <c r="N368" s="22">
        <v>30.566333333333333</v>
      </c>
      <c r="O368" s="22">
        <v>134.48266666666666</v>
      </c>
      <c r="P368" s="22">
        <v>27.31866666666667</v>
      </c>
      <c r="Q368" s="22">
        <v>92.84533333333333</v>
      </c>
      <c r="R368" s="22">
        <v>23.402</v>
      </c>
      <c r="S368" s="22"/>
      <c r="T368" s="22"/>
      <c r="U368" s="22"/>
      <c r="V368" s="22"/>
      <c r="W368" s="22"/>
      <c r="X368" s="22"/>
      <c r="Y368" s="22"/>
      <c r="Z368" s="22"/>
      <c r="AA368" s="22"/>
      <c r="AB368" s="22"/>
      <c r="AC368" s="22"/>
      <c r="AD368" s="22"/>
      <c r="AE368" s="22"/>
      <c r="AF368" s="22"/>
      <c r="AG368" s="22"/>
      <c r="AH368" s="22"/>
      <c r="AI368" s="22"/>
      <c r="AJ368" s="22"/>
      <c r="AK368" s="22"/>
      <c r="AL368" s="22"/>
    </row>
    <row r="369">
      <c r="A369" s="13" t="s">
        <v>20</v>
      </c>
      <c r="B369" s="13" t="s">
        <v>20</v>
      </c>
      <c r="C369" s="26">
        <v>45691.0</v>
      </c>
      <c r="D369" s="13" t="s">
        <v>21</v>
      </c>
      <c r="E369" s="13">
        <v>12.2</v>
      </c>
      <c r="F369" s="13" t="s">
        <v>27</v>
      </c>
      <c r="G369" s="13">
        <v>3.0</v>
      </c>
      <c r="H369" s="13" t="s">
        <v>23</v>
      </c>
      <c r="I369" s="23">
        <v>18.2269</v>
      </c>
      <c r="J369" s="23">
        <v>488.4236</v>
      </c>
      <c r="K369" s="23">
        <v>3.671</v>
      </c>
      <c r="L369" s="23">
        <v>0.056</v>
      </c>
      <c r="M369" s="22">
        <v>162.49099999999999</v>
      </c>
      <c r="N369" s="22">
        <v>31.06233333333334</v>
      </c>
      <c r="O369" s="22">
        <v>133.303</v>
      </c>
      <c r="P369" s="22">
        <v>27.892666666666667</v>
      </c>
      <c r="Q369" s="22">
        <v>90.46100000000001</v>
      </c>
      <c r="R369" s="22">
        <v>22.753666666666664</v>
      </c>
      <c r="S369" s="22"/>
      <c r="T369" s="22"/>
      <c r="U369" s="22"/>
      <c r="V369" s="22"/>
      <c r="W369" s="22"/>
      <c r="X369" s="22"/>
      <c r="Y369" s="22"/>
      <c r="Z369" s="22"/>
      <c r="AA369" s="22"/>
      <c r="AB369" s="22"/>
      <c r="AC369" s="22"/>
      <c r="AD369" s="22"/>
      <c r="AE369" s="22"/>
      <c r="AF369" s="22"/>
      <c r="AG369" s="22"/>
      <c r="AH369" s="22"/>
      <c r="AI369" s="22"/>
      <c r="AJ369" s="22"/>
      <c r="AK369" s="22"/>
      <c r="AL369" s="22"/>
    </row>
    <row r="370">
      <c r="A370" s="13" t="s">
        <v>20</v>
      </c>
      <c r="B370" s="13" t="s">
        <v>20</v>
      </c>
      <c r="C370" s="26">
        <v>45691.0</v>
      </c>
      <c r="D370" s="13" t="s">
        <v>21</v>
      </c>
      <c r="E370" s="13">
        <v>12.3</v>
      </c>
      <c r="F370" s="13" t="s">
        <v>27</v>
      </c>
      <c r="G370" s="13">
        <v>3.0</v>
      </c>
      <c r="H370" s="13" t="s">
        <v>23</v>
      </c>
      <c r="I370" s="23">
        <v>18.3921</v>
      </c>
      <c r="J370" s="23">
        <v>490.8132</v>
      </c>
      <c r="K370" s="23">
        <v>3.127</v>
      </c>
      <c r="L370" s="23">
        <v>0.036</v>
      </c>
      <c r="M370" s="22">
        <v>161.96033333333332</v>
      </c>
      <c r="N370" s="22">
        <v>30.762333333333334</v>
      </c>
      <c r="O370" s="22">
        <v>134.036</v>
      </c>
      <c r="P370" s="22">
        <v>26.741000000000003</v>
      </c>
      <c r="Q370" s="22">
        <v>86.46433333333334</v>
      </c>
      <c r="R370" s="22">
        <v>20.632333333333335</v>
      </c>
      <c r="S370" s="22"/>
      <c r="T370" s="22"/>
      <c r="U370" s="22"/>
      <c r="V370" s="22"/>
      <c r="W370" s="22"/>
      <c r="X370" s="22"/>
      <c r="Y370" s="22"/>
      <c r="Z370" s="22"/>
      <c r="AA370" s="22"/>
      <c r="AB370" s="22"/>
      <c r="AC370" s="22"/>
      <c r="AD370" s="22"/>
      <c r="AE370" s="22"/>
      <c r="AF370" s="22"/>
      <c r="AG370" s="22"/>
      <c r="AH370" s="22"/>
      <c r="AI370" s="22"/>
      <c r="AJ370" s="22"/>
      <c r="AK370" s="22"/>
      <c r="AL370" s="22"/>
    </row>
    <row r="371">
      <c r="A371" s="13" t="s">
        <v>20</v>
      </c>
      <c r="B371" s="13" t="s">
        <v>20</v>
      </c>
      <c r="C371" s="26">
        <v>45691.0</v>
      </c>
      <c r="D371" s="13" t="s">
        <v>21</v>
      </c>
      <c r="E371" s="13">
        <v>12.4</v>
      </c>
      <c r="F371" s="13" t="s">
        <v>27</v>
      </c>
      <c r="G371" s="13">
        <v>3.0</v>
      </c>
      <c r="H371" s="13" t="s">
        <v>23</v>
      </c>
      <c r="I371" s="23">
        <v>16.2486</v>
      </c>
      <c r="J371" s="23">
        <v>490.8939</v>
      </c>
      <c r="K371" s="23">
        <v>4.628</v>
      </c>
      <c r="L371" s="23">
        <v>0.044</v>
      </c>
      <c r="M371" s="22">
        <v>153.056</v>
      </c>
      <c r="N371" s="22">
        <v>35.489333333333335</v>
      </c>
      <c r="O371" s="22">
        <v>120.033</v>
      </c>
      <c r="P371" s="22">
        <v>33.418</v>
      </c>
      <c r="Q371" s="22">
        <v>73.36733333333333</v>
      </c>
      <c r="R371" s="22">
        <v>29.346333333333334</v>
      </c>
      <c r="S371" s="22"/>
      <c r="T371" s="22"/>
      <c r="U371" s="22"/>
      <c r="V371" s="22"/>
      <c r="W371" s="22"/>
      <c r="X371" s="22"/>
      <c r="Y371" s="22"/>
      <c r="Z371" s="22"/>
      <c r="AA371" s="22"/>
      <c r="AB371" s="22"/>
      <c r="AC371" s="22"/>
      <c r="AD371" s="22"/>
      <c r="AE371" s="22"/>
      <c r="AF371" s="22"/>
      <c r="AG371" s="22"/>
      <c r="AH371" s="22"/>
      <c r="AI371" s="22"/>
      <c r="AJ371" s="22"/>
      <c r="AK371" s="22"/>
      <c r="AL371" s="22"/>
    </row>
    <row r="372">
      <c r="A372" s="13" t="s">
        <v>20</v>
      </c>
      <c r="B372" s="13" t="s">
        <v>20</v>
      </c>
      <c r="C372" s="26">
        <v>45691.0</v>
      </c>
      <c r="D372" s="13" t="s">
        <v>24</v>
      </c>
      <c r="E372" s="13">
        <v>10.1</v>
      </c>
      <c r="F372" s="13" t="s">
        <v>27</v>
      </c>
      <c r="G372" s="13">
        <v>3.0</v>
      </c>
      <c r="H372" s="13" t="s">
        <v>23</v>
      </c>
      <c r="I372" s="23">
        <v>20.0834</v>
      </c>
      <c r="J372" s="23">
        <v>505.2057</v>
      </c>
      <c r="K372" s="23">
        <v>9.46</v>
      </c>
      <c r="L372" s="23">
        <v>0.046</v>
      </c>
      <c r="M372" s="22">
        <v>161.10166666666666</v>
      </c>
      <c r="N372" s="22">
        <v>23.497</v>
      </c>
      <c r="O372" s="22">
        <v>122.90233333333333</v>
      </c>
      <c r="P372" s="22">
        <v>21.784000000000002</v>
      </c>
      <c r="Q372" s="22">
        <v>71.64233333333334</v>
      </c>
      <c r="R372" s="22">
        <v>23.647333333333336</v>
      </c>
      <c r="S372" s="22"/>
      <c r="T372" s="22"/>
      <c r="U372" s="22"/>
      <c r="V372" s="22"/>
      <c r="W372" s="22"/>
      <c r="X372" s="22"/>
      <c r="Y372" s="22"/>
      <c r="Z372" s="22"/>
      <c r="AA372" s="22"/>
      <c r="AB372" s="22"/>
      <c r="AC372" s="22"/>
      <c r="AD372" s="22"/>
      <c r="AE372" s="22"/>
      <c r="AF372" s="22"/>
      <c r="AG372" s="22"/>
      <c r="AH372" s="22"/>
      <c r="AI372" s="22"/>
      <c r="AJ372" s="22"/>
      <c r="AK372" s="22"/>
      <c r="AL372" s="22"/>
    </row>
    <row r="373">
      <c r="A373" s="13" t="s">
        <v>20</v>
      </c>
      <c r="B373" s="13" t="s">
        <v>20</v>
      </c>
      <c r="C373" s="26">
        <v>45691.0</v>
      </c>
      <c r="D373" s="13" t="s">
        <v>24</v>
      </c>
      <c r="E373" s="13">
        <v>10.2</v>
      </c>
      <c r="F373" s="13" t="s">
        <v>27</v>
      </c>
      <c r="G373" s="13">
        <v>3.0</v>
      </c>
      <c r="H373" s="13" t="s">
        <v>23</v>
      </c>
      <c r="I373" s="23">
        <v>16.035</v>
      </c>
      <c r="J373" s="23">
        <v>504.0129</v>
      </c>
      <c r="K373" s="23">
        <v>7.598</v>
      </c>
      <c r="L373" s="23">
        <v>0.032</v>
      </c>
      <c r="M373" s="22">
        <v>161.79366666666667</v>
      </c>
      <c r="N373" s="22">
        <v>28.655</v>
      </c>
      <c r="O373" s="22">
        <v>121.48833333333334</v>
      </c>
      <c r="P373" s="22">
        <v>25.468333333333334</v>
      </c>
      <c r="Q373" s="22">
        <v>67.77333333333333</v>
      </c>
      <c r="R373" s="22">
        <v>25.439666666666664</v>
      </c>
      <c r="S373" s="22"/>
      <c r="T373" s="22"/>
      <c r="U373" s="22"/>
      <c r="V373" s="22"/>
      <c r="W373" s="22"/>
      <c r="X373" s="22"/>
      <c r="Y373" s="22"/>
      <c r="Z373" s="22"/>
      <c r="AA373" s="22"/>
      <c r="AB373" s="22"/>
      <c r="AC373" s="22"/>
      <c r="AD373" s="22"/>
      <c r="AE373" s="22"/>
      <c r="AF373" s="22"/>
      <c r="AG373" s="22"/>
      <c r="AH373" s="22"/>
      <c r="AI373" s="22"/>
      <c r="AJ373" s="22"/>
      <c r="AK373" s="22"/>
      <c r="AL373" s="22"/>
    </row>
    <row r="374">
      <c r="A374" s="13" t="s">
        <v>20</v>
      </c>
      <c r="B374" s="13" t="s">
        <v>20</v>
      </c>
      <c r="C374" s="26">
        <v>45691.0</v>
      </c>
      <c r="D374" s="13" t="s">
        <v>24</v>
      </c>
      <c r="E374" s="13">
        <v>10.3</v>
      </c>
      <c r="F374" s="13" t="s">
        <v>27</v>
      </c>
      <c r="G374" s="13">
        <v>3.0</v>
      </c>
      <c r="H374" s="13" t="s">
        <v>23</v>
      </c>
      <c r="I374" s="23">
        <v>16.1695</v>
      </c>
      <c r="J374" s="23">
        <v>502.8129</v>
      </c>
      <c r="K374" s="23">
        <v>9.648</v>
      </c>
      <c r="L374" s="23">
        <v>0.059</v>
      </c>
      <c r="M374" s="22">
        <v>163.02066666666667</v>
      </c>
      <c r="N374" s="22">
        <v>28.152</v>
      </c>
      <c r="O374" s="22">
        <v>126.59933333333333</v>
      </c>
      <c r="P374" s="22">
        <v>26.554333333333332</v>
      </c>
      <c r="Q374" s="22">
        <v>84.44266666666667</v>
      </c>
      <c r="R374" s="22">
        <v>28.838333333333335</v>
      </c>
      <c r="S374" s="22"/>
      <c r="T374" s="22"/>
      <c r="U374" s="22"/>
      <c r="V374" s="22"/>
      <c r="W374" s="22"/>
      <c r="X374" s="22"/>
      <c r="Y374" s="22"/>
      <c r="Z374" s="22"/>
      <c r="AA374" s="22"/>
      <c r="AB374" s="22"/>
      <c r="AC374" s="22"/>
      <c r="AD374" s="22"/>
      <c r="AE374" s="22"/>
      <c r="AF374" s="22"/>
      <c r="AG374" s="22"/>
      <c r="AH374" s="22"/>
      <c r="AI374" s="22"/>
      <c r="AJ374" s="22"/>
      <c r="AK374" s="22"/>
      <c r="AL374" s="22"/>
    </row>
    <row r="375">
      <c r="A375" s="13" t="s">
        <v>20</v>
      </c>
      <c r="B375" s="13" t="s">
        <v>20</v>
      </c>
      <c r="C375" s="26">
        <v>45691.0</v>
      </c>
      <c r="D375" s="13" t="s">
        <v>24</v>
      </c>
      <c r="E375" s="13">
        <v>10.4</v>
      </c>
      <c r="F375" s="13" t="s">
        <v>27</v>
      </c>
      <c r="G375" s="13">
        <v>3.0</v>
      </c>
      <c r="H375" s="13" t="s">
        <v>23</v>
      </c>
      <c r="I375" s="23">
        <v>19.4165</v>
      </c>
      <c r="J375" s="23">
        <v>480.006</v>
      </c>
      <c r="K375" s="23">
        <v>9.766</v>
      </c>
      <c r="L375" s="23">
        <v>0.077</v>
      </c>
      <c r="M375" s="22">
        <v>170.71533333333332</v>
      </c>
      <c r="N375" s="22">
        <v>25.169333333333338</v>
      </c>
      <c r="O375" s="22">
        <v>135.12833333333333</v>
      </c>
      <c r="P375" s="22">
        <v>20.960333333333335</v>
      </c>
      <c r="Q375" s="22">
        <v>91.86766666666666</v>
      </c>
      <c r="R375" s="22">
        <v>21.679</v>
      </c>
      <c r="S375" s="22"/>
      <c r="T375" s="22"/>
      <c r="U375" s="22"/>
      <c r="V375" s="22"/>
      <c r="W375" s="22"/>
      <c r="X375" s="22"/>
      <c r="Y375" s="22"/>
      <c r="Z375" s="22"/>
      <c r="AA375" s="22"/>
      <c r="AB375" s="22"/>
      <c r="AC375" s="22"/>
      <c r="AD375" s="22"/>
      <c r="AE375" s="22"/>
      <c r="AF375" s="22"/>
      <c r="AG375" s="22"/>
      <c r="AH375" s="22"/>
      <c r="AI375" s="22"/>
      <c r="AJ375" s="22"/>
      <c r="AK375" s="22"/>
      <c r="AL375" s="22"/>
    </row>
    <row r="376">
      <c r="A376" s="13" t="s">
        <v>20</v>
      </c>
      <c r="B376" s="13" t="s">
        <v>20</v>
      </c>
      <c r="C376" s="26">
        <v>45691.0</v>
      </c>
      <c r="D376" s="13" t="s">
        <v>24</v>
      </c>
      <c r="E376" s="13">
        <v>11.1</v>
      </c>
      <c r="F376" s="13" t="s">
        <v>27</v>
      </c>
      <c r="G376" s="13">
        <v>3.0</v>
      </c>
      <c r="H376" s="13" t="s">
        <v>23</v>
      </c>
      <c r="I376" s="23">
        <v>27.588</v>
      </c>
      <c r="J376" s="23">
        <v>499.2519</v>
      </c>
      <c r="K376" s="23">
        <v>9.306</v>
      </c>
      <c r="L376" s="23">
        <v>0.028</v>
      </c>
      <c r="M376" s="22">
        <v>155.29066666666665</v>
      </c>
      <c r="N376" s="22">
        <v>38.87966666666666</v>
      </c>
      <c r="O376" s="22">
        <v>119.09933333333333</v>
      </c>
      <c r="P376" s="22">
        <v>34.522666666666666</v>
      </c>
      <c r="Q376" s="22">
        <v>72.28699999999999</v>
      </c>
      <c r="R376" s="22">
        <v>28.844666666666665</v>
      </c>
      <c r="S376" s="22"/>
      <c r="T376" s="22"/>
      <c r="U376" s="22"/>
      <c r="V376" s="22"/>
      <c r="W376" s="22"/>
      <c r="X376" s="22"/>
      <c r="Y376" s="22"/>
      <c r="Z376" s="22"/>
      <c r="AA376" s="22"/>
      <c r="AB376" s="22"/>
      <c r="AC376" s="22"/>
      <c r="AD376" s="22"/>
      <c r="AE376" s="22"/>
      <c r="AF376" s="22"/>
      <c r="AG376" s="22"/>
      <c r="AH376" s="22"/>
      <c r="AI376" s="22"/>
      <c r="AJ376" s="22"/>
      <c r="AK376" s="22"/>
      <c r="AL376" s="22"/>
    </row>
    <row r="377">
      <c r="A377" s="13" t="s">
        <v>20</v>
      </c>
      <c r="B377" s="13" t="s">
        <v>20</v>
      </c>
      <c r="C377" s="26">
        <v>45691.0</v>
      </c>
      <c r="D377" s="13" t="s">
        <v>24</v>
      </c>
      <c r="E377" s="13">
        <v>11.2</v>
      </c>
      <c r="F377" s="13" t="s">
        <v>27</v>
      </c>
      <c r="G377" s="13">
        <v>3.0</v>
      </c>
      <c r="H377" s="13" t="s">
        <v>23</v>
      </c>
      <c r="I377" s="23">
        <v>18.9871</v>
      </c>
      <c r="J377" s="23">
        <v>462.039</v>
      </c>
      <c r="K377" s="23">
        <v>6.113</v>
      </c>
      <c r="L377" s="23">
        <v>0.047</v>
      </c>
      <c r="M377" s="22">
        <v>158.55133333333333</v>
      </c>
      <c r="N377" s="22">
        <v>19.814666666666668</v>
      </c>
      <c r="O377" s="22">
        <v>119.64933333333333</v>
      </c>
      <c r="P377" s="22">
        <v>16.791333333333334</v>
      </c>
      <c r="Q377" s="22">
        <v>69.82766666666667</v>
      </c>
      <c r="R377" s="22">
        <v>23.669666666666668</v>
      </c>
      <c r="S377" s="22"/>
      <c r="T377" s="22"/>
      <c r="U377" s="22"/>
      <c r="V377" s="22"/>
      <c r="W377" s="22"/>
      <c r="X377" s="22"/>
      <c r="Y377" s="22"/>
      <c r="Z377" s="22"/>
      <c r="AA377" s="22"/>
      <c r="AB377" s="22"/>
      <c r="AC377" s="22"/>
      <c r="AD377" s="22"/>
      <c r="AE377" s="22"/>
      <c r="AF377" s="22"/>
      <c r="AG377" s="22"/>
      <c r="AH377" s="22"/>
      <c r="AI377" s="22"/>
      <c r="AJ377" s="22"/>
      <c r="AK377" s="22"/>
      <c r="AL377" s="22"/>
    </row>
    <row r="378">
      <c r="A378" s="13" t="s">
        <v>20</v>
      </c>
      <c r="B378" s="13" t="s">
        <v>20</v>
      </c>
      <c r="C378" s="26">
        <v>45691.0</v>
      </c>
      <c r="D378" s="13" t="s">
        <v>24</v>
      </c>
      <c r="E378" s="13">
        <v>11.3</v>
      </c>
      <c r="F378" s="13" t="s">
        <v>27</v>
      </c>
      <c r="G378" s="13">
        <v>3.0</v>
      </c>
      <c r="H378" s="13" t="s">
        <v>23</v>
      </c>
      <c r="I378" s="23">
        <v>15.0083</v>
      </c>
      <c r="J378" s="23">
        <v>516.0502</v>
      </c>
      <c r="K378" s="23">
        <v>5.844</v>
      </c>
      <c r="L378" s="23">
        <v>0.045</v>
      </c>
      <c r="M378" s="22">
        <v>140.09666666666666</v>
      </c>
      <c r="N378" s="22">
        <v>39.00966666666667</v>
      </c>
      <c r="O378" s="22">
        <v>103.897</v>
      </c>
      <c r="P378" s="22">
        <v>35.74333333333333</v>
      </c>
      <c r="Q378" s="22">
        <v>66.25833333333333</v>
      </c>
      <c r="R378" s="22">
        <v>31.323999999999998</v>
      </c>
      <c r="S378" s="22"/>
      <c r="T378" s="22"/>
      <c r="U378" s="22"/>
      <c r="V378" s="22"/>
      <c r="W378" s="22"/>
      <c r="X378" s="22"/>
      <c r="Y378" s="22"/>
      <c r="Z378" s="22"/>
      <c r="AA378" s="22"/>
      <c r="AB378" s="22"/>
      <c r="AC378" s="22"/>
      <c r="AD378" s="22"/>
      <c r="AE378" s="22"/>
      <c r="AF378" s="22"/>
      <c r="AG378" s="22"/>
      <c r="AH378" s="22"/>
      <c r="AI378" s="22"/>
      <c r="AJ378" s="22"/>
      <c r="AK378" s="22"/>
      <c r="AL378" s="22"/>
    </row>
    <row r="379">
      <c r="A379" s="13" t="s">
        <v>20</v>
      </c>
      <c r="B379" s="13" t="s">
        <v>20</v>
      </c>
      <c r="C379" s="26">
        <v>45691.0</v>
      </c>
      <c r="D379" s="13" t="s">
        <v>24</v>
      </c>
      <c r="E379" s="13">
        <v>11.4</v>
      </c>
      <c r="F379" s="13" t="s">
        <v>27</v>
      </c>
      <c r="G379" s="13">
        <v>3.0</v>
      </c>
      <c r="H379" s="13" t="s">
        <v>23</v>
      </c>
      <c r="I379" s="23">
        <v>13.4425</v>
      </c>
      <c r="J379" s="23">
        <v>560.4321</v>
      </c>
      <c r="K379" s="23">
        <v>4.734</v>
      </c>
      <c r="L379" s="23">
        <v>0.023</v>
      </c>
      <c r="M379" s="22">
        <v>142.394</v>
      </c>
      <c r="N379" s="22">
        <v>36.02566666666667</v>
      </c>
      <c r="O379" s="22">
        <v>102.13466666666666</v>
      </c>
      <c r="P379" s="22">
        <v>32.190333333333335</v>
      </c>
      <c r="Q379" s="22">
        <v>57.94166666666666</v>
      </c>
      <c r="R379" s="22">
        <v>26.92833333333333</v>
      </c>
      <c r="S379" s="22"/>
      <c r="T379" s="22"/>
      <c r="U379" s="22"/>
      <c r="V379" s="22"/>
      <c r="W379" s="22"/>
      <c r="X379" s="22"/>
      <c r="Y379" s="22"/>
      <c r="Z379" s="22"/>
      <c r="AA379" s="22"/>
      <c r="AB379" s="22"/>
      <c r="AC379" s="22"/>
      <c r="AD379" s="22"/>
      <c r="AE379" s="22"/>
      <c r="AF379" s="22"/>
      <c r="AG379" s="22"/>
      <c r="AH379" s="22"/>
      <c r="AI379" s="22"/>
      <c r="AJ379" s="22"/>
      <c r="AK379" s="22"/>
      <c r="AL379" s="22"/>
    </row>
    <row r="380">
      <c r="A380" s="13" t="s">
        <v>20</v>
      </c>
      <c r="B380" s="13" t="s">
        <v>20</v>
      </c>
      <c r="C380" s="26">
        <v>45691.0</v>
      </c>
      <c r="D380" s="13" t="s">
        <v>24</v>
      </c>
      <c r="E380" s="13">
        <v>12.1</v>
      </c>
      <c r="F380" s="13" t="s">
        <v>27</v>
      </c>
      <c r="G380" s="13">
        <v>3.0</v>
      </c>
      <c r="H380" s="13" t="s">
        <v>23</v>
      </c>
      <c r="I380" s="23">
        <v>14.1683</v>
      </c>
      <c r="J380" s="23">
        <v>565.2115</v>
      </c>
      <c r="K380" s="23">
        <v>5.21</v>
      </c>
      <c r="L380" s="23">
        <v>0.035</v>
      </c>
      <c r="M380" s="22">
        <v>133.96733333333333</v>
      </c>
      <c r="N380" s="22">
        <v>36.13566666666667</v>
      </c>
      <c r="O380" s="22">
        <v>92.23500000000001</v>
      </c>
      <c r="P380" s="22">
        <v>35.876000000000005</v>
      </c>
      <c r="Q380" s="22">
        <v>50.17366666666667</v>
      </c>
      <c r="R380" s="22">
        <v>30.314666666666668</v>
      </c>
      <c r="S380" s="22"/>
      <c r="T380" s="22"/>
      <c r="U380" s="22"/>
      <c r="V380" s="22"/>
      <c r="W380" s="22"/>
      <c r="X380" s="22"/>
      <c r="Y380" s="22"/>
      <c r="Z380" s="22"/>
      <c r="AA380" s="22"/>
      <c r="AB380" s="22"/>
      <c r="AC380" s="22"/>
      <c r="AD380" s="22"/>
      <c r="AE380" s="22"/>
      <c r="AF380" s="22"/>
      <c r="AG380" s="22"/>
      <c r="AH380" s="22"/>
      <c r="AI380" s="22"/>
      <c r="AJ380" s="22"/>
      <c r="AK380" s="22"/>
      <c r="AL380" s="22"/>
    </row>
    <row r="381">
      <c r="A381" s="13" t="s">
        <v>20</v>
      </c>
      <c r="B381" s="13" t="s">
        <v>20</v>
      </c>
      <c r="C381" s="26">
        <v>45691.0</v>
      </c>
      <c r="D381" s="13" t="s">
        <v>24</v>
      </c>
      <c r="E381" s="13">
        <v>12.2</v>
      </c>
      <c r="F381" s="13" t="s">
        <v>27</v>
      </c>
      <c r="G381" s="13">
        <v>3.0</v>
      </c>
      <c r="H381" s="13" t="s">
        <v>23</v>
      </c>
      <c r="I381" s="23">
        <v>16.1563</v>
      </c>
      <c r="J381" s="23">
        <v>517.2014</v>
      </c>
      <c r="K381" s="23">
        <v>6.988</v>
      </c>
      <c r="L381" s="23">
        <v>0.023</v>
      </c>
      <c r="M381" s="22">
        <v>142.14133333333334</v>
      </c>
      <c r="N381" s="22">
        <v>28.317666666666668</v>
      </c>
      <c r="O381" s="22">
        <v>102.90566666666666</v>
      </c>
      <c r="P381" s="22">
        <v>29.180333333333333</v>
      </c>
      <c r="Q381" s="22">
        <v>58.44866666666667</v>
      </c>
      <c r="R381" s="22">
        <v>29.286666666666665</v>
      </c>
      <c r="S381" s="22"/>
      <c r="T381" s="22"/>
      <c r="U381" s="22"/>
      <c r="V381" s="22"/>
      <c r="W381" s="22"/>
      <c r="X381" s="22"/>
      <c r="Y381" s="22"/>
      <c r="Z381" s="22"/>
      <c r="AA381" s="22"/>
      <c r="AB381" s="22"/>
      <c r="AC381" s="22"/>
      <c r="AD381" s="22"/>
      <c r="AE381" s="22"/>
      <c r="AF381" s="22"/>
      <c r="AG381" s="22"/>
      <c r="AH381" s="22"/>
      <c r="AI381" s="22"/>
      <c r="AJ381" s="22"/>
      <c r="AK381" s="22"/>
      <c r="AL381" s="22"/>
    </row>
    <row r="382">
      <c r="A382" s="13" t="s">
        <v>20</v>
      </c>
      <c r="B382" s="13" t="s">
        <v>20</v>
      </c>
      <c r="C382" s="26">
        <v>45691.0</v>
      </c>
      <c r="D382" s="13" t="s">
        <v>24</v>
      </c>
      <c r="E382" s="13">
        <v>12.3</v>
      </c>
      <c r="F382" s="13" t="s">
        <v>27</v>
      </c>
      <c r="G382" s="13">
        <v>3.0</v>
      </c>
      <c r="H382" s="13" t="s">
        <v>23</v>
      </c>
      <c r="I382" s="23">
        <v>16.7848</v>
      </c>
      <c r="J382" s="23">
        <v>512.4056</v>
      </c>
      <c r="K382" s="23">
        <v>6.753</v>
      </c>
      <c r="L382" s="23">
        <v>0.035</v>
      </c>
      <c r="M382" s="22">
        <v>146.82833333333335</v>
      </c>
      <c r="N382" s="22">
        <v>29.163999999999998</v>
      </c>
      <c r="O382" s="22">
        <v>112.54933333333332</v>
      </c>
      <c r="P382" s="22">
        <v>30.566666666666666</v>
      </c>
      <c r="Q382" s="22">
        <v>69.32533333333333</v>
      </c>
      <c r="R382" s="22">
        <v>30.385</v>
      </c>
      <c r="S382" s="22"/>
      <c r="T382" s="22"/>
      <c r="U382" s="22"/>
      <c r="V382" s="22"/>
      <c r="W382" s="22"/>
      <c r="X382" s="22"/>
      <c r="Y382" s="22"/>
      <c r="Z382" s="22"/>
      <c r="AA382" s="22"/>
      <c r="AB382" s="22"/>
      <c r="AC382" s="22"/>
      <c r="AD382" s="22"/>
      <c r="AE382" s="22"/>
      <c r="AF382" s="22"/>
      <c r="AG382" s="22"/>
      <c r="AH382" s="22"/>
      <c r="AI382" s="22"/>
      <c r="AJ382" s="22"/>
      <c r="AK382" s="22"/>
      <c r="AL382" s="22"/>
    </row>
    <row r="383">
      <c r="A383" s="13" t="s">
        <v>20</v>
      </c>
      <c r="B383" s="13" t="s">
        <v>20</v>
      </c>
      <c r="C383" s="26">
        <v>45691.0</v>
      </c>
      <c r="D383" s="13" t="s">
        <v>24</v>
      </c>
      <c r="E383" s="13">
        <v>12.4</v>
      </c>
      <c r="F383" s="13" t="s">
        <v>27</v>
      </c>
      <c r="G383" s="13">
        <v>3.0</v>
      </c>
      <c r="H383" s="13" t="s">
        <v>23</v>
      </c>
      <c r="I383" s="23">
        <v>18.195</v>
      </c>
      <c r="J383" s="23">
        <v>520.8124</v>
      </c>
      <c r="K383" s="23">
        <v>7.446</v>
      </c>
      <c r="L383" s="23">
        <v>0.042</v>
      </c>
      <c r="M383" s="22">
        <v>134.71133333333333</v>
      </c>
      <c r="N383" s="22">
        <v>32.63933333333333</v>
      </c>
      <c r="O383" s="22">
        <v>93.18599999999999</v>
      </c>
      <c r="P383" s="22">
        <v>31.683000000000003</v>
      </c>
      <c r="Q383" s="22">
        <v>46.87266666666667</v>
      </c>
      <c r="R383" s="22">
        <v>25.366666666666664</v>
      </c>
      <c r="S383" s="22"/>
      <c r="T383" s="22"/>
      <c r="U383" s="22"/>
      <c r="V383" s="22"/>
      <c r="W383" s="22"/>
      <c r="X383" s="22"/>
      <c r="Y383" s="22"/>
      <c r="Z383" s="22"/>
      <c r="AA383" s="22"/>
      <c r="AB383" s="22"/>
      <c r="AC383" s="22"/>
      <c r="AD383" s="22"/>
      <c r="AE383" s="22"/>
      <c r="AF383" s="22"/>
      <c r="AG383" s="22"/>
      <c r="AH383" s="22"/>
      <c r="AI383" s="22"/>
      <c r="AJ383" s="22"/>
      <c r="AK383" s="22"/>
      <c r="AL383" s="22"/>
    </row>
    <row r="384">
      <c r="A384" s="13" t="s">
        <v>20</v>
      </c>
      <c r="B384" s="13" t="s">
        <v>20</v>
      </c>
      <c r="C384" s="26">
        <v>45691.0</v>
      </c>
      <c r="D384" s="13" t="s">
        <v>25</v>
      </c>
      <c r="E384" s="13">
        <v>10.1</v>
      </c>
      <c r="F384" s="13" t="s">
        <v>27</v>
      </c>
      <c r="G384" s="13">
        <v>3.0</v>
      </c>
      <c r="H384" s="13" t="s">
        <v>23</v>
      </c>
      <c r="I384" s="23">
        <v>11.7725</v>
      </c>
      <c r="J384" s="23">
        <v>538.8214</v>
      </c>
      <c r="K384" s="23">
        <v>3.887</v>
      </c>
      <c r="L384" s="23">
        <v>0.049</v>
      </c>
      <c r="M384" s="22">
        <v>129.04100000000003</v>
      </c>
      <c r="N384" s="22">
        <v>37.37200000000001</v>
      </c>
      <c r="O384" s="22">
        <v>110.72166666666668</v>
      </c>
      <c r="P384" s="22">
        <v>36.37966666666667</v>
      </c>
      <c r="Q384" s="22">
        <v>83.84400000000001</v>
      </c>
      <c r="R384" s="22">
        <v>35.36966666666667</v>
      </c>
      <c r="S384" s="22"/>
      <c r="T384" s="22"/>
      <c r="U384" s="22"/>
      <c r="V384" s="22"/>
      <c r="W384" s="22"/>
      <c r="X384" s="22"/>
      <c r="Y384" s="22"/>
      <c r="Z384" s="22"/>
      <c r="AA384" s="22"/>
      <c r="AB384" s="22"/>
      <c r="AC384" s="22"/>
      <c r="AD384" s="22"/>
      <c r="AE384" s="22"/>
      <c r="AF384" s="22"/>
      <c r="AG384" s="22"/>
      <c r="AH384" s="22"/>
      <c r="AI384" s="22"/>
      <c r="AJ384" s="22"/>
      <c r="AK384" s="22"/>
      <c r="AL384" s="22"/>
    </row>
    <row r="385">
      <c r="A385" s="13" t="s">
        <v>20</v>
      </c>
      <c r="B385" s="13" t="s">
        <v>20</v>
      </c>
      <c r="C385" s="26">
        <v>45691.0</v>
      </c>
      <c r="D385" s="13" t="s">
        <v>25</v>
      </c>
      <c r="E385" s="13">
        <v>10.2</v>
      </c>
      <c r="F385" s="13" t="s">
        <v>27</v>
      </c>
      <c r="G385" s="13">
        <v>3.0</v>
      </c>
      <c r="H385" s="13" t="s">
        <v>23</v>
      </c>
      <c r="I385" s="23">
        <v>11.5487</v>
      </c>
      <c r="J385" s="23">
        <v>482.406</v>
      </c>
      <c r="K385" s="23">
        <v>4.716</v>
      </c>
      <c r="L385" s="23">
        <v>0.064</v>
      </c>
      <c r="M385" s="22">
        <v>151.1726666666667</v>
      </c>
      <c r="N385" s="22">
        <v>29.671333333333337</v>
      </c>
      <c r="O385" s="22">
        <v>129.45633333333333</v>
      </c>
      <c r="P385" s="22">
        <v>29.81833333333333</v>
      </c>
      <c r="Q385" s="22">
        <v>94.35133333333333</v>
      </c>
      <c r="R385" s="22">
        <v>30.015666666666664</v>
      </c>
      <c r="S385" s="22"/>
      <c r="T385" s="22"/>
      <c r="U385" s="22"/>
      <c r="V385" s="22"/>
      <c r="W385" s="22"/>
      <c r="X385" s="22"/>
      <c r="Y385" s="22"/>
      <c r="Z385" s="22"/>
      <c r="AA385" s="22"/>
      <c r="AB385" s="22"/>
      <c r="AC385" s="22"/>
      <c r="AD385" s="22"/>
      <c r="AE385" s="22"/>
      <c r="AF385" s="22"/>
      <c r="AG385" s="22"/>
      <c r="AH385" s="22"/>
      <c r="AI385" s="22"/>
      <c r="AJ385" s="22"/>
      <c r="AK385" s="22"/>
      <c r="AL385" s="22"/>
    </row>
    <row r="386">
      <c r="A386" s="13" t="s">
        <v>20</v>
      </c>
      <c r="B386" s="13" t="s">
        <v>20</v>
      </c>
      <c r="C386" s="26">
        <v>45691.0</v>
      </c>
      <c r="D386" s="13" t="s">
        <v>25</v>
      </c>
      <c r="E386" s="13">
        <v>10.3</v>
      </c>
      <c r="F386" s="13" t="s">
        <v>27</v>
      </c>
      <c r="G386" s="13">
        <v>3.0</v>
      </c>
      <c r="H386" s="13" t="s">
        <v>23</v>
      </c>
      <c r="I386" s="23">
        <v>10.5973</v>
      </c>
      <c r="J386" s="23">
        <v>541.2213</v>
      </c>
      <c r="K386" s="23">
        <v>4.212</v>
      </c>
      <c r="L386" s="23">
        <v>0.016</v>
      </c>
      <c r="M386" s="22">
        <v>133.92533333333333</v>
      </c>
      <c r="N386" s="22">
        <v>31.449333333333332</v>
      </c>
      <c r="O386" s="22">
        <v>113.373</v>
      </c>
      <c r="P386" s="22">
        <v>31.983</v>
      </c>
      <c r="Q386" s="22">
        <v>79.86200000000001</v>
      </c>
      <c r="R386" s="22">
        <v>31.828000000000003</v>
      </c>
      <c r="S386" s="22"/>
      <c r="T386" s="22"/>
      <c r="U386" s="22"/>
      <c r="V386" s="22"/>
      <c r="W386" s="22"/>
      <c r="X386" s="22"/>
      <c r="Y386" s="22"/>
      <c r="Z386" s="22"/>
      <c r="AA386" s="22"/>
      <c r="AB386" s="22"/>
      <c r="AC386" s="22"/>
      <c r="AD386" s="22"/>
      <c r="AE386" s="22"/>
      <c r="AF386" s="22"/>
      <c r="AG386" s="22"/>
      <c r="AH386" s="22"/>
      <c r="AI386" s="22"/>
      <c r="AJ386" s="22"/>
      <c r="AK386" s="22"/>
      <c r="AL386" s="22"/>
    </row>
    <row r="387">
      <c r="A387" s="13" t="s">
        <v>20</v>
      </c>
      <c r="B387" s="13" t="s">
        <v>20</v>
      </c>
      <c r="C387" s="26">
        <v>45691.0</v>
      </c>
      <c r="D387" s="13" t="s">
        <v>25</v>
      </c>
      <c r="E387" s="13">
        <v>10.4</v>
      </c>
      <c r="F387" s="13" t="s">
        <v>27</v>
      </c>
      <c r="G387" s="13">
        <v>3.0</v>
      </c>
      <c r="H387" s="13" t="s">
        <v>23</v>
      </c>
      <c r="I387" s="23">
        <v>10.3868</v>
      </c>
      <c r="J387" s="23">
        <v>498.0231</v>
      </c>
      <c r="K387" s="23">
        <v>4.063</v>
      </c>
      <c r="L387" s="23">
        <v>0.026</v>
      </c>
      <c r="M387" s="22">
        <v>141.2553333333333</v>
      </c>
      <c r="N387" s="22">
        <v>33.19833333333333</v>
      </c>
      <c r="O387" s="22">
        <v>118.97433333333333</v>
      </c>
      <c r="P387" s="22">
        <v>31.605999999999998</v>
      </c>
      <c r="Q387" s="22">
        <v>76.80799999999999</v>
      </c>
      <c r="R387" s="22">
        <v>28.166333333333338</v>
      </c>
      <c r="S387" s="22"/>
      <c r="T387" s="22"/>
      <c r="U387" s="22"/>
      <c r="V387" s="22"/>
      <c r="W387" s="22"/>
      <c r="X387" s="22"/>
      <c r="Y387" s="22"/>
      <c r="Z387" s="22"/>
      <c r="AA387" s="22"/>
      <c r="AB387" s="22"/>
      <c r="AC387" s="22"/>
      <c r="AD387" s="22"/>
      <c r="AE387" s="22"/>
      <c r="AF387" s="22"/>
      <c r="AG387" s="22"/>
      <c r="AH387" s="22"/>
      <c r="AI387" s="22"/>
      <c r="AJ387" s="22"/>
      <c r="AK387" s="22"/>
      <c r="AL387" s="22"/>
    </row>
    <row r="388">
      <c r="A388" s="13" t="s">
        <v>20</v>
      </c>
      <c r="B388" s="13" t="s">
        <v>20</v>
      </c>
      <c r="C388" s="26">
        <v>45691.0</v>
      </c>
      <c r="D388" s="13" t="s">
        <v>25</v>
      </c>
      <c r="E388" s="13">
        <v>11.1</v>
      </c>
      <c r="F388" s="13" t="s">
        <v>27</v>
      </c>
      <c r="G388" s="13">
        <v>3.0</v>
      </c>
      <c r="H388" s="13" t="s">
        <v>23</v>
      </c>
      <c r="I388" s="23">
        <v>13.2242</v>
      </c>
      <c r="J388" s="23">
        <v>478.806</v>
      </c>
      <c r="K388" s="23">
        <v>4.602</v>
      </c>
      <c r="L388" s="23">
        <v>0.035</v>
      </c>
      <c r="M388" s="22">
        <v>136.55033333333333</v>
      </c>
      <c r="N388" s="22">
        <v>30.03833333333333</v>
      </c>
      <c r="O388" s="22">
        <v>116.52666666666666</v>
      </c>
      <c r="P388" s="22">
        <v>31.052333333333333</v>
      </c>
      <c r="Q388" s="22">
        <v>82.92333333333333</v>
      </c>
      <c r="R388" s="22">
        <v>33.072</v>
      </c>
      <c r="S388" s="22"/>
      <c r="T388" s="22"/>
      <c r="U388" s="22"/>
      <c r="V388" s="22"/>
      <c r="W388" s="22"/>
      <c r="X388" s="22"/>
      <c r="Y388" s="22"/>
      <c r="Z388" s="22"/>
      <c r="AA388" s="22"/>
      <c r="AB388" s="22"/>
      <c r="AC388" s="22"/>
      <c r="AD388" s="22"/>
      <c r="AE388" s="22"/>
      <c r="AF388" s="22"/>
      <c r="AG388" s="22"/>
      <c r="AH388" s="22"/>
      <c r="AI388" s="22"/>
      <c r="AJ388" s="22"/>
      <c r="AK388" s="22"/>
      <c r="AL388" s="22"/>
    </row>
    <row r="389">
      <c r="A389" s="13" t="s">
        <v>20</v>
      </c>
      <c r="B389" s="13" t="s">
        <v>20</v>
      </c>
      <c r="C389" s="26">
        <v>45691.0</v>
      </c>
      <c r="D389" s="13" t="s">
        <v>25</v>
      </c>
      <c r="E389" s="13">
        <v>11.2</v>
      </c>
      <c r="F389" s="13" t="s">
        <v>27</v>
      </c>
      <c r="G389" s="13">
        <v>3.0</v>
      </c>
      <c r="H389" s="13" t="s">
        <v>23</v>
      </c>
      <c r="I389" s="23">
        <v>11.3019</v>
      </c>
      <c r="J389" s="23">
        <v>517.2223</v>
      </c>
      <c r="K389" s="23">
        <v>3.887</v>
      </c>
      <c r="L389" s="23">
        <v>0.061</v>
      </c>
      <c r="M389" s="22">
        <v>142.992</v>
      </c>
      <c r="N389" s="22">
        <v>32.94833333333333</v>
      </c>
      <c r="O389" s="22">
        <v>120.50066666666667</v>
      </c>
      <c r="P389" s="22">
        <v>33.00233333333333</v>
      </c>
      <c r="Q389" s="22">
        <v>81.22000000000001</v>
      </c>
      <c r="R389" s="22">
        <v>33.27333333333333</v>
      </c>
      <c r="S389" s="22"/>
      <c r="T389" s="22"/>
      <c r="U389" s="22"/>
      <c r="V389" s="22"/>
      <c r="W389" s="22"/>
      <c r="X389" s="22"/>
      <c r="Y389" s="22"/>
      <c r="Z389" s="22"/>
      <c r="AA389" s="22"/>
      <c r="AB389" s="22"/>
      <c r="AC389" s="22"/>
      <c r="AD389" s="22"/>
      <c r="AE389" s="22"/>
      <c r="AF389" s="22"/>
      <c r="AG389" s="22"/>
      <c r="AH389" s="22"/>
      <c r="AI389" s="22"/>
      <c r="AJ389" s="22"/>
      <c r="AK389" s="22"/>
      <c r="AL389" s="22"/>
    </row>
    <row r="390">
      <c r="A390" s="13" t="s">
        <v>20</v>
      </c>
      <c r="B390" s="13" t="s">
        <v>20</v>
      </c>
      <c r="C390" s="26">
        <v>45691.0</v>
      </c>
      <c r="D390" s="13" t="s">
        <v>25</v>
      </c>
      <c r="E390" s="13">
        <v>11.3</v>
      </c>
      <c r="F390" s="13" t="s">
        <v>27</v>
      </c>
      <c r="G390" s="13">
        <v>3.0</v>
      </c>
      <c r="H390" s="13" t="s">
        <v>23</v>
      </c>
      <c r="I390" s="23">
        <v>11.2708</v>
      </c>
      <c r="J390" s="23">
        <v>490.8015</v>
      </c>
      <c r="K390" s="23">
        <v>4.057</v>
      </c>
      <c r="L390" s="23">
        <v>0.094</v>
      </c>
      <c r="M390" s="22">
        <v>137.26866666666666</v>
      </c>
      <c r="N390" s="22">
        <v>33.86866666666666</v>
      </c>
      <c r="O390" s="22">
        <v>117.56266666666666</v>
      </c>
      <c r="P390" s="22">
        <v>34.269666666666666</v>
      </c>
      <c r="Q390" s="22">
        <v>85.39633333333332</v>
      </c>
      <c r="R390" s="22">
        <v>33.391</v>
      </c>
      <c r="S390" s="22"/>
      <c r="T390" s="22"/>
      <c r="U390" s="22"/>
      <c r="V390" s="22"/>
      <c r="W390" s="22"/>
      <c r="X390" s="22"/>
      <c r="Y390" s="22"/>
      <c r="Z390" s="22"/>
      <c r="AA390" s="22"/>
      <c r="AB390" s="22"/>
      <c r="AC390" s="22"/>
      <c r="AD390" s="22"/>
      <c r="AE390" s="22"/>
      <c r="AF390" s="22"/>
      <c r="AG390" s="22"/>
      <c r="AH390" s="22"/>
      <c r="AI390" s="22"/>
      <c r="AJ390" s="22"/>
      <c r="AK390" s="22"/>
      <c r="AL390" s="22"/>
    </row>
    <row r="391">
      <c r="A391" s="13" t="s">
        <v>20</v>
      </c>
      <c r="B391" s="13" t="s">
        <v>20</v>
      </c>
      <c r="C391" s="26">
        <v>45691.0</v>
      </c>
      <c r="D391" s="13" t="s">
        <v>25</v>
      </c>
      <c r="E391" s="13">
        <v>11.4</v>
      </c>
      <c r="F391" s="13" t="s">
        <v>27</v>
      </c>
      <c r="G391" s="13">
        <v>3.0</v>
      </c>
      <c r="H391" s="13" t="s">
        <v>23</v>
      </c>
      <c r="I391" s="23">
        <v>12.0648</v>
      </c>
      <c r="J391" s="23">
        <v>501.6014</v>
      </c>
      <c r="K391" s="23">
        <v>4.083</v>
      </c>
      <c r="L391" s="23">
        <v>0.072</v>
      </c>
      <c r="M391" s="22">
        <v>139.57</v>
      </c>
      <c r="N391" s="22">
        <v>31.24733333333333</v>
      </c>
      <c r="O391" s="22">
        <v>118.48233333333333</v>
      </c>
      <c r="P391" s="22">
        <v>30.445000000000004</v>
      </c>
      <c r="Q391" s="22">
        <v>77.05066666666667</v>
      </c>
      <c r="R391" s="22">
        <v>28.146666666666665</v>
      </c>
      <c r="S391" s="22"/>
      <c r="T391" s="22"/>
      <c r="U391" s="22"/>
      <c r="V391" s="22"/>
      <c r="W391" s="22"/>
      <c r="X391" s="22"/>
      <c r="Y391" s="22"/>
      <c r="Z391" s="22"/>
      <c r="AA391" s="22"/>
      <c r="AB391" s="22"/>
      <c r="AC391" s="22"/>
      <c r="AD391" s="22"/>
      <c r="AE391" s="22"/>
      <c r="AF391" s="22"/>
      <c r="AG391" s="22"/>
      <c r="AH391" s="22"/>
      <c r="AI391" s="22"/>
      <c r="AJ391" s="22"/>
      <c r="AK391" s="22"/>
      <c r="AL391" s="22"/>
    </row>
    <row r="392">
      <c r="A392" s="13" t="s">
        <v>20</v>
      </c>
      <c r="B392" s="13" t="s">
        <v>20</v>
      </c>
      <c r="C392" s="26">
        <v>45691.0</v>
      </c>
      <c r="D392" s="13" t="s">
        <v>25</v>
      </c>
      <c r="E392" s="13">
        <v>12.1</v>
      </c>
      <c r="F392" s="13" t="s">
        <v>27</v>
      </c>
      <c r="G392" s="13">
        <v>3.0</v>
      </c>
      <c r="H392" s="13" t="s">
        <v>23</v>
      </c>
      <c r="I392" s="23">
        <v>14.2207</v>
      </c>
      <c r="J392" s="23">
        <v>520.8055</v>
      </c>
      <c r="K392" s="23">
        <v>6.847</v>
      </c>
      <c r="L392" s="23">
        <v>0.059</v>
      </c>
      <c r="M392" s="22">
        <v>140.25766666666667</v>
      </c>
      <c r="N392" s="22">
        <v>30.792333333333332</v>
      </c>
      <c r="O392" s="22">
        <v>123.33033333333333</v>
      </c>
      <c r="P392" s="22">
        <v>30.951333333333338</v>
      </c>
      <c r="Q392" s="22">
        <v>83.896</v>
      </c>
      <c r="R392" s="22">
        <v>29.493</v>
      </c>
      <c r="S392" s="22"/>
      <c r="T392" s="22"/>
      <c r="U392" s="22"/>
      <c r="V392" s="22"/>
      <c r="W392" s="22"/>
      <c r="X392" s="22"/>
      <c r="Y392" s="22"/>
      <c r="Z392" s="22"/>
      <c r="AA392" s="22"/>
      <c r="AB392" s="22"/>
      <c r="AC392" s="22"/>
      <c r="AD392" s="22"/>
      <c r="AE392" s="22"/>
      <c r="AF392" s="22"/>
      <c r="AG392" s="22"/>
      <c r="AH392" s="22"/>
      <c r="AI392" s="22"/>
      <c r="AJ392" s="22"/>
      <c r="AK392" s="22"/>
      <c r="AL392" s="22"/>
    </row>
    <row r="393">
      <c r="A393" s="13" t="s">
        <v>20</v>
      </c>
      <c r="B393" s="13" t="s">
        <v>20</v>
      </c>
      <c r="C393" s="26">
        <v>45691.0</v>
      </c>
      <c r="D393" s="13" t="s">
        <v>25</v>
      </c>
      <c r="E393" s="13">
        <v>12.2</v>
      </c>
      <c r="F393" s="13" t="s">
        <v>27</v>
      </c>
      <c r="G393" s="13">
        <v>3.0</v>
      </c>
      <c r="H393" s="13" t="s">
        <v>23</v>
      </c>
      <c r="I393" s="23">
        <v>12.0054</v>
      </c>
      <c r="J393" s="23">
        <v>475.2545</v>
      </c>
      <c r="K393" s="23">
        <v>5.473</v>
      </c>
      <c r="L393" s="23">
        <v>0.024</v>
      </c>
      <c r="M393" s="22">
        <v>131.66933333333336</v>
      </c>
      <c r="N393" s="22">
        <v>27.631</v>
      </c>
      <c r="O393" s="22">
        <v>110.62866666666667</v>
      </c>
      <c r="P393" s="22">
        <v>27.247</v>
      </c>
      <c r="Q393" s="22">
        <v>71.22466666666666</v>
      </c>
      <c r="R393" s="22">
        <v>23.168000000000003</v>
      </c>
      <c r="S393" s="22"/>
      <c r="T393" s="22"/>
      <c r="U393" s="22"/>
      <c r="V393" s="22"/>
      <c r="W393" s="22"/>
      <c r="X393" s="22"/>
      <c r="Y393" s="22"/>
      <c r="Z393" s="22"/>
      <c r="AA393" s="22"/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</row>
    <row r="394">
      <c r="A394" s="13" t="s">
        <v>20</v>
      </c>
      <c r="B394" s="13" t="s">
        <v>20</v>
      </c>
      <c r="C394" s="26">
        <v>45691.0</v>
      </c>
      <c r="D394" s="13" t="s">
        <v>25</v>
      </c>
      <c r="E394" s="13">
        <v>12.3</v>
      </c>
      <c r="F394" s="13" t="s">
        <v>27</v>
      </c>
      <c r="G394" s="13">
        <v>3.0</v>
      </c>
      <c r="H394" s="13" t="s">
        <v>23</v>
      </c>
      <c r="I394" s="23">
        <v>12.8213</v>
      </c>
      <c r="J394" s="23">
        <v>498.0014</v>
      </c>
      <c r="K394" s="23">
        <v>5.989</v>
      </c>
      <c r="L394" s="23">
        <v>0.021</v>
      </c>
      <c r="M394" s="22">
        <v>133.18933333333334</v>
      </c>
      <c r="N394" s="22">
        <v>29.72266666666667</v>
      </c>
      <c r="O394" s="22">
        <v>77.09433333333334</v>
      </c>
      <c r="P394" s="22">
        <v>30.058333333333334</v>
      </c>
      <c r="Q394" s="22">
        <v>69.26766666666667</v>
      </c>
      <c r="R394" s="22">
        <v>30.165333333333333</v>
      </c>
      <c r="S394" s="22"/>
      <c r="T394" s="22"/>
      <c r="U394" s="22"/>
      <c r="V394" s="22"/>
      <c r="W394" s="22"/>
      <c r="X394" s="22"/>
      <c r="Y394" s="22"/>
      <c r="Z394" s="22"/>
      <c r="AA394" s="22"/>
      <c r="AB394" s="22"/>
      <c r="AC394" s="22"/>
      <c r="AD394" s="22"/>
      <c r="AE394" s="22"/>
      <c r="AF394" s="22"/>
      <c r="AG394" s="22"/>
      <c r="AH394" s="22"/>
      <c r="AI394" s="22"/>
      <c r="AJ394" s="22"/>
      <c r="AK394" s="22"/>
      <c r="AL394" s="22"/>
    </row>
    <row r="395">
      <c r="A395" s="13" t="s">
        <v>20</v>
      </c>
      <c r="B395" s="13" t="s">
        <v>20</v>
      </c>
      <c r="C395" s="26">
        <v>45691.0</v>
      </c>
      <c r="D395" s="13" t="s">
        <v>25</v>
      </c>
      <c r="E395" s="13">
        <v>12.4</v>
      </c>
      <c r="F395" s="13" t="s">
        <v>27</v>
      </c>
      <c r="G395" s="13">
        <v>3.0</v>
      </c>
      <c r="H395" s="13" t="s">
        <v>23</v>
      </c>
      <c r="I395" s="23">
        <v>11.9378</v>
      </c>
      <c r="J395" s="23">
        <v>535.2013</v>
      </c>
      <c r="K395" s="23">
        <v>5.707</v>
      </c>
      <c r="L395" s="23">
        <v>0.054</v>
      </c>
      <c r="M395" s="22">
        <v>137.75966666666667</v>
      </c>
      <c r="N395" s="22">
        <v>29.055333333333333</v>
      </c>
      <c r="O395" s="22">
        <v>114.82333333333334</v>
      </c>
      <c r="P395" s="22">
        <v>28.410933333333332</v>
      </c>
      <c r="Q395" s="22">
        <v>71.06666666666666</v>
      </c>
      <c r="R395" s="22">
        <v>25.55933333333333</v>
      </c>
      <c r="S395" s="22"/>
      <c r="T395" s="22"/>
      <c r="U395" s="22"/>
      <c r="V395" s="22"/>
      <c r="W395" s="22"/>
      <c r="X395" s="22"/>
      <c r="Y395" s="22"/>
      <c r="Z395" s="22"/>
      <c r="AA395" s="22"/>
      <c r="AB395" s="22"/>
      <c r="AC395" s="22"/>
      <c r="AD395" s="22"/>
      <c r="AE395" s="22"/>
      <c r="AF395" s="22"/>
      <c r="AG395" s="22"/>
      <c r="AH395" s="22"/>
      <c r="AI395" s="22"/>
      <c r="AJ395" s="22"/>
      <c r="AK395" s="22"/>
      <c r="AL395" s="22"/>
    </row>
    <row r="396">
      <c r="A396" s="13" t="s">
        <v>20</v>
      </c>
      <c r="B396" s="13" t="s">
        <v>20</v>
      </c>
      <c r="C396" s="26">
        <v>45743.0</v>
      </c>
      <c r="D396" s="13" t="s">
        <v>21</v>
      </c>
      <c r="E396" s="13">
        <v>10.1</v>
      </c>
      <c r="F396" s="13" t="s">
        <v>27</v>
      </c>
      <c r="G396" s="13">
        <v>3.0</v>
      </c>
      <c r="H396" s="13" t="s">
        <v>26</v>
      </c>
      <c r="I396" s="23">
        <v>18.0122</v>
      </c>
      <c r="J396" s="23">
        <v>437.2626</v>
      </c>
      <c r="K396" s="23">
        <v>3.626</v>
      </c>
      <c r="L396" s="23">
        <v>0.065</v>
      </c>
      <c r="M396" s="22">
        <v>101.38066666666667</v>
      </c>
      <c r="N396" s="22">
        <v>27.376666666666665</v>
      </c>
      <c r="O396" s="22">
        <v>73.56833333333333</v>
      </c>
      <c r="P396" s="22">
        <v>27.929333333333332</v>
      </c>
      <c r="Q396" s="22">
        <v>46.711666666666666</v>
      </c>
      <c r="R396" s="22">
        <v>24.875333333333334</v>
      </c>
      <c r="S396" s="22"/>
      <c r="T396" s="22"/>
      <c r="U396" s="22"/>
      <c r="V396" s="22"/>
      <c r="W396" s="22"/>
      <c r="X396" s="22"/>
      <c r="Y396" s="22"/>
      <c r="Z396" s="22"/>
      <c r="AA396" s="22"/>
      <c r="AB396" s="22"/>
      <c r="AC396" s="22"/>
      <c r="AD396" s="22"/>
      <c r="AE396" s="22"/>
      <c r="AF396" s="22"/>
      <c r="AG396" s="22"/>
      <c r="AH396" s="22"/>
      <c r="AI396" s="22"/>
      <c r="AJ396" s="22"/>
      <c r="AK396" s="22"/>
      <c r="AL396" s="22"/>
    </row>
    <row r="397">
      <c r="A397" s="13" t="s">
        <v>20</v>
      </c>
      <c r="B397" s="13" t="s">
        <v>20</v>
      </c>
      <c r="C397" s="26">
        <v>45743.0</v>
      </c>
      <c r="D397" s="13" t="s">
        <v>21</v>
      </c>
      <c r="E397" s="13">
        <v>10.2</v>
      </c>
      <c r="F397" s="13" t="s">
        <v>27</v>
      </c>
      <c r="G397" s="13">
        <v>3.0</v>
      </c>
      <c r="H397" s="13" t="s">
        <v>26</v>
      </c>
      <c r="I397" s="23">
        <v>16.6569</v>
      </c>
      <c r="J397" s="23">
        <v>475.2852</v>
      </c>
      <c r="K397" s="23">
        <v>3.634</v>
      </c>
      <c r="L397" s="23">
        <v>0.013</v>
      </c>
      <c r="M397" s="22">
        <v>106.91733333333333</v>
      </c>
      <c r="N397" s="22">
        <v>28.792333333333335</v>
      </c>
      <c r="O397" s="22">
        <v>79.916</v>
      </c>
      <c r="P397" s="22">
        <v>28.667</v>
      </c>
      <c r="Q397" s="22">
        <v>51.186</v>
      </c>
      <c r="R397" s="22">
        <v>24.175</v>
      </c>
      <c r="S397" s="22"/>
      <c r="T397" s="22"/>
      <c r="U397" s="22"/>
      <c r="V397" s="22"/>
      <c r="W397" s="22"/>
      <c r="X397" s="22"/>
      <c r="Y397" s="22"/>
      <c r="Z397" s="22"/>
      <c r="AA397" s="22"/>
      <c r="AB397" s="22"/>
      <c r="AC397" s="22"/>
      <c r="AD397" s="22"/>
      <c r="AE397" s="22"/>
      <c r="AF397" s="22"/>
      <c r="AG397" s="22"/>
      <c r="AH397" s="22"/>
      <c r="AI397" s="22"/>
      <c r="AJ397" s="22"/>
      <c r="AK397" s="22"/>
      <c r="AL397" s="22"/>
    </row>
    <row r="398">
      <c r="A398" s="13" t="s">
        <v>20</v>
      </c>
      <c r="B398" s="13" t="s">
        <v>20</v>
      </c>
      <c r="C398" s="26">
        <v>45743.0</v>
      </c>
      <c r="D398" s="13" t="s">
        <v>21</v>
      </c>
      <c r="E398" s="13">
        <v>10.3</v>
      </c>
      <c r="F398" s="13" t="s">
        <v>27</v>
      </c>
      <c r="G398" s="13">
        <v>3.0</v>
      </c>
      <c r="H398" s="13" t="s">
        <v>26</v>
      </c>
      <c r="I398" s="23">
        <v>16.5442</v>
      </c>
      <c r="J398" s="23">
        <v>446.5032</v>
      </c>
      <c r="K398" s="23">
        <v>3.605</v>
      </c>
      <c r="L398" s="23">
        <v>0.026</v>
      </c>
      <c r="M398" s="22">
        <v>106.79766666666667</v>
      </c>
      <c r="N398" s="22">
        <v>27.397666666666666</v>
      </c>
      <c r="O398" s="22">
        <v>80.52733333333333</v>
      </c>
      <c r="P398" s="22">
        <v>28.205000000000002</v>
      </c>
      <c r="Q398" s="22">
        <v>50.363</v>
      </c>
      <c r="R398" s="22">
        <v>23.205333333333332</v>
      </c>
      <c r="S398" s="22"/>
      <c r="T398" s="22"/>
      <c r="U398" s="22"/>
      <c r="V398" s="22"/>
      <c r="W398" s="22"/>
      <c r="X398" s="22"/>
      <c r="Y398" s="22"/>
      <c r="Z398" s="22"/>
      <c r="AA398" s="22"/>
      <c r="AB398" s="22"/>
      <c r="AC398" s="22"/>
      <c r="AD398" s="22"/>
      <c r="AE398" s="22"/>
      <c r="AF398" s="22"/>
      <c r="AG398" s="22"/>
      <c r="AH398" s="22"/>
      <c r="AI398" s="22"/>
      <c r="AJ398" s="22"/>
      <c r="AK398" s="22"/>
      <c r="AL398" s="22"/>
    </row>
    <row r="399">
      <c r="A399" s="13" t="s">
        <v>20</v>
      </c>
      <c r="B399" s="13" t="s">
        <v>20</v>
      </c>
      <c r="C399" s="26">
        <v>45743.0</v>
      </c>
      <c r="D399" s="13" t="s">
        <v>21</v>
      </c>
      <c r="E399" s="13">
        <v>10.4</v>
      </c>
      <c r="F399" s="13" t="s">
        <v>27</v>
      </c>
      <c r="G399" s="13">
        <v>3.0</v>
      </c>
      <c r="H399" s="13" t="s">
        <v>26</v>
      </c>
      <c r="I399" s="23">
        <v>19.2881</v>
      </c>
      <c r="J399" s="23">
        <v>419.2374</v>
      </c>
      <c r="K399" s="23">
        <v>3.48</v>
      </c>
      <c r="L399" s="23">
        <v>0.064</v>
      </c>
      <c r="M399" s="22">
        <v>140.96066666666664</v>
      </c>
      <c r="N399" s="22">
        <v>29.882</v>
      </c>
      <c r="O399" s="22">
        <v>122.96766666666667</v>
      </c>
      <c r="P399" s="22">
        <v>27.223</v>
      </c>
      <c r="Q399" s="22">
        <v>97.28500000000001</v>
      </c>
      <c r="R399" s="22">
        <v>26.05633333333333</v>
      </c>
      <c r="S399" s="22"/>
      <c r="T399" s="22"/>
      <c r="U399" s="22"/>
      <c r="V399" s="22"/>
      <c r="W399" s="22"/>
      <c r="X399" s="22"/>
      <c r="Y399" s="22"/>
      <c r="Z399" s="22"/>
      <c r="AA399" s="22"/>
      <c r="AB399" s="22"/>
      <c r="AC399" s="22"/>
      <c r="AD399" s="22"/>
      <c r="AE399" s="22"/>
      <c r="AF399" s="22"/>
      <c r="AG399" s="22"/>
      <c r="AH399" s="22"/>
      <c r="AI399" s="22"/>
      <c r="AJ399" s="22"/>
      <c r="AK399" s="22"/>
      <c r="AL399" s="22"/>
    </row>
    <row r="400">
      <c r="A400" s="13" t="s">
        <v>20</v>
      </c>
      <c r="B400" s="13" t="s">
        <v>20</v>
      </c>
      <c r="C400" s="26">
        <v>45743.0</v>
      </c>
      <c r="D400" s="13" t="s">
        <v>21</v>
      </c>
      <c r="E400" s="13">
        <v>11.1</v>
      </c>
      <c r="F400" s="13" t="s">
        <v>27</v>
      </c>
      <c r="G400" s="13">
        <v>3.0</v>
      </c>
      <c r="H400" s="13" t="s">
        <v>26</v>
      </c>
      <c r="I400" s="23">
        <v>18.4255</v>
      </c>
      <c r="J400" s="23">
        <v>454.4254</v>
      </c>
      <c r="K400" s="23">
        <v>4.089</v>
      </c>
      <c r="L400" s="23">
        <v>0.048</v>
      </c>
      <c r="M400" s="22">
        <v>112.373</v>
      </c>
      <c r="N400" s="22">
        <v>25.445333333333334</v>
      </c>
      <c r="O400" s="22">
        <v>71.33266666666667</v>
      </c>
      <c r="P400" s="22">
        <v>23.566999999999997</v>
      </c>
      <c r="Q400" s="22">
        <v>33.25033333333334</v>
      </c>
      <c r="R400" s="22">
        <v>17.371</v>
      </c>
      <c r="S400" s="22"/>
      <c r="T400" s="22"/>
      <c r="U400" s="22"/>
      <c r="V400" s="22"/>
      <c r="W400" s="22"/>
      <c r="X400" s="22"/>
      <c r="Y400" s="22"/>
      <c r="Z400" s="22"/>
      <c r="AA400" s="22"/>
      <c r="AB400" s="22"/>
      <c r="AC400" s="22"/>
      <c r="AD400" s="22"/>
      <c r="AE400" s="22"/>
      <c r="AF400" s="22"/>
      <c r="AG400" s="22"/>
      <c r="AH400" s="22"/>
      <c r="AI400" s="22"/>
      <c r="AJ400" s="22"/>
      <c r="AK400" s="22"/>
      <c r="AL400" s="22"/>
    </row>
    <row r="401">
      <c r="A401" s="13" t="s">
        <v>20</v>
      </c>
      <c r="B401" s="13" t="s">
        <v>20</v>
      </c>
      <c r="C401" s="26">
        <v>45743.0</v>
      </c>
      <c r="D401" s="13" t="s">
        <v>21</v>
      </c>
      <c r="E401" s="13">
        <v>11.2</v>
      </c>
      <c r="F401" s="13" t="s">
        <v>27</v>
      </c>
      <c r="G401" s="13">
        <v>3.0</v>
      </c>
      <c r="H401" s="13" t="s">
        <v>26</v>
      </c>
      <c r="I401" s="23">
        <v>21.6687</v>
      </c>
      <c r="J401" s="23">
        <v>440.4</v>
      </c>
      <c r="K401" s="23">
        <v>4.929</v>
      </c>
      <c r="L401" s="23">
        <v>0.066</v>
      </c>
      <c r="M401" s="22">
        <v>108.00966666666666</v>
      </c>
      <c r="N401" s="22">
        <v>25.658666666666665</v>
      </c>
      <c r="O401" s="22">
        <v>67.47166666666666</v>
      </c>
      <c r="P401" s="22">
        <v>25.305999999999997</v>
      </c>
      <c r="Q401" s="22">
        <v>31.385333333333335</v>
      </c>
      <c r="R401" s="22">
        <v>22.126666666666665</v>
      </c>
      <c r="S401" s="22"/>
      <c r="T401" s="22"/>
      <c r="U401" s="22"/>
      <c r="V401" s="22"/>
      <c r="W401" s="22"/>
      <c r="X401" s="22"/>
      <c r="Y401" s="22"/>
      <c r="Z401" s="22"/>
      <c r="AA401" s="22"/>
      <c r="AB401" s="22"/>
      <c r="AC401" s="22"/>
      <c r="AD401" s="22"/>
      <c r="AE401" s="22"/>
      <c r="AF401" s="22"/>
      <c r="AG401" s="22"/>
      <c r="AH401" s="22"/>
      <c r="AI401" s="22"/>
      <c r="AJ401" s="22"/>
      <c r="AK401" s="22"/>
      <c r="AL401" s="22"/>
    </row>
    <row r="402">
      <c r="A402" s="13" t="s">
        <v>20</v>
      </c>
      <c r="B402" s="13" t="s">
        <v>20</v>
      </c>
      <c r="C402" s="26">
        <v>45743.0</v>
      </c>
      <c r="D402" s="13" t="s">
        <v>21</v>
      </c>
      <c r="E402" s="13">
        <v>11.3</v>
      </c>
      <c r="F402" s="13" t="s">
        <v>27</v>
      </c>
      <c r="G402" s="13">
        <v>3.0</v>
      </c>
      <c r="H402" s="13" t="s">
        <v>26</v>
      </c>
      <c r="I402" s="23">
        <v>20.1452</v>
      </c>
      <c r="J402" s="23">
        <v>438.1052</v>
      </c>
      <c r="K402" s="23">
        <v>4.949</v>
      </c>
      <c r="L402" s="23">
        <v>0.023</v>
      </c>
      <c r="M402" s="22">
        <v>112.86333333333333</v>
      </c>
      <c r="N402" s="22">
        <v>28.051333333333332</v>
      </c>
      <c r="O402" s="22">
        <v>71.90266666666666</v>
      </c>
      <c r="P402" s="22">
        <v>26.243</v>
      </c>
      <c r="Q402" s="22">
        <v>33.30166666666667</v>
      </c>
      <c r="R402" s="22">
        <v>23.570666666666664</v>
      </c>
      <c r="S402" s="22"/>
      <c r="T402" s="22"/>
      <c r="U402" s="22"/>
      <c r="V402" s="22"/>
      <c r="W402" s="22"/>
      <c r="X402" s="22"/>
      <c r="Y402" s="22"/>
      <c r="Z402" s="22"/>
      <c r="AA402" s="22"/>
      <c r="AB402" s="22"/>
      <c r="AC402" s="22"/>
      <c r="AD402" s="22"/>
      <c r="AE402" s="22"/>
      <c r="AF402" s="22"/>
      <c r="AG402" s="22"/>
      <c r="AH402" s="22"/>
      <c r="AI402" s="22"/>
      <c r="AJ402" s="22"/>
      <c r="AK402" s="22"/>
      <c r="AL402" s="22"/>
    </row>
    <row r="403">
      <c r="A403" s="13" t="s">
        <v>20</v>
      </c>
      <c r="B403" s="13" t="s">
        <v>20</v>
      </c>
      <c r="C403" s="26">
        <v>45743.0</v>
      </c>
      <c r="D403" s="13" t="s">
        <v>21</v>
      </c>
      <c r="E403" s="13">
        <v>11.4</v>
      </c>
      <c r="F403" s="13" t="s">
        <v>27</v>
      </c>
      <c r="G403" s="13">
        <v>3.0</v>
      </c>
      <c r="H403" s="13" t="s">
        <v>26</v>
      </c>
      <c r="I403" s="23">
        <v>17.1523</v>
      </c>
      <c r="J403" s="23">
        <v>414.0852</v>
      </c>
      <c r="K403" s="23">
        <v>4.785</v>
      </c>
      <c r="L403" s="23">
        <v>0.045</v>
      </c>
      <c r="M403" s="22">
        <v>155.71533333333332</v>
      </c>
      <c r="N403" s="22">
        <v>32.10066666666667</v>
      </c>
      <c r="O403" s="22">
        <v>126.717</v>
      </c>
      <c r="P403" s="22">
        <v>30.307999999999996</v>
      </c>
      <c r="Q403" s="22">
        <v>88.61166666666666</v>
      </c>
      <c r="R403" s="22">
        <v>26.844666666666665</v>
      </c>
      <c r="S403" s="22"/>
      <c r="T403" s="22"/>
      <c r="U403" s="22"/>
      <c r="V403" s="22"/>
      <c r="W403" s="22"/>
      <c r="X403" s="22"/>
      <c r="Y403" s="22"/>
      <c r="Z403" s="22"/>
      <c r="AA403" s="22"/>
      <c r="AB403" s="22"/>
      <c r="AC403" s="22"/>
      <c r="AD403" s="22"/>
      <c r="AE403" s="22"/>
      <c r="AF403" s="22"/>
      <c r="AG403" s="22"/>
      <c r="AH403" s="22"/>
      <c r="AI403" s="22"/>
      <c r="AJ403" s="22"/>
      <c r="AK403" s="22"/>
      <c r="AL403" s="22"/>
    </row>
    <row r="404">
      <c r="A404" s="13" t="s">
        <v>20</v>
      </c>
      <c r="B404" s="13" t="s">
        <v>20</v>
      </c>
      <c r="C404" s="26">
        <v>45743.0</v>
      </c>
      <c r="D404" s="13" t="s">
        <v>21</v>
      </c>
      <c r="E404" s="13">
        <v>12.1</v>
      </c>
      <c r="F404" s="13" t="s">
        <v>27</v>
      </c>
      <c r="G404" s="13">
        <v>3.0</v>
      </c>
      <c r="H404" s="13" t="s">
        <v>26</v>
      </c>
      <c r="I404" s="23">
        <v>17.8061</v>
      </c>
      <c r="J404" s="23">
        <v>439.2148</v>
      </c>
      <c r="K404" s="23">
        <v>2.981</v>
      </c>
      <c r="L404" s="23">
        <v>0.024</v>
      </c>
      <c r="M404" s="22">
        <v>129.53599999999997</v>
      </c>
      <c r="N404" s="22">
        <v>24.781666666666666</v>
      </c>
      <c r="O404" s="22">
        <v>93.62633333333333</v>
      </c>
      <c r="P404" s="22">
        <v>22.337666666666667</v>
      </c>
      <c r="Q404" s="22">
        <v>45.348000000000006</v>
      </c>
      <c r="R404" s="22">
        <v>20.44966666666667</v>
      </c>
      <c r="S404" s="22"/>
      <c r="T404" s="22"/>
      <c r="U404" s="22"/>
      <c r="V404" s="22"/>
      <c r="W404" s="22"/>
      <c r="X404" s="22"/>
      <c r="Y404" s="22"/>
      <c r="Z404" s="22"/>
      <c r="AA404" s="22"/>
      <c r="AB404" s="22"/>
      <c r="AC404" s="22"/>
      <c r="AD404" s="22"/>
      <c r="AE404" s="22"/>
      <c r="AF404" s="22"/>
      <c r="AG404" s="22"/>
      <c r="AH404" s="22"/>
      <c r="AI404" s="22"/>
      <c r="AJ404" s="22"/>
      <c r="AK404" s="22"/>
      <c r="AL404" s="22"/>
    </row>
    <row r="405">
      <c r="A405" s="13" t="s">
        <v>20</v>
      </c>
      <c r="B405" s="13" t="s">
        <v>20</v>
      </c>
      <c r="C405" s="26">
        <v>45743.0</v>
      </c>
      <c r="D405" s="13" t="s">
        <v>21</v>
      </c>
      <c r="E405" s="13">
        <v>12.2</v>
      </c>
      <c r="F405" s="13" t="s">
        <v>27</v>
      </c>
      <c r="G405" s="13">
        <v>3.0</v>
      </c>
      <c r="H405" s="13" t="s">
        <v>26</v>
      </c>
      <c r="I405" s="23">
        <v>18.2317</v>
      </c>
      <c r="J405" s="23">
        <v>439.2389</v>
      </c>
      <c r="K405" s="23">
        <v>3.495</v>
      </c>
      <c r="L405" s="23">
        <v>0.036</v>
      </c>
      <c r="M405" s="22">
        <v>135.787</v>
      </c>
      <c r="N405" s="22">
        <v>25.064666666666668</v>
      </c>
      <c r="O405" s="22">
        <v>98.29633333333334</v>
      </c>
      <c r="P405" s="22">
        <v>22.246333333333336</v>
      </c>
      <c r="Q405" s="22">
        <v>49.04466666666667</v>
      </c>
      <c r="R405" s="22">
        <v>24.10166666666667</v>
      </c>
      <c r="S405" s="22"/>
      <c r="T405" s="22"/>
      <c r="U405" s="22"/>
      <c r="V405" s="22"/>
      <c r="W405" s="22"/>
      <c r="X405" s="22"/>
      <c r="Y405" s="22"/>
      <c r="Z405" s="22"/>
      <c r="AA405" s="22"/>
      <c r="AB405" s="22"/>
      <c r="AC405" s="22"/>
      <c r="AD405" s="22"/>
      <c r="AE405" s="22"/>
      <c r="AF405" s="22"/>
      <c r="AG405" s="22"/>
      <c r="AH405" s="22"/>
      <c r="AI405" s="22"/>
      <c r="AJ405" s="22"/>
      <c r="AK405" s="22"/>
      <c r="AL405" s="22"/>
    </row>
    <row r="406">
      <c r="A406" s="13" t="s">
        <v>20</v>
      </c>
      <c r="B406" s="13" t="s">
        <v>20</v>
      </c>
      <c r="C406" s="26">
        <v>45743.0</v>
      </c>
      <c r="D406" s="13" t="s">
        <v>21</v>
      </c>
      <c r="E406" s="13">
        <v>12.3</v>
      </c>
      <c r="F406" s="13" t="s">
        <v>27</v>
      </c>
      <c r="G406" s="13">
        <v>3.0</v>
      </c>
      <c r="H406" s="13" t="s">
        <v>26</v>
      </c>
      <c r="I406" s="23">
        <v>18.7269</v>
      </c>
      <c r="J406" s="23">
        <v>441.6016</v>
      </c>
      <c r="K406" s="23">
        <v>2.841</v>
      </c>
      <c r="L406" s="23">
        <v>0.03</v>
      </c>
      <c r="M406" s="22">
        <v>140.026</v>
      </c>
      <c r="N406" s="22">
        <v>23.566000000000003</v>
      </c>
      <c r="O406" s="22">
        <v>102.613</v>
      </c>
      <c r="P406" s="22">
        <v>20.307333333333332</v>
      </c>
      <c r="Q406" s="22">
        <v>52.717000000000006</v>
      </c>
      <c r="R406" s="22">
        <v>20.531333333333333</v>
      </c>
      <c r="S406" s="22"/>
      <c r="T406" s="22"/>
      <c r="U406" s="22"/>
      <c r="V406" s="22"/>
      <c r="W406" s="22"/>
      <c r="X406" s="22"/>
      <c r="Y406" s="22"/>
      <c r="Z406" s="22"/>
      <c r="AA406" s="22"/>
      <c r="AB406" s="22"/>
      <c r="AC406" s="22"/>
      <c r="AD406" s="22"/>
      <c r="AE406" s="22"/>
      <c r="AF406" s="22"/>
      <c r="AG406" s="22"/>
      <c r="AH406" s="22"/>
      <c r="AI406" s="22"/>
      <c r="AJ406" s="22"/>
      <c r="AK406" s="22"/>
      <c r="AL406" s="22"/>
    </row>
    <row r="407">
      <c r="A407" s="13" t="s">
        <v>20</v>
      </c>
      <c r="B407" s="13" t="s">
        <v>20</v>
      </c>
      <c r="C407" s="26">
        <v>45743.0</v>
      </c>
      <c r="D407" s="13" t="s">
        <v>21</v>
      </c>
      <c r="E407" s="13">
        <v>12.4</v>
      </c>
      <c r="F407" s="13" t="s">
        <v>27</v>
      </c>
      <c r="G407" s="13">
        <v>3.0</v>
      </c>
      <c r="H407" s="13" t="s">
        <v>26</v>
      </c>
      <c r="I407" s="23">
        <v>16.2416</v>
      </c>
      <c r="J407" s="23">
        <v>423.7088</v>
      </c>
      <c r="K407" s="23">
        <v>2.968</v>
      </c>
      <c r="L407" s="23">
        <v>0.019</v>
      </c>
      <c r="M407" s="22">
        <v>164.78666666666666</v>
      </c>
      <c r="N407" s="22">
        <v>32.77233333333333</v>
      </c>
      <c r="O407" s="22">
        <v>137.7876666666667</v>
      </c>
      <c r="P407" s="22">
        <v>29.616666666666664</v>
      </c>
      <c r="Q407" s="22">
        <v>97.16566666666667</v>
      </c>
      <c r="R407" s="22">
        <v>24.367</v>
      </c>
      <c r="S407" s="22"/>
      <c r="T407" s="22"/>
      <c r="U407" s="22"/>
      <c r="V407" s="22"/>
      <c r="W407" s="22"/>
      <c r="X407" s="22"/>
      <c r="Y407" s="22"/>
      <c r="Z407" s="22"/>
      <c r="AA407" s="22"/>
      <c r="AB407" s="22"/>
      <c r="AC407" s="22"/>
      <c r="AD407" s="22"/>
      <c r="AE407" s="22"/>
      <c r="AF407" s="22"/>
      <c r="AG407" s="22"/>
      <c r="AH407" s="22"/>
      <c r="AI407" s="22"/>
      <c r="AJ407" s="22"/>
      <c r="AK407" s="22"/>
      <c r="AL407" s="22"/>
    </row>
    <row r="408">
      <c r="A408" s="13" t="s">
        <v>20</v>
      </c>
      <c r="B408" s="13" t="s">
        <v>20</v>
      </c>
      <c r="C408" s="26">
        <v>45743.0</v>
      </c>
      <c r="D408" s="13" t="s">
        <v>24</v>
      </c>
      <c r="E408" s="13">
        <v>10.1</v>
      </c>
      <c r="F408" s="13" t="s">
        <v>27</v>
      </c>
      <c r="G408" s="13">
        <v>3.0</v>
      </c>
      <c r="H408" s="13" t="s">
        <v>26</v>
      </c>
      <c r="I408" s="23">
        <v>20.1482</v>
      </c>
      <c r="J408" s="23">
        <v>471.6</v>
      </c>
      <c r="K408" s="23">
        <v>9.53</v>
      </c>
      <c r="L408" s="23">
        <v>0.046</v>
      </c>
      <c r="M408" s="22">
        <v>140.01466666666667</v>
      </c>
      <c r="N408" s="22">
        <v>21.465333333333334</v>
      </c>
      <c r="O408" s="22">
        <v>102.84733333333334</v>
      </c>
      <c r="P408" s="22">
        <v>21.079333333333334</v>
      </c>
      <c r="Q408" s="22">
        <v>61.897333333333336</v>
      </c>
      <c r="R408" s="22">
        <v>24.108999999999998</v>
      </c>
      <c r="S408" s="22"/>
      <c r="T408" s="22"/>
      <c r="U408" s="22"/>
      <c r="V408" s="22"/>
      <c r="W408" s="22"/>
      <c r="X408" s="22"/>
      <c r="Y408" s="22"/>
      <c r="Z408" s="22"/>
      <c r="AA408" s="22"/>
      <c r="AB408" s="22"/>
      <c r="AC408" s="22"/>
      <c r="AD408" s="22"/>
      <c r="AE408" s="22"/>
      <c r="AF408" s="22"/>
      <c r="AG408" s="22"/>
      <c r="AH408" s="22"/>
      <c r="AI408" s="22"/>
      <c r="AJ408" s="22"/>
      <c r="AK408" s="22"/>
      <c r="AL408" s="22"/>
    </row>
    <row r="409">
      <c r="A409" s="13" t="s">
        <v>20</v>
      </c>
      <c r="B409" s="13" t="s">
        <v>20</v>
      </c>
      <c r="C409" s="26">
        <v>45743.0</v>
      </c>
      <c r="D409" s="13" t="s">
        <v>24</v>
      </c>
      <c r="E409" s="13">
        <v>10.2</v>
      </c>
      <c r="F409" s="13" t="s">
        <v>27</v>
      </c>
      <c r="G409" s="13">
        <v>3.0</v>
      </c>
      <c r="H409" s="13" t="s">
        <v>26</v>
      </c>
      <c r="I409" s="23">
        <v>16.5983</v>
      </c>
      <c r="J409" s="23">
        <v>432.1666</v>
      </c>
      <c r="K409" s="23">
        <v>7.14</v>
      </c>
      <c r="L409" s="23">
        <v>0.015</v>
      </c>
      <c r="M409" s="22">
        <v>136.359</v>
      </c>
      <c r="N409" s="22">
        <v>22.502</v>
      </c>
      <c r="O409" s="22">
        <v>100.63333333333333</v>
      </c>
      <c r="P409" s="22">
        <v>19.862666666666666</v>
      </c>
      <c r="Q409" s="22">
        <v>62.72366666666667</v>
      </c>
      <c r="R409" s="22">
        <v>21.528333333333336</v>
      </c>
      <c r="S409" s="22"/>
      <c r="T409" s="22"/>
      <c r="U409" s="22"/>
      <c r="V409" s="22"/>
      <c r="W409" s="22"/>
      <c r="X409" s="22"/>
      <c r="Y409" s="22"/>
      <c r="Z409" s="22"/>
      <c r="AA409" s="22"/>
      <c r="AB409" s="22"/>
      <c r="AC409" s="22"/>
      <c r="AD409" s="22"/>
      <c r="AE409" s="22"/>
      <c r="AF409" s="22"/>
      <c r="AG409" s="22"/>
      <c r="AH409" s="22"/>
      <c r="AI409" s="22"/>
      <c r="AJ409" s="22"/>
      <c r="AK409" s="22"/>
      <c r="AL409" s="22"/>
    </row>
    <row r="410">
      <c r="A410" s="13" t="s">
        <v>20</v>
      </c>
      <c r="B410" s="13" t="s">
        <v>20</v>
      </c>
      <c r="C410" s="26">
        <v>45743.0</v>
      </c>
      <c r="D410" s="13" t="s">
        <v>24</v>
      </c>
      <c r="E410" s="13">
        <v>10.3</v>
      </c>
      <c r="F410" s="13" t="s">
        <v>27</v>
      </c>
      <c r="G410" s="13">
        <v>3.0</v>
      </c>
      <c r="H410" s="13" t="s">
        <v>26</v>
      </c>
      <c r="I410" s="23">
        <v>16.8611</v>
      </c>
      <c r="J410" s="23">
        <v>454.8063</v>
      </c>
      <c r="K410" s="23">
        <v>9.701</v>
      </c>
      <c r="L410" s="23">
        <v>0.03</v>
      </c>
      <c r="M410" s="22">
        <v>139.88533333333334</v>
      </c>
      <c r="N410" s="22">
        <v>22.486</v>
      </c>
      <c r="O410" s="22">
        <v>103.08966666666667</v>
      </c>
      <c r="P410" s="22">
        <v>21.51833333333333</v>
      </c>
      <c r="Q410" s="22">
        <v>64.415</v>
      </c>
      <c r="R410" s="22">
        <v>24.328666666666667</v>
      </c>
      <c r="S410" s="22"/>
      <c r="T410" s="22"/>
      <c r="U410" s="22"/>
      <c r="V410" s="22"/>
      <c r="W410" s="22"/>
      <c r="X410" s="22"/>
      <c r="Y410" s="22"/>
      <c r="Z410" s="22"/>
      <c r="AA410" s="22"/>
      <c r="AB410" s="22"/>
      <c r="AC410" s="22"/>
      <c r="AD410" s="22"/>
      <c r="AE410" s="22"/>
      <c r="AF410" s="22"/>
      <c r="AG410" s="22"/>
      <c r="AH410" s="22"/>
      <c r="AI410" s="22"/>
      <c r="AJ410" s="22"/>
      <c r="AK410" s="22"/>
      <c r="AL410" s="22"/>
    </row>
    <row r="411">
      <c r="A411" s="13" t="s">
        <v>20</v>
      </c>
      <c r="B411" s="13" t="s">
        <v>20</v>
      </c>
      <c r="C411" s="26">
        <v>45743.0</v>
      </c>
      <c r="D411" s="13" t="s">
        <v>24</v>
      </c>
      <c r="E411" s="13">
        <v>10.4</v>
      </c>
      <c r="F411" s="13" t="s">
        <v>27</v>
      </c>
      <c r="G411" s="13">
        <v>3.0</v>
      </c>
      <c r="H411" s="13" t="s">
        <v>26</v>
      </c>
      <c r="I411" s="23">
        <v>20.2604</v>
      </c>
      <c r="J411" s="23">
        <v>382.8677</v>
      </c>
      <c r="K411" s="23">
        <v>9.543</v>
      </c>
      <c r="L411" s="23">
        <v>0.099</v>
      </c>
      <c r="M411" s="22">
        <v>166.992</v>
      </c>
      <c r="N411" s="22">
        <v>27.868333333333336</v>
      </c>
      <c r="O411" s="22">
        <v>136.22733333333335</v>
      </c>
      <c r="P411" s="22">
        <v>23.665333333333336</v>
      </c>
      <c r="Q411" s="22">
        <v>107.40466666666667</v>
      </c>
      <c r="R411" s="22">
        <v>23.646666666666665</v>
      </c>
      <c r="S411" s="22"/>
      <c r="T411" s="22"/>
      <c r="U411" s="22"/>
      <c r="V411" s="22"/>
      <c r="W411" s="22"/>
      <c r="X411" s="22"/>
      <c r="Y411" s="22"/>
      <c r="Z411" s="22"/>
      <c r="AA411" s="22"/>
      <c r="AB411" s="22"/>
      <c r="AC411" s="22"/>
      <c r="AD411" s="22"/>
      <c r="AE411" s="22"/>
      <c r="AF411" s="22"/>
      <c r="AG411" s="22"/>
      <c r="AH411" s="22"/>
      <c r="AI411" s="22"/>
      <c r="AJ411" s="22"/>
      <c r="AK411" s="22"/>
      <c r="AL411" s="22"/>
    </row>
    <row r="412">
      <c r="A412" s="13" t="s">
        <v>20</v>
      </c>
      <c r="B412" s="13" t="s">
        <v>20</v>
      </c>
      <c r="C412" s="26">
        <v>45743.0</v>
      </c>
      <c r="D412" s="13" t="s">
        <v>24</v>
      </c>
      <c r="E412" s="13">
        <v>11.1</v>
      </c>
      <c r="F412" s="13" t="s">
        <v>27</v>
      </c>
      <c r="G412" s="13">
        <v>3.0</v>
      </c>
      <c r="H412" s="13" t="s">
        <v>26</v>
      </c>
      <c r="I412" s="23">
        <v>28.0072</v>
      </c>
      <c r="J412" s="23">
        <v>464.414</v>
      </c>
      <c r="K412" s="23">
        <v>8.776</v>
      </c>
      <c r="L412" s="23">
        <v>0.056</v>
      </c>
      <c r="M412" s="22">
        <v>139.41066666666666</v>
      </c>
      <c r="N412" s="22">
        <v>26.788666666666668</v>
      </c>
      <c r="O412" s="22">
        <v>112.84666666666668</v>
      </c>
      <c r="P412" s="22">
        <v>24.552666666666667</v>
      </c>
      <c r="Q412" s="22">
        <v>80.16966666666667</v>
      </c>
      <c r="R412" s="22">
        <v>24.852666666666668</v>
      </c>
      <c r="S412" s="22"/>
      <c r="T412" s="22"/>
      <c r="U412" s="22"/>
      <c r="V412" s="22"/>
      <c r="W412" s="22"/>
      <c r="X412" s="22"/>
      <c r="Y412" s="22"/>
      <c r="Z412" s="22"/>
      <c r="AA412" s="22"/>
      <c r="AB412" s="22"/>
      <c r="AC412" s="22"/>
      <c r="AD412" s="22"/>
      <c r="AE412" s="22"/>
      <c r="AF412" s="22"/>
      <c r="AG412" s="22"/>
      <c r="AH412" s="22"/>
      <c r="AI412" s="22"/>
      <c r="AJ412" s="22"/>
      <c r="AK412" s="22"/>
      <c r="AL412" s="22"/>
    </row>
    <row r="413">
      <c r="A413" s="13" t="s">
        <v>20</v>
      </c>
      <c r="B413" s="13" t="s">
        <v>20</v>
      </c>
      <c r="C413" s="26">
        <v>45743.0</v>
      </c>
      <c r="D413" s="13" t="s">
        <v>24</v>
      </c>
      <c r="E413" s="13">
        <v>11.2</v>
      </c>
      <c r="F413" s="13" t="s">
        <v>27</v>
      </c>
      <c r="G413" s="13">
        <v>3.0</v>
      </c>
      <c r="H413" s="13" t="s">
        <v>26</v>
      </c>
      <c r="I413" s="23">
        <v>19.2722</v>
      </c>
      <c r="J413" s="23">
        <v>451.2255</v>
      </c>
      <c r="K413" s="23">
        <v>6.599</v>
      </c>
      <c r="L413" s="23">
        <v>0.036</v>
      </c>
      <c r="M413" s="22">
        <v>147.60799999999998</v>
      </c>
      <c r="N413" s="22">
        <v>18.214000000000002</v>
      </c>
      <c r="O413" s="22">
        <v>119.63533333333334</v>
      </c>
      <c r="P413" s="22">
        <v>16.543</v>
      </c>
      <c r="Q413" s="22">
        <v>82.61399999999999</v>
      </c>
      <c r="R413" s="22">
        <v>20.64466666666667</v>
      </c>
      <c r="S413" s="22"/>
      <c r="T413" s="22"/>
      <c r="U413" s="22"/>
      <c r="V413" s="22"/>
      <c r="W413" s="22"/>
      <c r="X413" s="22"/>
      <c r="Y413" s="22"/>
      <c r="Z413" s="22"/>
      <c r="AA413" s="22"/>
      <c r="AB413" s="22"/>
      <c r="AC413" s="22"/>
      <c r="AD413" s="22"/>
      <c r="AE413" s="22"/>
      <c r="AF413" s="22"/>
      <c r="AG413" s="22"/>
      <c r="AH413" s="22"/>
      <c r="AI413" s="22"/>
      <c r="AJ413" s="22"/>
      <c r="AK413" s="22"/>
      <c r="AL413" s="22"/>
    </row>
    <row r="414">
      <c r="A414" s="13" t="s">
        <v>20</v>
      </c>
      <c r="B414" s="13" t="s">
        <v>20</v>
      </c>
      <c r="C414" s="26">
        <v>45743.0</v>
      </c>
      <c r="D414" s="13" t="s">
        <v>24</v>
      </c>
      <c r="E414" s="13">
        <v>11.3</v>
      </c>
      <c r="F414" s="13" t="s">
        <v>27</v>
      </c>
      <c r="G414" s="13">
        <v>3.0</v>
      </c>
      <c r="H414" s="13" t="s">
        <v>26</v>
      </c>
      <c r="I414" s="23">
        <v>15.2309</v>
      </c>
      <c r="J414" s="23">
        <v>465.6015</v>
      </c>
      <c r="K414" s="23">
        <v>5.95</v>
      </c>
      <c r="L414" s="23">
        <v>0.021</v>
      </c>
      <c r="M414" s="22">
        <v>139.52599999999998</v>
      </c>
      <c r="N414" s="22">
        <v>32.775333333333336</v>
      </c>
      <c r="O414" s="22">
        <v>77.736</v>
      </c>
      <c r="P414" s="22">
        <v>31.81266666666667</v>
      </c>
      <c r="Q414" s="22">
        <v>79.31066666666668</v>
      </c>
      <c r="R414" s="22">
        <v>30.673999999999996</v>
      </c>
      <c r="S414" s="22"/>
      <c r="T414" s="22"/>
      <c r="U414" s="22"/>
      <c r="V414" s="22"/>
      <c r="W414" s="22"/>
      <c r="X414" s="22"/>
      <c r="Y414" s="22"/>
      <c r="Z414" s="22"/>
      <c r="AA414" s="22"/>
      <c r="AB414" s="22"/>
      <c r="AC414" s="22"/>
      <c r="AD414" s="22"/>
      <c r="AE414" s="22"/>
      <c r="AF414" s="22"/>
      <c r="AG414" s="22"/>
      <c r="AH414" s="22"/>
      <c r="AI414" s="22"/>
      <c r="AJ414" s="22"/>
      <c r="AK414" s="22"/>
      <c r="AL414" s="22"/>
    </row>
    <row r="415">
      <c r="A415" s="13" t="s">
        <v>20</v>
      </c>
      <c r="B415" s="13" t="s">
        <v>20</v>
      </c>
      <c r="C415" s="26">
        <v>45743.0</v>
      </c>
      <c r="D415" s="13" t="s">
        <v>24</v>
      </c>
      <c r="E415" s="13">
        <v>11.4</v>
      </c>
      <c r="F415" s="13" t="s">
        <v>27</v>
      </c>
      <c r="G415" s="13">
        <v>3.0</v>
      </c>
      <c r="H415" s="13" t="s">
        <v>26</v>
      </c>
      <c r="I415" s="23">
        <v>13.4968</v>
      </c>
      <c r="J415" s="23">
        <v>412.8628</v>
      </c>
      <c r="K415" s="23">
        <v>4.785</v>
      </c>
      <c r="L415" s="23">
        <v>0.028</v>
      </c>
      <c r="M415" s="22">
        <v>145.92466666666667</v>
      </c>
      <c r="N415" s="22">
        <v>36.01966666666667</v>
      </c>
      <c r="O415" s="22">
        <v>111.04833333333333</v>
      </c>
      <c r="P415" s="22">
        <v>30.750333333333334</v>
      </c>
      <c r="Q415" s="22">
        <v>74.92266666666666</v>
      </c>
      <c r="R415" s="22">
        <v>25.76</v>
      </c>
      <c r="S415" s="22"/>
      <c r="T415" s="22"/>
      <c r="U415" s="22"/>
      <c r="V415" s="22"/>
      <c r="W415" s="22"/>
      <c r="X415" s="22"/>
      <c r="Y415" s="22"/>
      <c r="Z415" s="22"/>
      <c r="AA415" s="22"/>
      <c r="AB415" s="22"/>
      <c r="AC415" s="22"/>
      <c r="AD415" s="22"/>
      <c r="AE415" s="22"/>
      <c r="AF415" s="22"/>
      <c r="AG415" s="22"/>
      <c r="AH415" s="22"/>
      <c r="AI415" s="22"/>
      <c r="AJ415" s="22"/>
      <c r="AK415" s="22"/>
      <c r="AL415" s="22"/>
    </row>
    <row r="416">
      <c r="A416" s="13" t="s">
        <v>20</v>
      </c>
      <c r="B416" s="13" t="s">
        <v>20</v>
      </c>
      <c r="C416" s="26">
        <v>45743.0</v>
      </c>
      <c r="D416" s="13" t="s">
        <v>24</v>
      </c>
      <c r="E416" s="13">
        <v>12.1</v>
      </c>
      <c r="F416" s="13" t="s">
        <v>27</v>
      </c>
      <c r="G416" s="13">
        <v>3.0</v>
      </c>
      <c r="H416" s="13" t="s">
        <v>26</v>
      </c>
      <c r="I416" s="23">
        <v>14.4751</v>
      </c>
      <c r="J416" s="23">
        <v>471.655</v>
      </c>
      <c r="K416" s="23">
        <v>5.326</v>
      </c>
      <c r="L416" s="23">
        <v>0.042</v>
      </c>
      <c r="M416" s="22">
        <v>120.99533333333333</v>
      </c>
      <c r="N416" s="22">
        <v>33.86266666666668</v>
      </c>
      <c r="O416" s="22">
        <v>93.45433333333334</v>
      </c>
      <c r="P416" s="22">
        <v>33.34766666666666</v>
      </c>
      <c r="Q416" s="22">
        <v>65.04366666666667</v>
      </c>
      <c r="R416" s="22">
        <v>30.879666666666665</v>
      </c>
      <c r="S416" s="22"/>
      <c r="T416" s="22"/>
      <c r="U416" s="22"/>
      <c r="V416" s="22"/>
      <c r="W416" s="22"/>
      <c r="X416" s="22"/>
      <c r="Y416" s="22"/>
      <c r="Z416" s="22"/>
      <c r="AA416" s="22"/>
      <c r="AB416" s="22"/>
      <c r="AC416" s="22"/>
      <c r="AD416" s="22"/>
      <c r="AE416" s="22"/>
      <c r="AF416" s="22"/>
      <c r="AG416" s="22"/>
      <c r="AH416" s="22"/>
      <c r="AI416" s="22"/>
      <c r="AJ416" s="22"/>
      <c r="AK416" s="22"/>
      <c r="AL416" s="22"/>
    </row>
    <row r="417">
      <c r="A417" s="13" t="s">
        <v>20</v>
      </c>
      <c r="B417" s="13" t="s">
        <v>20</v>
      </c>
      <c r="C417" s="26">
        <v>45743.0</v>
      </c>
      <c r="D417" s="13" t="s">
        <v>24</v>
      </c>
      <c r="E417" s="13">
        <v>12.2</v>
      </c>
      <c r="F417" s="13" t="s">
        <v>27</v>
      </c>
      <c r="G417" s="13">
        <v>3.0</v>
      </c>
      <c r="H417" s="13" t="s">
        <v>26</v>
      </c>
      <c r="I417" s="23">
        <v>16.9791</v>
      </c>
      <c r="J417" s="23">
        <v>465.0699</v>
      </c>
      <c r="K417" s="23">
        <v>6.795</v>
      </c>
      <c r="L417" s="23">
        <v>0.059</v>
      </c>
      <c r="M417" s="22">
        <v>124.24566666666665</v>
      </c>
      <c r="N417" s="22">
        <v>24.814666666666668</v>
      </c>
      <c r="O417" s="22">
        <v>94.01400000000001</v>
      </c>
      <c r="P417" s="22">
        <v>25.743</v>
      </c>
      <c r="Q417" s="22">
        <v>61.00733333333333</v>
      </c>
      <c r="R417" s="22">
        <v>26.957333333333334</v>
      </c>
      <c r="S417" s="22"/>
      <c r="T417" s="22"/>
      <c r="U417" s="22"/>
      <c r="V417" s="22"/>
      <c r="W417" s="22"/>
      <c r="X417" s="22"/>
      <c r="Y417" s="22"/>
      <c r="Z417" s="22"/>
      <c r="AA417" s="22"/>
      <c r="AB417" s="22"/>
      <c r="AC417" s="22"/>
      <c r="AD417" s="22"/>
      <c r="AE417" s="22"/>
      <c r="AF417" s="22"/>
      <c r="AG417" s="22"/>
      <c r="AH417" s="22"/>
      <c r="AI417" s="22"/>
      <c r="AJ417" s="22"/>
      <c r="AK417" s="22"/>
      <c r="AL417" s="22"/>
    </row>
    <row r="418">
      <c r="A418" s="13" t="s">
        <v>20</v>
      </c>
      <c r="B418" s="13" t="s">
        <v>20</v>
      </c>
      <c r="C418" s="26">
        <v>45743.0</v>
      </c>
      <c r="D418" s="13" t="s">
        <v>24</v>
      </c>
      <c r="E418" s="13">
        <v>12.3</v>
      </c>
      <c r="F418" s="13" t="s">
        <v>27</v>
      </c>
      <c r="G418" s="13">
        <v>3.0</v>
      </c>
      <c r="H418" s="13" t="s">
        <v>26</v>
      </c>
      <c r="I418" s="23">
        <v>17.5708</v>
      </c>
      <c r="J418" s="23">
        <v>468.0138</v>
      </c>
      <c r="K418" s="23">
        <v>6.724</v>
      </c>
      <c r="L418" s="23">
        <v>0.08</v>
      </c>
      <c r="M418" s="22">
        <v>128.90566666666666</v>
      </c>
      <c r="N418" s="22">
        <v>25.583</v>
      </c>
      <c r="O418" s="22">
        <v>102.89633333333335</v>
      </c>
      <c r="P418" s="22">
        <v>26.614333333333335</v>
      </c>
      <c r="Q418" s="22">
        <v>71.145</v>
      </c>
      <c r="R418" s="22">
        <v>27.94366666666667</v>
      </c>
      <c r="S418" s="22"/>
      <c r="T418" s="22"/>
      <c r="U418" s="22"/>
      <c r="V418" s="22"/>
      <c r="W418" s="22"/>
      <c r="X418" s="22"/>
      <c r="Y418" s="22"/>
      <c r="Z418" s="22"/>
      <c r="AA418" s="22"/>
      <c r="AB418" s="22"/>
      <c r="AC418" s="22"/>
      <c r="AD418" s="22"/>
      <c r="AE418" s="22"/>
      <c r="AF418" s="22"/>
      <c r="AG418" s="22"/>
      <c r="AH418" s="22"/>
      <c r="AI418" s="22"/>
      <c r="AJ418" s="22"/>
      <c r="AK418" s="22"/>
      <c r="AL418" s="22"/>
    </row>
    <row r="419">
      <c r="A419" s="13" t="s">
        <v>20</v>
      </c>
      <c r="B419" s="13" t="s">
        <v>20</v>
      </c>
      <c r="C419" s="26">
        <v>45743.0</v>
      </c>
      <c r="D419" s="13" t="s">
        <v>24</v>
      </c>
      <c r="E419" s="13">
        <v>12.4</v>
      </c>
      <c r="F419" s="13" t="s">
        <v>27</v>
      </c>
      <c r="G419" s="13">
        <v>3.0</v>
      </c>
      <c r="H419" s="13" t="s">
        <v>26</v>
      </c>
      <c r="I419" s="23">
        <v>18.5502</v>
      </c>
      <c r="J419" s="23">
        <v>399.6018</v>
      </c>
      <c r="K419" s="23">
        <v>7.057</v>
      </c>
      <c r="L419" s="23">
        <v>0.03</v>
      </c>
      <c r="M419" s="22">
        <v>129.02233333333334</v>
      </c>
      <c r="N419" s="22">
        <v>23.783666666666665</v>
      </c>
      <c r="O419" s="22">
        <v>95.58366666666666</v>
      </c>
      <c r="P419" s="22">
        <v>23.903333333333336</v>
      </c>
      <c r="Q419" s="22">
        <v>65.95133333333332</v>
      </c>
      <c r="R419" s="22">
        <v>23.926333333333332</v>
      </c>
      <c r="S419" s="22"/>
      <c r="T419" s="22"/>
      <c r="U419" s="22"/>
      <c r="V419" s="22"/>
      <c r="W419" s="22"/>
      <c r="X419" s="22"/>
      <c r="Y419" s="22"/>
      <c r="Z419" s="22"/>
      <c r="AA419" s="22"/>
      <c r="AB419" s="22"/>
      <c r="AC419" s="22"/>
      <c r="AD419" s="22"/>
      <c r="AE419" s="22"/>
      <c r="AF419" s="22"/>
      <c r="AG419" s="22"/>
      <c r="AH419" s="22"/>
      <c r="AI419" s="22"/>
      <c r="AJ419" s="22"/>
      <c r="AK419" s="22"/>
      <c r="AL419" s="22"/>
    </row>
    <row r="420">
      <c r="A420" s="13" t="s">
        <v>20</v>
      </c>
      <c r="B420" s="13" t="s">
        <v>20</v>
      </c>
      <c r="C420" s="26">
        <v>45743.0</v>
      </c>
      <c r="D420" s="13" t="s">
        <v>25</v>
      </c>
      <c r="E420" s="13">
        <v>10.1</v>
      </c>
      <c r="F420" s="13" t="s">
        <v>27</v>
      </c>
      <c r="G420" s="13">
        <v>3.0</v>
      </c>
      <c r="H420" s="13" t="s">
        <v>26</v>
      </c>
      <c r="I420" s="23">
        <v>10.9782</v>
      </c>
      <c r="J420" s="23">
        <v>456.0016</v>
      </c>
      <c r="K420" s="23">
        <v>3.863</v>
      </c>
      <c r="L420" s="23">
        <v>0.046</v>
      </c>
      <c r="M420" s="22">
        <v>114.772</v>
      </c>
      <c r="N420" s="22">
        <v>32.88333333333333</v>
      </c>
      <c r="O420" s="22">
        <v>97.68599999999999</v>
      </c>
      <c r="P420" s="22">
        <v>32.06333333333333</v>
      </c>
      <c r="Q420" s="22">
        <v>66.90333333333334</v>
      </c>
      <c r="R420" s="22">
        <v>28.671000000000003</v>
      </c>
      <c r="S420" s="22"/>
      <c r="T420" s="22"/>
      <c r="U420" s="22"/>
      <c r="V420" s="22"/>
      <c r="W420" s="22"/>
      <c r="X420" s="22"/>
      <c r="Y420" s="22"/>
      <c r="Z420" s="22"/>
      <c r="AA420" s="22"/>
      <c r="AB420" s="22"/>
      <c r="AC420" s="22"/>
      <c r="AD420" s="22"/>
      <c r="AE420" s="22"/>
      <c r="AF420" s="22"/>
      <c r="AG420" s="22"/>
      <c r="AH420" s="22"/>
      <c r="AI420" s="22"/>
      <c r="AJ420" s="22"/>
      <c r="AK420" s="22"/>
      <c r="AL420" s="22"/>
    </row>
    <row r="421">
      <c r="A421" s="13" t="s">
        <v>20</v>
      </c>
      <c r="B421" s="13" t="s">
        <v>20</v>
      </c>
      <c r="C421" s="26">
        <v>45743.0</v>
      </c>
      <c r="D421" s="13" t="s">
        <v>25</v>
      </c>
      <c r="E421" s="13">
        <v>10.2</v>
      </c>
      <c r="F421" s="13" t="s">
        <v>27</v>
      </c>
      <c r="G421" s="13">
        <v>3.0</v>
      </c>
      <c r="H421" s="13" t="s">
        <v>26</v>
      </c>
      <c r="I421" s="23">
        <v>11.8117</v>
      </c>
      <c r="J421" s="23">
        <v>466.8062</v>
      </c>
      <c r="K421" s="23">
        <v>5.237</v>
      </c>
      <c r="L421" s="23">
        <v>0.022</v>
      </c>
      <c r="M421" s="22">
        <v>120.51566666666668</v>
      </c>
      <c r="N421" s="22">
        <v>31.839</v>
      </c>
      <c r="O421" s="22">
        <v>102.85466666666667</v>
      </c>
      <c r="P421" s="22">
        <v>31.810000000000002</v>
      </c>
      <c r="Q421" s="22">
        <v>67.85633333333334</v>
      </c>
      <c r="R421" s="22">
        <v>29.853333333333335</v>
      </c>
      <c r="S421" s="22"/>
      <c r="T421" s="22"/>
      <c r="U421" s="22"/>
      <c r="V421" s="22"/>
      <c r="W421" s="22"/>
      <c r="X421" s="22"/>
      <c r="Y421" s="22"/>
      <c r="Z421" s="22"/>
      <c r="AA421" s="22"/>
      <c r="AB421" s="22"/>
      <c r="AC421" s="22"/>
      <c r="AD421" s="22"/>
      <c r="AE421" s="22"/>
      <c r="AF421" s="22"/>
      <c r="AG421" s="22"/>
      <c r="AH421" s="22"/>
      <c r="AI421" s="22"/>
      <c r="AJ421" s="22"/>
      <c r="AK421" s="22"/>
      <c r="AL421" s="22"/>
    </row>
    <row r="422">
      <c r="A422" s="13" t="s">
        <v>20</v>
      </c>
      <c r="B422" s="13" t="s">
        <v>20</v>
      </c>
      <c r="C422" s="26">
        <v>45743.0</v>
      </c>
      <c r="D422" s="13" t="s">
        <v>25</v>
      </c>
      <c r="E422" s="13">
        <v>10.3</v>
      </c>
      <c r="F422" s="13" t="s">
        <v>27</v>
      </c>
      <c r="G422" s="13">
        <v>3.0</v>
      </c>
      <c r="H422" s="13" t="s">
        <v>26</v>
      </c>
      <c r="I422" s="23">
        <v>10.8732</v>
      </c>
      <c r="J422" s="23">
        <v>463.2389</v>
      </c>
      <c r="K422" s="23">
        <v>4.266</v>
      </c>
      <c r="L422" s="23">
        <v>0.014</v>
      </c>
      <c r="M422" s="22">
        <v>116.93900000000001</v>
      </c>
      <c r="N422" s="22">
        <v>29.17833333333333</v>
      </c>
      <c r="O422" s="22">
        <v>98.68766666666666</v>
      </c>
      <c r="P422" s="22">
        <v>28.813333333333333</v>
      </c>
      <c r="Q422" s="22">
        <v>63.647</v>
      </c>
      <c r="R422" s="22">
        <v>26.394666666666666</v>
      </c>
      <c r="S422" s="22"/>
      <c r="T422" s="22"/>
      <c r="U422" s="22"/>
      <c r="V422" s="22"/>
      <c r="W422" s="22"/>
      <c r="X422" s="22"/>
      <c r="Y422" s="22"/>
      <c r="Z422" s="22"/>
      <c r="AA422" s="22"/>
      <c r="AB422" s="22"/>
      <c r="AC422" s="22"/>
      <c r="AD422" s="22"/>
      <c r="AE422" s="22"/>
      <c r="AF422" s="22"/>
      <c r="AG422" s="22"/>
      <c r="AH422" s="22"/>
      <c r="AI422" s="22"/>
      <c r="AJ422" s="22"/>
      <c r="AK422" s="22"/>
      <c r="AL422" s="22"/>
    </row>
    <row r="423">
      <c r="A423" s="13" t="s">
        <v>20</v>
      </c>
      <c r="B423" s="13" t="s">
        <v>20</v>
      </c>
      <c r="C423" s="26">
        <v>45743.0</v>
      </c>
      <c r="D423" s="13" t="s">
        <v>25</v>
      </c>
      <c r="E423" s="13">
        <v>10.4</v>
      </c>
      <c r="F423" s="13" t="s">
        <v>27</v>
      </c>
      <c r="G423" s="13">
        <v>3.0</v>
      </c>
      <c r="H423" s="13" t="s">
        <v>26</v>
      </c>
      <c r="I423" s="23">
        <v>10.3092</v>
      </c>
      <c r="J423" s="23">
        <v>456.0253</v>
      </c>
      <c r="K423" s="23">
        <v>3.74</v>
      </c>
      <c r="L423" s="23">
        <v>0.044</v>
      </c>
      <c r="M423" s="22">
        <v>141.18566666666666</v>
      </c>
      <c r="N423" s="22">
        <v>29.407333333333337</v>
      </c>
      <c r="O423" s="22">
        <v>125.24833333333333</v>
      </c>
      <c r="P423" s="22">
        <v>27.563666666666666</v>
      </c>
      <c r="Q423" s="22">
        <v>95.45433333333334</v>
      </c>
      <c r="R423" s="22">
        <v>27.684</v>
      </c>
      <c r="S423" s="22"/>
      <c r="T423" s="22"/>
      <c r="U423" s="22"/>
      <c r="V423" s="22"/>
      <c r="W423" s="22"/>
      <c r="X423" s="22"/>
      <c r="Y423" s="22"/>
      <c r="Z423" s="22"/>
      <c r="AA423" s="22"/>
      <c r="AB423" s="22"/>
      <c r="AC423" s="22"/>
      <c r="AD423" s="22"/>
      <c r="AE423" s="22"/>
      <c r="AF423" s="22"/>
      <c r="AG423" s="22"/>
      <c r="AH423" s="22"/>
      <c r="AI423" s="22"/>
      <c r="AJ423" s="22"/>
      <c r="AK423" s="22"/>
      <c r="AL423" s="22"/>
    </row>
    <row r="424">
      <c r="A424" s="13" t="s">
        <v>20</v>
      </c>
      <c r="B424" s="13" t="s">
        <v>20</v>
      </c>
      <c r="C424" s="26">
        <v>45743.0</v>
      </c>
      <c r="D424" s="13" t="s">
        <v>25</v>
      </c>
      <c r="E424" s="13">
        <v>11.1</v>
      </c>
      <c r="F424" s="13" t="s">
        <v>27</v>
      </c>
      <c r="G424" s="13">
        <v>3.0</v>
      </c>
      <c r="H424" s="13" t="s">
        <v>26</v>
      </c>
      <c r="I424" s="23">
        <v>13.0021</v>
      </c>
      <c r="J424" s="23">
        <v>471.6382</v>
      </c>
      <c r="K424" s="23">
        <v>4.402</v>
      </c>
      <c r="L424" s="23">
        <v>0.024</v>
      </c>
      <c r="M424" s="22">
        <v>111.12466666666666</v>
      </c>
      <c r="N424" s="22">
        <v>34.510666666666665</v>
      </c>
      <c r="O424" s="22">
        <v>94.72133333333333</v>
      </c>
      <c r="P424" s="22">
        <v>36.041666666666664</v>
      </c>
      <c r="Q424" s="22">
        <v>62.661333333333324</v>
      </c>
      <c r="R424" s="22">
        <v>33.49433333333334</v>
      </c>
      <c r="S424" s="22"/>
      <c r="T424" s="22"/>
      <c r="U424" s="22"/>
      <c r="V424" s="22"/>
      <c r="W424" s="22"/>
      <c r="X424" s="22"/>
      <c r="Y424" s="22"/>
      <c r="Z424" s="22"/>
      <c r="AA424" s="22"/>
      <c r="AB424" s="22"/>
      <c r="AC424" s="22"/>
      <c r="AD424" s="22"/>
      <c r="AE424" s="22"/>
      <c r="AF424" s="22"/>
      <c r="AG424" s="22"/>
      <c r="AH424" s="22"/>
      <c r="AI424" s="22"/>
      <c r="AJ424" s="22"/>
      <c r="AK424" s="22"/>
      <c r="AL424" s="22"/>
    </row>
    <row r="425">
      <c r="A425" s="13" t="s">
        <v>20</v>
      </c>
      <c r="B425" s="13" t="s">
        <v>20</v>
      </c>
      <c r="C425" s="26">
        <v>45743.0</v>
      </c>
      <c r="D425" s="13" t="s">
        <v>25</v>
      </c>
      <c r="E425" s="13">
        <v>11.2</v>
      </c>
      <c r="F425" s="13" t="s">
        <v>27</v>
      </c>
      <c r="G425" s="13">
        <v>3.0</v>
      </c>
      <c r="H425" s="13" t="s">
        <v>26</v>
      </c>
      <c r="I425" s="23">
        <v>10.8737</v>
      </c>
      <c r="J425" s="23">
        <v>488.4133</v>
      </c>
      <c r="K425" s="23">
        <v>4.017</v>
      </c>
      <c r="L425" s="23">
        <v>0.047</v>
      </c>
      <c r="M425" s="22">
        <v>118.78433333333334</v>
      </c>
      <c r="N425" s="22">
        <v>35.34166666666666</v>
      </c>
      <c r="O425" s="22">
        <v>131.47866666666667</v>
      </c>
      <c r="P425" s="22">
        <v>34.242999999999995</v>
      </c>
      <c r="Q425" s="22">
        <v>68.434</v>
      </c>
      <c r="R425" s="22">
        <v>30.97266666666667</v>
      </c>
      <c r="S425" s="22"/>
      <c r="T425" s="22"/>
      <c r="U425" s="22"/>
      <c r="V425" s="22"/>
      <c r="W425" s="22"/>
      <c r="X425" s="22"/>
      <c r="Y425" s="22"/>
      <c r="Z425" s="22"/>
      <c r="AA425" s="22"/>
      <c r="AB425" s="22"/>
      <c r="AC425" s="22"/>
      <c r="AD425" s="22"/>
      <c r="AE425" s="22"/>
      <c r="AF425" s="22"/>
      <c r="AG425" s="22"/>
      <c r="AH425" s="22"/>
      <c r="AI425" s="22"/>
      <c r="AJ425" s="22"/>
      <c r="AK425" s="22"/>
      <c r="AL425" s="22"/>
    </row>
    <row r="426">
      <c r="A426" s="13" t="s">
        <v>20</v>
      </c>
      <c r="B426" s="13" t="s">
        <v>20</v>
      </c>
      <c r="C426" s="26">
        <v>45743.0</v>
      </c>
      <c r="D426" s="13" t="s">
        <v>25</v>
      </c>
      <c r="E426" s="13">
        <v>11.3</v>
      </c>
      <c r="F426" s="13" t="s">
        <v>27</v>
      </c>
      <c r="G426" s="13">
        <v>3.0</v>
      </c>
      <c r="H426" s="13" t="s">
        <v>26</v>
      </c>
      <c r="I426" s="23">
        <v>11.7175</v>
      </c>
      <c r="J426" s="23">
        <v>444.0</v>
      </c>
      <c r="K426" s="23">
        <v>4.408</v>
      </c>
      <c r="L426" s="23">
        <v>0.071</v>
      </c>
      <c r="M426" s="22">
        <v>110.78133333333334</v>
      </c>
      <c r="N426" s="22">
        <v>32.06633333333333</v>
      </c>
      <c r="O426" s="22">
        <v>94.84233333333333</v>
      </c>
      <c r="P426" s="22">
        <v>34.33533333333333</v>
      </c>
      <c r="Q426" s="22">
        <v>58.61566666666667</v>
      </c>
      <c r="R426" s="22">
        <v>34.27133333333333</v>
      </c>
      <c r="S426" s="22"/>
      <c r="T426" s="22"/>
      <c r="U426" s="22"/>
      <c r="V426" s="22"/>
      <c r="W426" s="22"/>
      <c r="X426" s="22"/>
      <c r="Y426" s="22"/>
      <c r="Z426" s="22"/>
      <c r="AA426" s="22"/>
      <c r="AB426" s="22"/>
      <c r="AC426" s="22"/>
      <c r="AD426" s="22"/>
      <c r="AE426" s="22"/>
      <c r="AF426" s="22"/>
      <c r="AG426" s="22"/>
      <c r="AH426" s="22"/>
      <c r="AI426" s="22"/>
      <c r="AJ426" s="22"/>
      <c r="AK426" s="22"/>
      <c r="AL426" s="22"/>
    </row>
    <row r="427">
      <c r="A427" s="13" t="s">
        <v>20</v>
      </c>
      <c r="B427" s="13" t="s">
        <v>20</v>
      </c>
      <c r="C427" s="26">
        <v>45743.0</v>
      </c>
      <c r="D427" s="13" t="s">
        <v>25</v>
      </c>
      <c r="E427" s="13">
        <v>11.4</v>
      </c>
      <c r="F427" s="13" t="s">
        <v>27</v>
      </c>
      <c r="G427" s="13">
        <v>3.0</v>
      </c>
      <c r="H427" s="13" t="s">
        <v>26</v>
      </c>
      <c r="I427" s="23">
        <v>12.0489</v>
      </c>
      <c r="J427" s="23">
        <v>454.8776</v>
      </c>
      <c r="K427" s="23">
        <v>4.229</v>
      </c>
      <c r="L427" s="23">
        <v>0.044</v>
      </c>
      <c r="M427" s="22">
        <v>133.89433333333332</v>
      </c>
      <c r="N427" s="22">
        <v>30.747</v>
      </c>
      <c r="O427" s="22">
        <v>114.49733333333332</v>
      </c>
      <c r="P427" s="22">
        <v>30.23</v>
      </c>
      <c r="Q427" s="22">
        <v>76.75433333333334</v>
      </c>
      <c r="R427" s="22">
        <v>29.159666666666666</v>
      </c>
      <c r="S427" s="22"/>
      <c r="T427" s="22"/>
      <c r="U427" s="22"/>
      <c r="V427" s="22"/>
      <c r="W427" s="22"/>
      <c r="X427" s="22"/>
      <c r="Y427" s="22"/>
      <c r="Z427" s="22"/>
      <c r="AA427" s="22"/>
      <c r="AB427" s="22"/>
      <c r="AC427" s="22"/>
      <c r="AD427" s="22"/>
      <c r="AE427" s="22"/>
      <c r="AF427" s="22"/>
      <c r="AG427" s="22"/>
      <c r="AH427" s="22"/>
      <c r="AI427" s="22"/>
      <c r="AJ427" s="22"/>
      <c r="AK427" s="22"/>
      <c r="AL427" s="22"/>
    </row>
    <row r="428">
      <c r="A428" s="13" t="s">
        <v>20</v>
      </c>
      <c r="B428" s="13" t="s">
        <v>20</v>
      </c>
      <c r="C428" s="26">
        <v>45743.0</v>
      </c>
      <c r="D428" s="13" t="s">
        <v>25</v>
      </c>
      <c r="E428" s="13">
        <v>12.1</v>
      </c>
      <c r="F428" s="13" t="s">
        <v>27</v>
      </c>
      <c r="G428" s="13">
        <v>3.0</v>
      </c>
      <c r="H428" s="13" t="s">
        <v>26</v>
      </c>
      <c r="I428" s="23">
        <v>13.8874</v>
      </c>
      <c r="J428" s="23">
        <v>498.0231</v>
      </c>
      <c r="K428" s="23">
        <v>6.532</v>
      </c>
      <c r="L428" s="23">
        <v>0.04</v>
      </c>
      <c r="M428" s="22">
        <v>110.33666666666666</v>
      </c>
      <c r="N428" s="22">
        <v>32.001</v>
      </c>
      <c r="O428" s="22">
        <v>94.52066666666667</v>
      </c>
      <c r="P428" s="22">
        <v>32.57866666666666</v>
      </c>
      <c r="Q428" s="22">
        <v>57.919000000000004</v>
      </c>
      <c r="R428" s="22">
        <v>31.31833333333333</v>
      </c>
      <c r="S428" s="22"/>
      <c r="T428" s="22"/>
      <c r="U428" s="22"/>
      <c r="V428" s="22"/>
      <c r="W428" s="22"/>
      <c r="X428" s="22"/>
      <c r="Y428" s="22"/>
      <c r="Z428" s="22"/>
      <c r="AA428" s="22"/>
      <c r="AB428" s="22"/>
      <c r="AC428" s="22"/>
      <c r="AD428" s="22"/>
      <c r="AE428" s="22"/>
      <c r="AF428" s="22"/>
      <c r="AG428" s="22"/>
      <c r="AH428" s="22"/>
      <c r="AI428" s="22"/>
      <c r="AJ428" s="22"/>
      <c r="AK428" s="22"/>
      <c r="AL428" s="22"/>
    </row>
    <row r="429">
      <c r="A429" s="13" t="s">
        <v>20</v>
      </c>
      <c r="B429" s="13" t="s">
        <v>20</v>
      </c>
      <c r="C429" s="26">
        <v>45743.0</v>
      </c>
      <c r="D429" s="13" t="s">
        <v>25</v>
      </c>
      <c r="E429" s="13">
        <v>12.2</v>
      </c>
      <c r="F429" s="13" t="s">
        <v>27</v>
      </c>
      <c r="G429" s="13">
        <v>3.0</v>
      </c>
      <c r="H429" s="13" t="s">
        <v>26</v>
      </c>
      <c r="I429" s="23">
        <v>12.4314</v>
      </c>
      <c r="J429" s="13">
        <v>464.4016</v>
      </c>
      <c r="K429" s="23">
        <v>5.75</v>
      </c>
      <c r="L429" s="23">
        <v>0.011</v>
      </c>
      <c r="M429" s="22">
        <v>114.32600000000001</v>
      </c>
      <c r="N429" s="22">
        <v>32.021</v>
      </c>
      <c r="O429" s="22">
        <v>97.72266666666667</v>
      </c>
      <c r="P429" s="22">
        <v>32.82533333333333</v>
      </c>
      <c r="Q429" s="22">
        <v>64.34166666666668</v>
      </c>
      <c r="R429" s="22">
        <v>30.774</v>
      </c>
      <c r="S429" s="22"/>
      <c r="T429" s="22"/>
      <c r="U429" s="22"/>
      <c r="V429" s="22"/>
      <c r="W429" s="22"/>
      <c r="X429" s="22"/>
      <c r="Y429" s="22"/>
      <c r="Z429" s="22"/>
      <c r="AA429" s="22"/>
      <c r="AB429" s="22"/>
      <c r="AC429" s="22"/>
      <c r="AD429" s="22"/>
      <c r="AE429" s="22"/>
      <c r="AF429" s="22"/>
      <c r="AG429" s="22"/>
      <c r="AH429" s="22"/>
      <c r="AI429" s="22"/>
      <c r="AJ429" s="22"/>
      <c r="AK429" s="22"/>
      <c r="AL429" s="22"/>
    </row>
    <row r="430">
      <c r="A430" s="13" t="s">
        <v>20</v>
      </c>
      <c r="B430" s="13" t="s">
        <v>20</v>
      </c>
      <c r="C430" s="26">
        <v>45743.0</v>
      </c>
      <c r="D430" s="13" t="s">
        <v>25</v>
      </c>
      <c r="E430" s="13">
        <v>12.3</v>
      </c>
      <c r="F430" s="13" t="s">
        <v>27</v>
      </c>
      <c r="G430" s="13">
        <v>3.0</v>
      </c>
      <c r="H430" s="13" t="s">
        <v>26</v>
      </c>
      <c r="I430" s="23">
        <v>13.1152</v>
      </c>
      <c r="J430" s="23">
        <v>465.7252</v>
      </c>
      <c r="K430" s="23">
        <v>5.608</v>
      </c>
      <c r="L430" s="23">
        <v>0.094</v>
      </c>
      <c r="M430" s="22">
        <v>110.66733333333333</v>
      </c>
      <c r="N430" s="22">
        <v>29.949666666666662</v>
      </c>
      <c r="O430" s="22">
        <v>92.47566666666667</v>
      </c>
      <c r="P430" s="22">
        <v>29.727</v>
      </c>
      <c r="Q430" s="22">
        <v>55.35633333333334</v>
      </c>
      <c r="R430" s="22">
        <v>27.19633333333333</v>
      </c>
      <c r="S430" s="22"/>
      <c r="T430" s="22"/>
      <c r="U430" s="22"/>
      <c r="V430" s="22"/>
      <c r="W430" s="22"/>
      <c r="X430" s="22"/>
      <c r="Y430" s="22"/>
      <c r="Z430" s="22"/>
      <c r="AA430" s="22"/>
      <c r="AB430" s="22"/>
      <c r="AC430" s="22"/>
      <c r="AD430" s="22"/>
      <c r="AE430" s="22"/>
      <c r="AF430" s="22"/>
      <c r="AG430" s="22"/>
      <c r="AH430" s="22"/>
      <c r="AI430" s="22"/>
      <c r="AJ430" s="22"/>
      <c r="AK430" s="22"/>
      <c r="AL430" s="22"/>
    </row>
    <row r="431">
      <c r="A431" s="13" t="s">
        <v>20</v>
      </c>
      <c r="B431" s="13" t="s">
        <v>20</v>
      </c>
      <c r="C431" s="26">
        <v>45743.0</v>
      </c>
      <c r="D431" s="13" t="s">
        <v>25</v>
      </c>
      <c r="E431" s="13">
        <v>12.4</v>
      </c>
      <c r="F431" s="13" t="s">
        <v>27</v>
      </c>
      <c r="G431" s="13">
        <v>3.0</v>
      </c>
      <c r="H431" s="13" t="s">
        <v>26</v>
      </c>
      <c r="I431" s="23">
        <v>11.809</v>
      </c>
      <c r="J431" s="23">
        <v>446.4581</v>
      </c>
      <c r="K431" s="23">
        <v>5.381</v>
      </c>
      <c r="L431" s="23">
        <v>0.047</v>
      </c>
      <c r="M431" s="22">
        <v>139.72466666666668</v>
      </c>
      <c r="N431" s="22">
        <v>23.862333333333336</v>
      </c>
      <c r="O431" s="22">
        <v>120.17166666666667</v>
      </c>
      <c r="P431" s="22">
        <v>23.221999999999998</v>
      </c>
      <c r="Q431" s="22">
        <v>75.97800000000001</v>
      </c>
      <c r="R431" s="22">
        <v>21.24866666666667</v>
      </c>
      <c r="S431" s="22"/>
      <c r="T431" s="22"/>
      <c r="U431" s="22"/>
      <c r="V431" s="22"/>
      <c r="W431" s="22"/>
      <c r="X431" s="22"/>
      <c r="Y431" s="22"/>
      <c r="Z431" s="22"/>
      <c r="AA431" s="22"/>
      <c r="AB431" s="22"/>
      <c r="AC431" s="22"/>
      <c r="AD431" s="22"/>
      <c r="AE431" s="22"/>
      <c r="AF431" s="22"/>
      <c r="AG431" s="22"/>
      <c r="AH431" s="22"/>
      <c r="AI431" s="22"/>
      <c r="AJ431" s="22"/>
      <c r="AK431" s="22"/>
      <c r="AL431" s="22"/>
    </row>
    <row r="432">
      <c r="A432" s="13" t="s">
        <v>20</v>
      </c>
      <c r="B432" s="13" t="s">
        <v>20</v>
      </c>
      <c r="C432" s="26">
        <v>45646.0</v>
      </c>
      <c r="D432" s="13" t="s">
        <v>21</v>
      </c>
      <c r="E432" s="13">
        <v>7.1</v>
      </c>
      <c r="F432" s="13" t="s">
        <v>22</v>
      </c>
      <c r="G432" s="13">
        <v>4.0</v>
      </c>
      <c r="H432" s="13" t="s">
        <v>23</v>
      </c>
      <c r="I432" s="23">
        <v>10.6967</v>
      </c>
      <c r="J432" s="23">
        <v>528.0873</v>
      </c>
      <c r="K432" s="23">
        <v>2.876</v>
      </c>
      <c r="L432" s="23">
        <v>0.025</v>
      </c>
      <c r="M432" s="22">
        <v>94.58033333333333</v>
      </c>
      <c r="N432" s="22">
        <v>22.855</v>
      </c>
      <c r="O432" s="22">
        <v>70.246</v>
      </c>
      <c r="P432" s="22">
        <v>22.83966666666667</v>
      </c>
      <c r="Q432" s="22">
        <v>39.15533333333334</v>
      </c>
      <c r="R432" s="22">
        <v>21.06266666666667</v>
      </c>
      <c r="S432" s="22"/>
      <c r="T432" s="22"/>
      <c r="U432" s="22"/>
      <c r="V432" s="22"/>
      <c r="W432" s="22"/>
      <c r="X432" s="22"/>
      <c r="Y432" s="22"/>
      <c r="Z432" s="22"/>
      <c r="AA432" s="22"/>
      <c r="AB432" s="22"/>
      <c r="AC432" s="22"/>
      <c r="AD432" s="22"/>
      <c r="AE432" s="22"/>
      <c r="AF432" s="22"/>
      <c r="AG432" s="22"/>
      <c r="AH432" s="22"/>
      <c r="AI432" s="22"/>
      <c r="AJ432" s="22"/>
      <c r="AK432" s="22"/>
      <c r="AL432" s="22"/>
    </row>
    <row r="433">
      <c r="A433" s="13" t="s">
        <v>20</v>
      </c>
      <c r="B433" s="13" t="s">
        <v>20</v>
      </c>
      <c r="C433" s="26">
        <v>45646.0</v>
      </c>
      <c r="D433" s="13" t="s">
        <v>21</v>
      </c>
      <c r="E433" s="13">
        <v>7.2</v>
      </c>
      <c r="F433" s="13" t="s">
        <v>22</v>
      </c>
      <c r="G433" s="13">
        <v>4.0</v>
      </c>
      <c r="H433" s="13" t="s">
        <v>23</v>
      </c>
      <c r="I433" s="23">
        <v>11.4534</v>
      </c>
      <c r="J433" s="23">
        <v>546.0119</v>
      </c>
      <c r="K433" s="23">
        <v>3.778</v>
      </c>
      <c r="L433" s="23">
        <v>0.016</v>
      </c>
      <c r="M433" s="22">
        <v>108.99933333333333</v>
      </c>
      <c r="N433" s="22">
        <v>26.332333333333334</v>
      </c>
      <c r="O433" s="22">
        <v>82.62833333333333</v>
      </c>
      <c r="P433" s="22">
        <v>24.979333333333333</v>
      </c>
      <c r="Q433" s="22">
        <v>46.19899999999999</v>
      </c>
      <c r="R433" s="22">
        <v>21.585333333333335</v>
      </c>
      <c r="S433" s="22"/>
      <c r="T433" s="22"/>
      <c r="U433" s="22"/>
      <c r="V433" s="22"/>
      <c r="W433" s="22"/>
      <c r="X433" s="22"/>
      <c r="Y433" s="22"/>
      <c r="Z433" s="22"/>
      <c r="AA433" s="22"/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</row>
    <row r="434">
      <c r="A434" s="13" t="s">
        <v>20</v>
      </c>
      <c r="B434" s="13" t="s">
        <v>20</v>
      </c>
      <c r="C434" s="26">
        <v>45646.0</v>
      </c>
      <c r="D434" s="13" t="s">
        <v>21</v>
      </c>
      <c r="E434" s="13">
        <v>7.3</v>
      </c>
      <c r="F434" s="13" t="s">
        <v>22</v>
      </c>
      <c r="G434" s="13">
        <v>4.0</v>
      </c>
      <c r="H434" s="13" t="s">
        <v>23</v>
      </c>
      <c r="I434" s="23">
        <v>13.2208</v>
      </c>
      <c r="J434" s="23">
        <v>554.5299</v>
      </c>
      <c r="K434" s="23">
        <v>3.996</v>
      </c>
      <c r="L434" s="23">
        <v>0.008</v>
      </c>
      <c r="M434" s="22">
        <v>98.52533333333334</v>
      </c>
      <c r="N434" s="22">
        <v>28.572999999999997</v>
      </c>
      <c r="O434" s="22">
        <v>77.19866666666667</v>
      </c>
      <c r="P434" s="22">
        <v>28.087333333333333</v>
      </c>
      <c r="Q434" s="22">
        <v>44.79666666666666</v>
      </c>
      <c r="R434" s="22">
        <v>22.993666666666666</v>
      </c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</row>
    <row r="435">
      <c r="A435" s="13" t="s">
        <v>20</v>
      </c>
      <c r="B435" s="13" t="s">
        <v>20</v>
      </c>
      <c r="C435" s="26">
        <v>45646.0</v>
      </c>
      <c r="D435" s="13" t="s">
        <v>21</v>
      </c>
      <c r="E435" s="13">
        <v>7.4</v>
      </c>
      <c r="F435" s="13" t="s">
        <v>22</v>
      </c>
      <c r="G435" s="13">
        <v>4.0</v>
      </c>
      <c r="H435" s="13" t="s">
        <v>23</v>
      </c>
      <c r="I435" s="23">
        <v>11.5709</v>
      </c>
      <c r="J435" s="23">
        <v>555.6052</v>
      </c>
      <c r="K435" s="23">
        <v>3.656</v>
      </c>
      <c r="L435" s="23">
        <v>0.016</v>
      </c>
      <c r="M435" s="22">
        <v>132.412</v>
      </c>
      <c r="N435" s="22">
        <v>33.272333333333336</v>
      </c>
      <c r="O435" s="22">
        <v>111.479</v>
      </c>
      <c r="P435" s="22">
        <v>32.385999999999996</v>
      </c>
      <c r="Q435" s="22">
        <v>70.83200000000001</v>
      </c>
      <c r="R435" s="22">
        <v>27.232333333333333</v>
      </c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</row>
    <row r="436">
      <c r="A436" s="13" t="s">
        <v>20</v>
      </c>
      <c r="B436" s="13" t="s">
        <v>20</v>
      </c>
      <c r="C436" s="26">
        <v>45646.0</v>
      </c>
      <c r="D436" s="13" t="s">
        <v>21</v>
      </c>
      <c r="E436" s="13">
        <v>8.1</v>
      </c>
      <c r="F436" s="13" t="s">
        <v>22</v>
      </c>
      <c r="G436" s="13">
        <v>4.0</v>
      </c>
      <c r="H436" s="13" t="s">
        <v>23</v>
      </c>
      <c r="I436" s="23">
        <v>12.5262</v>
      </c>
      <c r="J436" s="23">
        <v>508.8127</v>
      </c>
      <c r="K436" s="23">
        <v>4.137</v>
      </c>
      <c r="L436" s="23">
        <v>0.044</v>
      </c>
      <c r="M436" s="22">
        <v>119.30933333333333</v>
      </c>
      <c r="N436" s="22">
        <v>23.415333333333333</v>
      </c>
      <c r="O436" s="22">
        <v>90.38833333333334</v>
      </c>
      <c r="P436" s="22">
        <v>26.051000000000002</v>
      </c>
      <c r="Q436" s="22">
        <v>49.44733333333334</v>
      </c>
      <c r="R436" s="22">
        <v>27.241666666666664</v>
      </c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</row>
    <row r="437">
      <c r="A437" s="13" t="s">
        <v>20</v>
      </c>
      <c r="B437" s="13" t="s">
        <v>20</v>
      </c>
      <c r="C437" s="26">
        <v>45646.0</v>
      </c>
      <c r="D437" s="13" t="s">
        <v>21</v>
      </c>
      <c r="E437" s="13">
        <v>8.2</v>
      </c>
      <c r="F437" s="13" t="s">
        <v>22</v>
      </c>
      <c r="G437" s="13">
        <v>4.0</v>
      </c>
      <c r="H437" s="13" t="s">
        <v>23</v>
      </c>
      <c r="I437" s="23">
        <v>11.5376</v>
      </c>
      <c r="J437" s="23">
        <v>546.1068</v>
      </c>
      <c r="K437" s="23">
        <v>3.194</v>
      </c>
      <c r="L437" s="23">
        <v>0.035</v>
      </c>
      <c r="M437" s="22">
        <v>114.89299999999999</v>
      </c>
      <c r="N437" s="22">
        <v>26.77733333333333</v>
      </c>
      <c r="O437" s="22">
        <v>86.58266666666668</v>
      </c>
      <c r="P437" s="22">
        <v>28.948333333333334</v>
      </c>
      <c r="Q437" s="22">
        <v>45.61833333333334</v>
      </c>
      <c r="R437" s="22">
        <v>26.167999999999996</v>
      </c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</row>
    <row r="438">
      <c r="A438" s="13" t="s">
        <v>20</v>
      </c>
      <c r="B438" s="13" t="s">
        <v>20</v>
      </c>
      <c r="C438" s="26">
        <v>45646.0</v>
      </c>
      <c r="D438" s="13" t="s">
        <v>21</v>
      </c>
      <c r="E438" s="13">
        <v>8.3</v>
      </c>
      <c r="F438" s="13" t="s">
        <v>22</v>
      </c>
      <c r="G438" s="13">
        <v>4.0</v>
      </c>
      <c r="H438" s="13" t="s">
        <v>23</v>
      </c>
      <c r="I438" s="23">
        <v>11.7271</v>
      </c>
      <c r="J438" s="23">
        <v>604.819</v>
      </c>
      <c r="K438" s="23">
        <v>3.787</v>
      </c>
      <c r="L438" s="23">
        <v>0.011</v>
      </c>
      <c r="M438" s="22">
        <v>115.22233333333334</v>
      </c>
      <c r="N438" s="22">
        <v>25.72866666666667</v>
      </c>
      <c r="O438" s="22">
        <v>88.88133333333333</v>
      </c>
      <c r="P438" s="22">
        <v>26.43766666666666</v>
      </c>
      <c r="Q438" s="22">
        <v>51.56999999999999</v>
      </c>
      <c r="R438" s="22">
        <v>25.572666666666667</v>
      </c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</row>
    <row r="439">
      <c r="A439" s="13" t="s">
        <v>20</v>
      </c>
      <c r="B439" s="13" t="s">
        <v>20</v>
      </c>
      <c r="C439" s="26">
        <v>45646.0</v>
      </c>
      <c r="D439" s="13" t="s">
        <v>21</v>
      </c>
      <c r="E439" s="13">
        <v>8.4</v>
      </c>
      <c r="F439" s="13" t="s">
        <v>22</v>
      </c>
      <c r="G439" s="13">
        <v>4.0</v>
      </c>
      <c r="H439" s="13" t="s">
        <v>23</v>
      </c>
      <c r="I439" s="23">
        <v>10.2713</v>
      </c>
      <c r="J439" s="23">
        <v>568.8013</v>
      </c>
      <c r="K439" s="23">
        <v>2.708</v>
      </c>
      <c r="L439" s="23">
        <v>0.01</v>
      </c>
      <c r="M439" s="22">
        <v>138.52966666666669</v>
      </c>
      <c r="N439" s="22">
        <v>29.337666666666667</v>
      </c>
      <c r="O439" s="22">
        <v>114.79366666666665</v>
      </c>
      <c r="P439" s="22">
        <v>32.60733333333334</v>
      </c>
      <c r="Q439" s="22">
        <v>70.40466666666667</v>
      </c>
      <c r="R439" s="22">
        <v>39.013</v>
      </c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</row>
    <row r="440">
      <c r="A440" s="13" t="s">
        <v>20</v>
      </c>
      <c r="B440" s="13" t="s">
        <v>20</v>
      </c>
      <c r="C440" s="26">
        <v>45646.0</v>
      </c>
      <c r="D440" s="13" t="s">
        <v>21</v>
      </c>
      <c r="E440" s="13">
        <v>9.1</v>
      </c>
      <c r="F440" s="13" t="s">
        <v>22</v>
      </c>
      <c r="G440" s="13">
        <v>4.0</v>
      </c>
      <c r="H440" s="13" t="s">
        <v>23</v>
      </c>
      <c r="I440" s="23">
        <v>11.132</v>
      </c>
      <c r="J440" s="23">
        <v>493.2131</v>
      </c>
      <c r="K440" s="23">
        <v>3.088</v>
      </c>
      <c r="L440" s="23">
        <v>0.044</v>
      </c>
      <c r="M440" s="22">
        <v>140.042</v>
      </c>
      <c r="N440" s="22">
        <v>32.898</v>
      </c>
      <c r="O440" s="22">
        <v>103.444</v>
      </c>
      <c r="P440" s="22">
        <v>28.318</v>
      </c>
      <c r="Q440" s="22">
        <v>53.943000000000005</v>
      </c>
      <c r="R440" s="22">
        <v>22.775666666666666</v>
      </c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</row>
    <row r="441">
      <c r="A441" s="13" t="s">
        <v>20</v>
      </c>
      <c r="B441" s="13" t="s">
        <v>20</v>
      </c>
      <c r="C441" s="26">
        <v>45646.0</v>
      </c>
      <c r="D441" s="13" t="s">
        <v>21</v>
      </c>
      <c r="E441" s="13">
        <v>9.2</v>
      </c>
      <c r="F441" s="13" t="s">
        <v>22</v>
      </c>
      <c r="G441" s="13">
        <v>4.0</v>
      </c>
      <c r="H441" s="13" t="s">
        <v>23</v>
      </c>
      <c r="I441" s="23">
        <v>9.6877</v>
      </c>
      <c r="J441" s="23">
        <v>541.2652</v>
      </c>
      <c r="K441" s="23">
        <v>2.328</v>
      </c>
      <c r="L441" s="23">
        <v>0.009</v>
      </c>
      <c r="M441" s="22">
        <v>125.18866666666666</v>
      </c>
      <c r="N441" s="22">
        <v>26.146</v>
      </c>
      <c r="O441" s="22">
        <v>88.88066666666667</v>
      </c>
      <c r="P441" s="22">
        <v>21.948333333333334</v>
      </c>
      <c r="Q441" s="22">
        <v>43.781000000000006</v>
      </c>
      <c r="R441" s="22">
        <v>20.395999999999997</v>
      </c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</row>
    <row r="442">
      <c r="A442" s="13" t="s">
        <v>20</v>
      </c>
      <c r="B442" s="13" t="s">
        <v>20</v>
      </c>
      <c r="C442" s="26">
        <v>45646.0</v>
      </c>
      <c r="D442" s="13" t="s">
        <v>21</v>
      </c>
      <c r="E442" s="13">
        <v>9.3</v>
      </c>
      <c r="F442" s="13" t="s">
        <v>22</v>
      </c>
      <c r="G442" s="13">
        <v>4.0</v>
      </c>
      <c r="H442" s="13" t="s">
        <v>23</v>
      </c>
      <c r="I442" s="23">
        <v>11.5845</v>
      </c>
      <c r="J442" s="23">
        <v>542.3013</v>
      </c>
      <c r="K442" s="23">
        <v>2.936</v>
      </c>
      <c r="L442" s="23">
        <v>0.052</v>
      </c>
      <c r="M442" s="22">
        <v>126.74499999999999</v>
      </c>
      <c r="N442" s="22">
        <v>28.462666666666667</v>
      </c>
      <c r="O442" s="22">
        <v>91.98033333333332</v>
      </c>
      <c r="P442" s="22">
        <v>24.802333333333333</v>
      </c>
      <c r="Q442" s="22">
        <v>48.809000000000005</v>
      </c>
      <c r="R442" s="22">
        <v>22.001333333333335</v>
      </c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</row>
    <row r="443">
      <c r="A443" s="13" t="s">
        <v>20</v>
      </c>
      <c r="B443" s="13" t="s">
        <v>20</v>
      </c>
      <c r="C443" s="26">
        <v>45646.0</v>
      </c>
      <c r="D443" s="13" t="s">
        <v>21</v>
      </c>
      <c r="E443" s="13">
        <v>9.4</v>
      </c>
      <c r="F443" s="13" t="s">
        <v>22</v>
      </c>
      <c r="G443" s="13">
        <v>4.0</v>
      </c>
      <c r="H443" s="13" t="s">
        <v>23</v>
      </c>
      <c r="I443" s="23">
        <v>10.8392</v>
      </c>
      <c r="J443" s="23">
        <v>607.2</v>
      </c>
      <c r="K443" s="23">
        <v>2.955</v>
      </c>
      <c r="L443" s="23">
        <v>0.036</v>
      </c>
      <c r="M443" s="22">
        <v>154.00433333333334</v>
      </c>
      <c r="N443" s="22">
        <v>27.985</v>
      </c>
      <c r="O443" s="22">
        <v>122.80666666666667</v>
      </c>
      <c r="P443" s="22">
        <v>25.754333333333335</v>
      </c>
      <c r="Q443" s="22">
        <v>77.04933333333334</v>
      </c>
      <c r="R443" s="22">
        <v>22.688</v>
      </c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</row>
    <row r="444">
      <c r="A444" s="13" t="s">
        <v>20</v>
      </c>
      <c r="B444" s="13" t="s">
        <v>20</v>
      </c>
      <c r="C444" s="26">
        <v>45646.0</v>
      </c>
      <c r="D444" s="13" t="s">
        <v>24</v>
      </c>
      <c r="E444" s="13">
        <v>7.1</v>
      </c>
      <c r="F444" s="13" t="s">
        <v>22</v>
      </c>
      <c r="G444" s="13">
        <v>4.0</v>
      </c>
      <c r="H444" s="13" t="s">
        <v>23</v>
      </c>
      <c r="I444" s="23">
        <v>11.1814</v>
      </c>
      <c r="J444" s="23">
        <v>548.4643</v>
      </c>
      <c r="K444" s="23">
        <v>5.119</v>
      </c>
      <c r="L444" s="23">
        <v>0.024</v>
      </c>
      <c r="M444" s="22">
        <v>120.57666666666667</v>
      </c>
      <c r="N444" s="22">
        <v>24.138333333333335</v>
      </c>
      <c r="O444" s="22">
        <v>76.97033333333333</v>
      </c>
      <c r="P444" s="22">
        <v>21.795</v>
      </c>
      <c r="Q444" s="22">
        <v>36.242</v>
      </c>
      <c r="R444" s="22">
        <v>20.086</v>
      </c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</row>
    <row r="445">
      <c r="A445" s="13" t="s">
        <v>20</v>
      </c>
      <c r="B445" s="13" t="s">
        <v>20</v>
      </c>
      <c r="C445" s="26">
        <v>45646.0</v>
      </c>
      <c r="D445" s="13" t="s">
        <v>24</v>
      </c>
      <c r="E445" s="13">
        <v>7.2</v>
      </c>
      <c r="F445" s="13" t="s">
        <v>22</v>
      </c>
      <c r="G445" s="13">
        <v>4.0</v>
      </c>
      <c r="H445" s="13" t="s">
        <v>23</v>
      </c>
      <c r="I445" s="23">
        <v>11.5039</v>
      </c>
      <c r="J445" s="23">
        <v>505.2128</v>
      </c>
      <c r="K445" s="23">
        <v>5.372</v>
      </c>
      <c r="L445" s="23">
        <v>0.058</v>
      </c>
      <c r="M445" s="22">
        <v>115.98033333333335</v>
      </c>
      <c r="N445" s="22">
        <v>24.236666666666668</v>
      </c>
      <c r="O445" s="22">
        <v>69.223</v>
      </c>
      <c r="P445" s="22">
        <v>19.377666666666666</v>
      </c>
      <c r="Q445" s="22">
        <v>27.602666666666664</v>
      </c>
      <c r="R445" s="22">
        <v>15.433333333333332</v>
      </c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</row>
    <row r="446">
      <c r="A446" s="13" t="s">
        <v>20</v>
      </c>
      <c r="B446" s="13" t="s">
        <v>20</v>
      </c>
      <c r="C446" s="26">
        <v>45646.0</v>
      </c>
      <c r="D446" s="13" t="s">
        <v>24</v>
      </c>
      <c r="E446" s="13">
        <v>7.3</v>
      </c>
      <c r="F446" s="13" t="s">
        <v>22</v>
      </c>
      <c r="G446" s="13">
        <v>4.0</v>
      </c>
      <c r="H446" s="13" t="s">
        <v>23</v>
      </c>
      <c r="I446" s="23">
        <v>12.8811</v>
      </c>
      <c r="J446" s="23">
        <v>518.4056</v>
      </c>
      <c r="K446" s="23">
        <v>6.008</v>
      </c>
      <c r="L446" s="23">
        <v>0.034</v>
      </c>
      <c r="M446" s="22">
        <v>125.818</v>
      </c>
      <c r="N446" s="22">
        <v>23.183333333333337</v>
      </c>
      <c r="O446" s="22">
        <v>79.40933333333334</v>
      </c>
      <c r="P446" s="22">
        <v>19.37333333333333</v>
      </c>
      <c r="Q446" s="22">
        <v>142.23833333333334</v>
      </c>
      <c r="R446" s="22">
        <v>18.014</v>
      </c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</row>
    <row r="447">
      <c r="A447" s="13" t="s">
        <v>20</v>
      </c>
      <c r="B447" s="13" t="s">
        <v>20</v>
      </c>
      <c r="C447" s="26">
        <v>45646.0</v>
      </c>
      <c r="D447" s="13" t="s">
        <v>24</v>
      </c>
      <c r="E447" s="13">
        <v>7.4</v>
      </c>
      <c r="F447" s="13" t="s">
        <v>22</v>
      </c>
      <c r="G447" s="13">
        <v>4.0</v>
      </c>
      <c r="H447" s="13" t="s">
        <v>23</v>
      </c>
      <c r="I447" s="23">
        <v>11.1805</v>
      </c>
      <c r="J447" s="23">
        <v>576.0112</v>
      </c>
      <c r="K447" s="23">
        <v>3.932</v>
      </c>
      <c r="L447" s="23">
        <v>0.014</v>
      </c>
      <c r="M447" s="22">
        <v>126.11366666666667</v>
      </c>
      <c r="N447" s="22">
        <v>33.090333333333334</v>
      </c>
      <c r="O447" s="22">
        <v>89.18266666666666</v>
      </c>
      <c r="P447" s="22">
        <v>28.08866666666667</v>
      </c>
      <c r="Q447" s="22">
        <v>32.80133333333333</v>
      </c>
      <c r="R447" s="22">
        <v>20.869333333333334</v>
      </c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</row>
    <row r="448">
      <c r="A448" s="13" t="s">
        <v>20</v>
      </c>
      <c r="B448" s="13" t="s">
        <v>20</v>
      </c>
      <c r="C448" s="26">
        <v>45646.0</v>
      </c>
      <c r="D448" s="13" t="s">
        <v>24</v>
      </c>
      <c r="E448" s="13">
        <v>8.1</v>
      </c>
      <c r="F448" s="13" t="s">
        <v>22</v>
      </c>
      <c r="G448" s="13">
        <v>4.0</v>
      </c>
      <c r="H448" s="13" t="s">
        <v>23</v>
      </c>
      <c r="I448" s="23">
        <v>10.2042</v>
      </c>
      <c r="J448" s="23">
        <v>493.2526</v>
      </c>
      <c r="K448" s="23">
        <v>3.792</v>
      </c>
      <c r="L448" s="23">
        <v>0.029</v>
      </c>
      <c r="M448" s="22">
        <v>122.40300000000002</v>
      </c>
      <c r="N448" s="22">
        <v>21.41033333333333</v>
      </c>
      <c r="O448" s="22">
        <v>80.51733333333334</v>
      </c>
      <c r="P448" s="22">
        <v>23.88366666666667</v>
      </c>
      <c r="Q448" s="22">
        <v>39.25066666666667</v>
      </c>
      <c r="R448" s="22">
        <v>27.188333333333333</v>
      </c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</row>
    <row r="449">
      <c r="A449" s="13" t="s">
        <v>20</v>
      </c>
      <c r="B449" s="13" t="s">
        <v>20</v>
      </c>
      <c r="C449" s="26">
        <v>45646.0</v>
      </c>
      <c r="D449" s="13" t="s">
        <v>24</v>
      </c>
      <c r="E449" s="13">
        <v>8.2</v>
      </c>
      <c r="F449" s="13" t="s">
        <v>22</v>
      </c>
      <c r="G449" s="13">
        <v>4.0</v>
      </c>
      <c r="H449" s="13" t="s">
        <v>23</v>
      </c>
      <c r="I449" s="23">
        <v>11.462</v>
      </c>
      <c r="J449" s="23">
        <v>531.6867</v>
      </c>
      <c r="K449" s="23">
        <v>4.289</v>
      </c>
      <c r="L449" s="23">
        <v>0.015</v>
      </c>
      <c r="M449" s="22">
        <v>95.42633333333333</v>
      </c>
      <c r="N449" s="22">
        <v>22.173666666666666</v>
      </c>
      <c r="O449" s="22">
        <v>55.56433333333333</v>
      </c>
      <c r="P449" s="22">
        <v>21.542</v>
      </c>
      <c r="Q449" s="22">
        <v>28.104</v>
      </c>
      <c r="R449" s="22">
        <v>20.199333333333332</v>
      </c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</row>
    <row r="450">
      <c r="A450" s="13" t="s">
        <v>20</v>
      </c>
      <c r="B450" s="13" t="s">
        <v>20</v>
      </c>
      <c r="C450" s="26">
        <v>45646.0</v>
      </c>
      <c r="D450" s="13" t="s">
        <v>24</v>
      </c>
      <c r="E450" s="13">
        <v>8.3</v>
      </c>
      <c r="F450" s="13" t="s">
        <v>22</v>
      </c>
      <c r="G450" s="13">
        <v>4.0</v>
      </c>
      <c r="H450" s="13" t="s">
        <v>23</v>
      </c>
      <c r="I450" s="23">
        <v>10.6318</v>
      </c>
      <c r="J450" s="23">
        <v>555.6324</v>
      </c>
      <c r="K450" s="23">
        <v>4.643</v>
      </c>
      <c r="L450" s="23">
        <v>0.032</v>
      </c>
      <c r="M450" s="22">
        <v>121.23500000000001</v>
      </c>
      <c r="N450" s="22">
        <v>20.573666666666668</v>
      </c>
      <c r="O450" s="22">
        <v>76.35066666666667</v>
      </c>
      <c r="P450" s="22">
        <v>20.153333333333332</v>
      </c>
      <c r="Q450" s="22">
        <v>34.173</v>
      </c>
      <c r="R450" s="22">
        <v>21.242</v>
      </c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</row>
    <row r="451">
      <c r="A451" s="13" t="s">
        <v>20</v>
      </c>
      <c r="B451" s="13" t="s">
        <v>20</v>
      </c>
      <c r="C451" s="26">
        <v>45646.0</v>
      </c>
      <c r="D451" s="13" t="s">
        <v>24</v>
      </c>
      <c r="E451" s="13">
        <v>8.4</v>
      </c>
      <c r="F451" s="13" t="s">
        <v>22</v>
      </c>
      <c r="G451" s="13">
        <v>4.0</v>
      </c>
      <c r="H451" s="13" t="s">
        <v>23</v>
      </c>
      <c r="I451" s="23">
        <v>11.8937</v>
      </c>
      <c r="J451" s="23">
        <v>570.0808</v>
      </c>
      <c r="K451" s="23">
        <v>4.644</v>
      </c>
      <c r="L451" s="23">
        <v>0.028</v>
      </c>
      <c r="M451" s="22">
        <v>156.27800000000002</v>
      </c>
      <c r="N451" s="22">
        <v>27.21466666666667</v>
      </c>
      <c r="O451" s="22">
        <v>115.69433333333335</v>
      </c>
      <c r="P451" s="22">
        <v>23.139666666666667</v>
      </c>
      <c r="Q451" s="22">
        <v>51.528999999999996</v>
      </c>
      <c r="R451" s="22">
        <v>16.605999999999998</v>
      </c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</row>
    <row r="452">
      <c r="A452" s="13" t="s">
        <v>20</v>
      </c>
      <c r="B452" s="13" t="s">
        <v>20</v>
      </c>
      <c r="C452" s="26">
        <v>45646.0</v>
      </c>
      <c r="D452" s="13" t="s">
        <v>24</v>
      </c>
      <c r="E452" s="13">
        <v>9.1</v>
      </c>
      <c r="F452" s="13" t="s">
        <v>22</v>
      </c>
      <c r="G452" s="13">
        <v>4.0</v>
      </c>
      <c r="H452" s="13" t="s">
        <v>23</v>
      </c>
      <c r="I452" s="23">
        <v>10.5609</v>
      </c>
      <c r="J452" s="23">
        <v>536.4336</v>
      </c>
      <c r="K452" s="23">
        <v>4.465</v>
      </c>
      <c r="L452" s="23">
        <v>0.047</v>
      </c>
      <c r="M452" s="22">
        <v>98.57499999999999</v>
      </c>
      <c r="N452" s="22">
        <v>25.233999999999998</v>
      </c>
      <c r="O452" s="22">
        <v>63.69766666666667</v>
      </c>
      <c r="P452" s="22">
        <v>23.387333333333334</v>
      </c>
      <c r="Q452" s="22">
        <v>30.364333333333335</v>
      </c>
      <c r="R452" s="22">
        <v>20.111333333333334</v>
      </c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</row>
    <row r="453">
      <c r="A453" s="13" t="s">
        <v>20</v>
      </c>
      <c r="B453" s="13" t="s">
        <v>20</v>
      </c>
      <c r="C453" s="26">
        <v>45646.0</v>
      </c>
      <c r="D453" s="13" t="s">
        <v>24</v>
      </c>
      <c r="E453" s="13">
        <v>9.2</v>
      </c>
      <c r="F453" s="13" t="s">
        <v>22</v>
      </c>
      <c r="G453" s="13">
        <v>4.0</v>
      </c>
      <c r="H453" s="13" t="s">
        <v>23</v>
      </c>
      <c r="I453" s="23">
        <v>10.6761</v>
      </c>
      <c r="J453" s="23">
        <v>550.8471</v>
      </c>
      <c r="K453" s="23">
        <v>4.696</v>
      </c>
      <c r="L453" s="23">
        <v>0.035</v>
      </c>
      <c r="M453" s="22">
        <v>106.39933333333333</v>
      </c>
      <c r="N453" s="22">
        <v>23.286666666666665</v>
      </c>
      <c r="O453" s="22">
        <v>65.43366666666667</v>
      </c>
      <c r="P453" s="22">
        <v>21.085666666666665</v>
      </c>
      <c r="Q453" s="22">
        <v>27.950333333333333</v>
      </c>
      <c r="R453" s="22">
        <v>19.799666666666667</v>
      </c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</row>
    <row r="454">
      <c r="A454" s="13" t="s">
        <v>20</v>
      </c>
      <c r="B454" s="13" t="s">
        <v>20</v>
      </c>
      <c r="C454" s="26">
        <v>45646.0</v>
      </c>
      <c r="D454" s="13" t="s">
        <v>24</v>
      </c>
      <c r="E454" s="13">
        <v>9.3</v>
      </c>
      <c r="F454" s="13" t="s">
        <v>22</v>
      </c>
      <c r="G454" s="13">
        <v>4.0</v>
      </c>
      <c r="H454" s="13" t="s">
        <v>23</v>
      </c>
      <c r="I454" s="23">
        <v>10.2448</v>
      </c>
      <c r="J454" s="23">
        <v>535.2659</v>
      </c>
      <c r="K454" s="23">
        <v>4.188</v>
      </c>
      <c r="L454" s="23">
        <v>0.015</v>
      </c>
      <c r="M454" s="22">
        <v>106.66866666666665</v>
      </c>
      <c r="N454" s="22">
        <v>25.37966666666667</v>
      </c>
      <c r="O454" s="22">
        <v>68.95033333333333</v>
      </c>
      <c r="P454" s="22">
        <v>23.760666666666665</v>
      </c>
      <c r="Q454" s="22">
        <v>31.61766666666667</v>
      </c>
      <c r="R454" s="22">
        <v>21.988</v>
      </c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</row>
    <row r="455">
      <c r="A455" s="13" t="s">
        <v>20</v>
      </c>
      <c r="B455" s="13" t="s">
        <v>20</v>
      </c>
      <c r="C455" s="26">
        <v>45646.0</v>
      </c>
      <c r="D455" s="13" t="s">
        <v>24</v>
      </c>
      <c r="E455" s="13">
        <v>9.4</v>
      </c>
      <c r="F455" s="13" t="s">
        <v>22</v>
      </c>
      <c r="G455" s="13">
        <v>4.0</v>
      </c>
      <c r="H455" s="13" t="s">
        <v>23</v>
      </c>
      <c r="I455" s="23">
        <v>10.2054</v>
      </c>
      <c r="J455" s="23">
        <v>590.4049</v>
      </c>
      <c r="K455" s="23">
        <v>3.68</v>
      </c>
      <c r="L455" s="23">
        <v>0.013</v>
      </c>
      <c r="M455" s="22">
        <v>142.29833333333332</v>
      </c>
      <c r="N455" s="22">
        <v>28.796666666666667</v>
      </c>
      <c r="O455" s="22">
        <v>106.11833333333334</v>
      </c>
      <c r="P455" s="22">
        <v>23.968</v>
      </c>
      <c r="Q455" s="22">
        <v>47.16466666666667</v>
      </c>
      <c r="R455" s="22">
        <v>19.91933333333333</v>
      </c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</row>
    <row r="456">
      <c r="A456" s="13" t="s">
        <v>20</v>
      </c>
      <c r="B456" s="13" t="s">
        <v>20</v>
      </c>
      <c r="C456" s="26">
        <v>45646.0</v>
      </c>
      <c r="D456" s="13" t="s">
        <v>25</v>
      </c>
      <c r="E456" s="13">
        <v>7.1</v>
      </c>
      <c r="F456" s="13" t="s">
        <v>22</v>
      </c>
      <c r="G456" s="13">
        <v>4.0</v>
      </c>
      <c r="H456" s="13" t="s">
        <v>23</v>
      </c>
      <c r="I456" s="23">
        <v>14.0569</v>
      </c>
      <c r="J456" s="23">
        <v>493.2015</v>
      </c>
      <c r="K456" s="23">
        <v>4.815</v>
      </c>
      <c r="L456" s="23">
        <v>0.036</v>
      </c>
      <c r="M456" s="22">
        <v>107.70433333333334</v>
      </c>
      <c r="N456" s="22">
        <v>32.335</v>
      </c>
      <c r="O456" s="22">
        <v>84.753</v>
      </c>
      <c r="P456" s="22">
        <v>30.383333333333336</v>
      </c>
      <c r="Q456" s="22">
        <v>46.95400000000001</v>
      </c>
      <c r="R456" s="22">
        <v>23.914666666666665</v>
      </c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</row>
    <row r="457">
      <c r="A457" s="13" t="s">
        <v>20</v>
      </c>
      <c r="B457" s="13" t="s">
        <v>20</v>
      </c>
      <c r="C457" s="26">
        <v>45646.0</v>
      </c>
      <c r="D457" s="13" t="s">
        <v>25</v>
      </c>
      <c r="E457" s="13">
        <v>7.2</v>
      </c>
      <c r="F457" s="13" t="s">
        <v>22</v>
      </c>
      <c r="G457" s="13">
        <v>4.0</v>
      </c>
      <c r="H457" s="13" t="s">
        <v>23</v>
      </c>
      <c r="I457" s="23">
        <v>10.6711</v>
      </c>
      <c r="J457" s="23">
        <v>567.6013</v>
      </c>
      <c r="K457" s="23">
        <v>3.483</v>
      </c>
      <c r="L457" s="23">
        <v>0.014</v>
      </c>
      <c r="M457" s="22">
        <v>106.43900000000001</v>
      </c>
      <c r="N457" s="22">
        <v>30.648</v>
      </c>
      <c r="O457" s="22">
        <v>83.27366666666667</v>
      </c>
      <c r="P457" s="22">
        <v>29.786</v>
      </c>
      <c r="Q457" s="22">
        <v>41.397999999999996</v>
      </c>
      <c r="R457" s="22">
        <v>24.51733333333333</v>
      </c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</row>
    <row r="458">
      <c r="A458" s="13" t="s">
        <v>20</v>
      </c>
      <c r="B458" s="13" t="s">
        <v>20</v>
      </c>
      <c r="C458" s="26">
        <v>45646.0</v>
      </c>
      <c r="D458" s="13" t="s">
        <v>25</v>
      </c>
      <c r="E458" s="13">
        <v>7.3</v>
      </c>
      <c r="F458" s="13" t="s">
        <v>22</v>
      </c>
      <c r="G458" s="13">
        <v>4.0</v>
      </c>
      <c r="H458" s="13" t="s">
        <v>23</v>
      </c>
      <c r="I458" s="23">
        <v>11.3701</v>
      </c>
      <c r="J458" s="23">
        <v>512.4014</v>
      </c>
      <c r="K458" s="23">
        <v>4.428</v>
      </c>
      <c r="L458" s="23">
        <v>0.007</v>
      </c>
      <c r="M458" s="22">
        <v>112.385</v>
      </c>
      <c r="N458" s="22">
        <v>27.885333333333335</v>
      </c>
      <c r="O458" s="22">
        <v>86.84266666666666</v>
      </c>
      <c r="P458" s="22">
        <v>27.230666666666668</v>
      </c>
      <c r="Q458" s="22">
        <v>45.369</v>
      </c>
      <c r="R458" s="22">
        <v>23.80933333333333</v>
      </c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</row>
    <row r="459">
      <c r="A459" s="13" t="s">
        <v>20</v>
      </c>
      <c r="B459" s="13" t="s">
        <v>20</v>
      </c>
      <c r="C459" s="26">
        <v>45646.0</v>
      </c>
      <c r="D459" s="13" t="s">
        <v>25</v>
      </c>
      <c r="E459" s="13">
        <v>7.4</v>
      </c>
      <c r="F459" s="13" t="s">
        <v>22</v>
      </c>
      <c r="G459" s="13">
        <v>4.0</v>
      </c>
      <c r="H459" s="13" t="s">
        <v>23</v>
      </c>
      <c r="I459" s="23">
        <v>12.3335</v>
      </c>
      <c r="J459" s="23">
        <v>556.8323</v>
      </c>
      <c r="K459" s="23">
        <v>4.439</v>
      </c>
      <c r="L459" s="23">
        <v>0.029</v>
      </c>
      <c r="M459" s="22">
        <v>130.92633333333333</v>
      </c>
      <c r="N459" s="22">
        <v>32.009</v>
      </c>
      <c r="O459" s="22">
        <v>112.39866666666667</v>
      </c>
      <c r="P459" s="22">
        <v>31.589333333333332</v>
      </c>
      <c r="Q459" s="22">
        <v>62.767</v>
      </c>
      <c r="R459" s="22">
        <v>29.473</v>
      </c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</row>
    <row r="460">
      <c r="A460" s="13" t="s">
        <v>20</v>
      </c>
      <c r="B460" s="13" t="s">
        <v>20</v>
      </c>
      <c r="C460" s="26">
        <v>45646.0</v>
      </c>
      <c r="D460" s="13" t="s">
        <v>25</v>
      </c>
      <c r="E460" s="13">
        <v>8.1</v>
      </c>
      <c r="F460" s="13" t="s">
        <v>22</v>
      </c>
      <c r="G460" s="13">
        <v>4.0</v>
      </c>
      <c r="H460" s="13" t="s">
        <v>23</v>
      </c>
      <c r="I460" s="23">
        <v>12.4086</v>
      </c>
      <c r="J460" s="23">
        <v>542.5327</v>
      </c>
      <c r="K460" s="23">
        <v>3.91</v>
      </c>
      <c r="L460" s="23">
        <v>0.007</v>
      </c>
      <c r="M460" s="22">
        <v>112.29833333333333</v>
      </c>
      <c r="N460" s="22">
        <v>25.71466666666667</v>
      </c>
      <c r="O460" s="22">
        <v>86.33766666666666</v>
      </c>
      <c r="P460" s="22">
        <v>26.563</v>
      </c>
      <c r="Q460" s="22">
        <v>48.266333333333336</v>
      </c>
      <c r="R460" s="22">
        <v>26.5</v>
      </c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</row>
    <row r="461">
      <c r="A461" s="13" t="s">
        <v>20</v>
      </c>
      <c r="B461" s="13" t="s">
        <v>20</v>
      </c>
      <c r="C461" s="26">
        <v>45646.0</v>
      </c>
      <c r="D461" s="13" t="s">
        <v>25</v>
      </c>
      <c r="E461" s="13">
        <v>8.2</v>
      </c>
      <c r="F461" s="13" t="s">
        <v>22</v>
      </c>
      <c r="G461" s="13">
        <v>4.0</v>
      </c>
      <c r="H461" s="13" t="s">
        <v>23</v>
      </c>
      <c r="I461" s="23">
        <v>12.7645</v>
      </c>
      <c r="J461" s="23">
        <v>529.2871</v>
      </c>
      <c r="K461" s="23">
        <v>4.77</v>
      </c>
      <c r="L461" s="23">
        <v>0.029</v>
      </c>
      <c r="M461" s="22">
        <v>113.17566666666666</v>
      </c>
      <c r="N461" s="22">
        <v>26.339</v>
      </c>
      <c r="O461" s="22">
        <v>86.633</v>
      </c>
      <c r="P461" s="22">
        <v>27.494</v>
      </c>
      <c r="Q461" s="22">
        <v>44.973000000000006</v>
      </c>
      <c r="R461" s="22">
        <v>26.69633333333333</v>
      </c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</row>
    <row r="462">
      <c r="A462" s="13" t="s">
        <v>20</v>
      </c>
      <c r="B462" s="13" t="s">
        <v>20</v>
      </c>
      <c r="C462" s="26">
        <v>45646.0</v>
      </c>
      <c r="D462" s="13" t="s">
        <v>25</v>
      </c>
      <c r="E462" s="13">
        <v>8.3</v>
      </c>
      <c r="F462" s="13" t="s">
        <v>22</v>
      </c>
      <c r="G462" s="13">
        <v>4.0</v>
      </c>
      <c r="H462" s="13" t="s">
        <v>23</v>
      </c>
      <c r="I462" s="23">
        <v>10.0796</v>
      </c>
      <c r="J462" s="23">
        <v>517.2125</v>
      </c>
      <c r="K462" s="23">
        <v>3.777</v>
      </c>
      <c r="L462" s="23">
        <v>0.027</v>
      </c>
      <c r="M462" s="22">
        <v>101.68966666666665</v>
      </c>
      <c r="N462" s="22">
        <v>35.679333333333325</v>
      </c>
      <c r="O462" s="22">
        <v>78.66199999999999</v>
      </c>
      <c r="P462" s="22">
        <v>33.82066666666666</v>
      </c>
      <c r="Q462" s="22">
        <v>41.99333333333333</v>
      </c>
      <c r="R462" s="22">
        <v>27.898666666666667</v>
      </c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</row>
    <row r="463">
      <c r="A463" s="13" t="s">
        <v>20</v>
      </c>
      <c r="B463" s="13" t="s">
        <v>20</v>
      </c>
      <c r="C463" s="26">
        <v>45646.0</v>
      </c>
      <c r="D463" s="13" t="s">
        <v>25</v>
      </c>
      <c r="E463" s="13">
        <v>8.4</v>
      </c>
      <c r="F463" s="13" t="s">
        <v>22</v>
      </c>
      <c r="G463" s="13">
        <v>4.0</v>
      </c>
      <c r="H463" s="13" t="s">
        <v>23</v>
      </c>
      <c r="I463" s="23">
        <v>13.0072</v>
      </c>
      <c r="J463" s="23">
        <v>598.8048</v>
      </c>
      <c r="K463" s="23">
        <v>4.386</v>
      </c>
      <c r="L463" s="23">
        <v>0.027</v>
      </c>
      <c r="M463" s="22">
        <v>126.324</v>
      </c>
      <c r="N463" s="22">
        <v>32.68666666666667</v>
      </c>
      <c r="O463" s="22">
        <v>100.164</v>
      </c>
      <c r="P463" s="22">
        <v>32.12199999999999</v>
      </c>
      <c r="Q463" s="22">
        <v>47.47533333333334</v>
      </c>
      <c r="R463" s="22">
        <v>26.807666666666666</v>
      </c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</row>
    <row r="464">
      <c r="A464" s="13" t="s">
        <v>20</v>
      </c>
      <c r="B464" s="13" t="s">
        <v>20</v>
      </c>
      <c r="C464" s="26">
        <v>45646.0</v>
      </c>
      <c r="D464" s="13" t="s">
        <v>25</v>
      </c>
      <c r="E464" s="13">
        <v>9.1</v>
      </c>
      <c r="F464" s="13" t="s">
        <v>22</v>
      </c>
      <c r="G464" s="13">
        <v>4.0</v>
      </c>
      <c r="H464" s="13" t="s">
        <v>23</v>
      </c>
      <c r="I464" s="23">
        <v>11.9999</v>
      </c>
      <c r="J464" s="23">
        <v>564.0</v>
      </c>
      <c r="K464" s="23">
        <v>4.712</v>
      </c>
      <c r="L464" s="23">
        <v>0.036</v>
      </c>
      <c r="M464" s="22">
        <v>116.55533333333335</v>
      </c>
      <c r="N464" s="22">
        <v>22.763666666666666</v>
      </c>
      <c r="O464" s="22">
        <v>92.818</v>
      </c>
      <c r="P464" s="22">
        <v>22.718666666666667</v>
      </c>
      <c r="Q464" s="22">
        <v>47.16233333333333</v>
      </c>
      <c r="R464" s="22">
        <v>23.329333333333334</v>
      </c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</row>
    <row r="465">
      <c r="A465" s="13" t="s">
        <v>20</v>
      </c>
      <c r="B465" s="13" t="s">
        <v>20</v>
      </c>
      <c r="C465" s="26">
        <v>45646.0</v>
      </c>
      <c r="D465" s="13" t="s">
        <v>25</v>
      </c>
      <c r="E465" s="13">
        <v>9.2</v>
      </c>
      <c r="F465" s="13" t="s">
        <v>22</v>
      </c>
      <c r="G465" s="13">
        <v>4.0</v>
      </c>
      <c r="H465" s="13" t="s">
        <v>23</v>
      </c>
      <c r="I465" s="23">
        <v>10.3365</v>
      </c>
      <c r="J465" s="23">
        <v>499.2519</v>
      </c>
      <c r="K465" s="23">
        <v>3.38</v>
      </c>
      <c r="L465" s="23">
        <v>0.032</v>
      </c>
      <c r="M465" s="22">
        <v>114.53266666666667</v>
      </c>
      <c r="N465" s="22">
        <v>28.421999999999997</v>
      </c>
      <c r="O465" s="22">
        <v>89.89933333333333</v>
      </c>
      <c r="P465" s="22">
        <v>27.237666666666666</v>
      </c>
      <c r="Q465" s="22">
        <v>47.236</v>
      </c>
      <c r="R465" s="22">
        <v>22.261333333333337</v>
      </c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</row>
    <row r="466">
      <c r="A466" s="13" t="s">
        <v>20</v>
      </c>
      <c r="B466" s="13" t="s">
        <v>20</v>
      </c>
      <c r="C466" s="26">
        <v>45646.0</v>
      </c>
      <c r="D466" s="13" t="s">
        <v>25</v>
      </c>
      <c r="E466" s="13">
        <v>9.3</v>
      </c>
      <c r="F466" s="13" t="s">
        <v>22</v>
      </c>
      <c r="G466" s="13">
        <v>4.0</v>
      </c>
      <c r="H466" s="13" t="s">
        <v>23</v>
      </c>
      <c r="I466" s="23">
        <v>10.4242</v>
      </c>
      <c r="J466" s="23">
        <v>518.4</v>
      </c>
      <c r="K466" s="23">
        <v>3.484</v>
      </c>
      <c r="L466" s="23">
        <v>0.018</v>
      </c>
      <c r="M466" s="22">
        <v>107.82166666666666</v>
      </c>
      <c r="N466" s="22">
        <v>28.907333333333337</v>
      </c>
      <c r="O466" s="22">
        <v>83.16933333333333</v>
      </c>
      <c r="P466" s="22">
        <v>27.593999999999998</v>
      </c>
      <c r="Q466" s="22">
        <v>48.56933333333333</v>
      </c>
      <c r="R466" s="22">
        <v>24.555333333333333</v>
      </c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</row>
    <row r="467">
      <c r="A467" s="13" t="s">
        <v>20</v>
      </c>
      <c r="B467" s="13" t="s">
        <v>20</v>
      </c>
      <c r="C467" s="26">
        <v>45646.0</v>
      </c>
      <c r="D467" s="13" t="s">
        <v>25</v>
      </c>
      <c r="E467" s="13">
        <v>9.4</v>
      </c>
      <c r="F467" s="13" t="s">
        <v>22</v>
      </c>
      <c r="G467" s="13">
        <v>4.0</v>
      </c>
      <c r="H467" s="13" t="s">
        <v>23</v>
      </c>
      <c r="I467" s="23">
        <v>10.5578</v>
      </c>
      <c r="J467" s="23">
        <v>606.0012</v>
      </c>
      <c r="K467" s="23">
        <v>4.084</v>
      </c>
      <c r="L467" s="23">
        <v>0.044</v>
      </c>
      <c r="M467" s="22">
        <v>128.22366666666667</v>
      </c>
      <c r="N467" s="22">
        <v>32.168</v>
      </c>
      <c r="O467" s="22">
        <v>105.49533333333333</v>
      </c>
      <c r="P467" s="22">
        <v>33.333333333333336</v>
      </c>
      <c r="Q467" s="22">
        <v>56.57900000000001</v>
      </c>
      <c r="R467" s="22">
        <v>28.051000000000002</v>
      </c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</row>
    <row r="468">
      <c r="A468" s="13" t="s">
        <v>20</v>
      </c>
      <c r="B468" s="13" t="s">
        <v>20</v>
      </c>
      <c r="C468" s="26">
        <v>45691.0</v>
      </c>
      <c r="D468" s="13" t="s">
        <v>21</v>
      </c>
      <c r="E468" s="13">
        <v>7.1</v>
      </c>
      <c r="F468" s="13" t="s">
        <v>22</v>
      </c>
      <c r="G468" s="13">
        <v>4.0</v>
      </c>
      <c r="H468" s="13" t="s">
        <v>26</v>
      </c>
      <c r="I468" s="23">
        <v>10.801</v>
      </c>
      <c r="J468" s="23">
        <v>499.2361</v>
      </c>
      <c r="K468" s="23">
        <v>2.909</v>
      </c>
      <c r="L468" s="23">
        <v>0.017</v>
      </c>
      <c r="M468" s="22">
        <v>98.646</v>
      </c>
      <c r="N468" s="22">
        <v>26.118</v>
      </c>
      <c r="O468" s="22">
        <v>79.469</v>
      </c>
      <c r="P468" s="22">
        <v>26.459333333333333</v>
      </c>
      <c r="Q468" s="22">
        <v>58.73166666666666</v>
      </c>
      <c r="R468" s="22">
        <v>23.78333333333333</v>
      </c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</row>
    <row r="469">
      <c r="A469" s="13" t="s">
        <v>20</v>
      </c>
      <c r="B469" s="13" t="s">
        <v>20</v>
      </c>
      <c r="C469" s="26">
        <v>45691.0</v>
      </c>
      <c r="D469" s="13" t="s">
        <v>21</v>
      </c>
      <c r="E469" s="13">
        <v>7.2</v>
      </c>
      <c r="F469" s="13" t="s">
        <v>22</v>
      </c>
      <c r="G469" s="13">
        <v>4.0</v>
      </c>
      <c r="H469" s="13" t="s">
        <v>26</v>
      </c>
      <c r="I469" s="23">
        <v>11.5334</v>
      </c>
      <c r="J469" s="23">
        <v>501.6517</v>
      </c>
      <c r="K469" s="23">
        <v>3.315</v>
      </c>
      <c r="L469" s="23">
        <v>0.038</v>
      </c>
      <c r="M469" s="22">
        <v>89.05733333333335</v>
      </c>
      <c r="N469" s="22">
        <v>21.282666666666668</v>
      </c>
      <c r="O469" s="22">
        <v>73.79766666666666</v>
      </c>
      <c r="P469" s="22">
        <v>22.03</v>
      </c>
      <c r="Q469" s="22">
        <v>62.92933333333334</v>
      </c>
      <c r="R469" s="22">
        <v>24.883666666666667</v>
      </c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</row>
    <row r="470">
      <c r="A470" s="13" t="s">
        <v>20</v>
      </c>
      <c r="B470" s="13" t="s">
        <v>20</v>
      </c>
      <c r="C470" s="26">
        <v>45691.0</v>
      </c>
      <c r="D470" s="13" t="s">
        <v>21</v>
      </c>
      <c r="E470" s="13">
        <v>7.3</v>
      </c>
      <c r="F470" s="13" t="s">
        <v>22</v>
      </c>
      <c r="G470" s="13">
        <v>4.0</v>
      </c>
      <c r="H470" s="13" t="s">
        <v>26</v>
      </c>
      <c r="I470" s="23">
        <v>13.561</v>
      </c>
      <c r="J470" s="23">
        <v>458.4063</v>
      </c>
      <c r="K470" s="23">
        <v>3.776</v>
      </c>
      <c r="L470" s="23">
        <v>0.037</v>
      </c>
      <c r="M470" s="22">
        <v>104.361</v>
      </c>
      <c r="N470" s="22">
        <v>25.119333333333334</v>
      </c>
      <c r="O470" s="22">
        <v>89.43400000000001</v>
      </c>
      <c r="P470" s="22">
        <v>29.233000000000004</v>
      </c>
      <c r="Q470" s="22">
        <v>70.383</v>
      </c>
      <c r="R470" s="22">
        <v>29.822666666666667</v>
      </c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</row>
    <row r="471">
      <c r="A471" s="13" t="s">
        <v>20</v>
      </c>
      <c r="B471" s="13" t="s">
        <v>20</v>
      </c>
      <c r="C471" s="26">
        <v>45691.0</v>
      </c>
      <c r="D471" s="13" t="s">
        <v>21</v>
      </c>
      <c r="E471" s="13">
        <v>7.4</v>
      </c>
      <c r="F471" s="13" t="s">
        <v>22</v>
      </c>
      <c r="G471" s="13">
        <v>4.0</v>
      </c>
      <c r="H471" s="13" t="s">
        <v>26</v>
      </c>
      <c r="I471" s="23">
        <v>11.9272</v>
      </c>
      <c r="J471" s="23">
        <v>495.6015</v>
      </c>
      <c r="K471" s="23">
        <v>3.707</v>
      </c>
      <c r="L471" s="23">
        <v>0.01</v>
      </c>
      <c r="M471" s="22">
        <v>136.01066666666665</v>
      </c>
      <c r="N471" s="22">
        <v>31.826999999999998</v>
      </c>
      <c r="O471" s="22">
        <v>114.79266666666668</v>
      </c>
      <c r="P471" s="22">
        <v>30.435999999999996</v>
      </c>
      <c r="Q471" s="22">
        <v>82.835</v>
      </c>
      <c r="R471" s="22">
        <v>25.230999999999998</v>
      </c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</row>
    <row r="472">
      <c r="A472" s="13" t="s">
        <v>20</v>
      </c>
      <c r="B472" s="13" t="s">
        <v>20</v>
      </c>
      <c r="C472" s="26">
        <v>45691.0</v>
      </c>
      <c r="D472" s="13" t="s">
        <v>21</v>
      </c>
      <c r="E472" s="13">
        <v>8.1</v>
      </c>
      <c r="F472" s="13" t="s">
        <v>22</v>
      </c>
      <c r="G472" s="13">
        <v>4.0</v>
      </c>
      <c r="H472" s="13" t="s">
        <v>26</v>
      </c>
      <c r="I472" s="23">
        <v>12.8026</v>
      </c>
      <c r="J472" s="23">
        <v>448.8578</v>
      </c>
      <c r="K472" s="23">
        <v>3.631</v>
      </c>
      <c r="L472" s="23">
        <v>0.031</v>
      </c>
      <c r="M472" s="22">
        <v>103.54833333333333</v>
      </c>
      <c r="N472" s="22">
        <v>25.453000000000003</v>
      </c>
      <c r="O472" s="22">
        <v>85.32266666666668</v>
      </c>
      <c r="P472" s="22">
        <v>26.709999999999997</v>
      </c>
      <c r="Q472" s="22">
        <v>70.14266666666667</v>
      </c>
      <c r="R472" s="22">
        <v>25.174333333333333</v>
      </c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</row>
    <row r="473">
      <c r="A473" s="13" t="s">
        <v>20</v>
      </c>
      <c r="B473" s="13" t="s">
        <v>20</v>
      </c>
      <c r="C473" s="26">
        <v>45691.0</v>
      </c>
      <c r="D473" s="13" t="s">
        <v>21</v>
      </c>
      <c r="E473" s="13">
        <v>8.2</v>
      </c>
      <c r="F473" s="13" t="s">
        <v>22</v>
      </c>
      <c r="G473" s="13">
        <v>4.0</v>
      </c>
      <c r="H473" s="13" t="s">
        <v>26</v>
      </c>
      <c r="I473" s="23">
        <v>11.6746</v>
      </c>
      <c r="J473" s="23">
        <v>478.806</v>
      </c>
      <c r="K473" s="23">
        <v>3.088</v>
      </c>
      <c r="L473" s="23">
        <v>0.009</v>
      </c>
      <c r="M473" s="22">
        <v>104.91300000000001</v>
      </c>
      <c r="N473" s="22">
        <v>27.005</v>
      </c>
      <c r="O473" s="22">
        <v>82.334</v>
      </c>
      <c r="P473" s="22">
        <v>26.842000000000002</v>
      </c>
      <c r="Q473" s="22">
        <v>63.321</v>
      </c>
      <c r="R473" s="22">
        <v>25.221</v>
      </c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</row>
    <row r="474">
      <c r="A474" s="13" t="s">
        <v>20</v>
      </c>
      <c r="B474" s="13" t="s">
        <v>20</v>
      </c>
      <c r="C474" s="26">
        <v>45691.0</v>
      </c>
      <c r="D474" s="13" t="s">
        <v>21</v>
      </c>
      <c r="E474" s="13">
        <v>8.3</v>
      </c>
      <c r="F474" s="13" t="s">
        <v>22</v>
      </c>
      <c r="G474" s="13">
        <v>4.0</v>
      </c>
      <c r="H474" s="13" t="s">
        <v>26</v>
      </c>
      <c r="I474" s="23">
        <v>11.9464</v>
      </c>
      <c r="J474" s="23">
        <v>450.0256</v>
      </c>
      <c r="K474" s="23">
        <v>3.765</v>
      </c>
      <c r="L474" s="23">
        <v>0.015</v>
      </c>
      <c r="M474" s="22">
        <v>114.55433333333333</v>
      </c>
      <c r="N474" s="22">
        <v>22.836</v>
      </c>
      <c r="O474" s="22">
        <v>93.86666666666667</v>
      </c>
      <c r="P474" s="22">
        <v>24.702333333333332</v>
      </c>
      <c r="Q474" s="22">
        <v>82.40066666666668</v>
      </c>
      <c r="R474" s="22">
        <v>25.659000000000002</v>
      </c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</row>
    <row r="475">
      <c r="A475" s="13" t="s">
        <v>20</v>
      </c>
      <c r="B475" s="13" t="s">
        <v>20</v>
      </c>
      <c r="C475" s="26">
        <v>45691.0</v>
      </c>
      <c r="D475" s="13" t="s">
        <v>21</v>
      </c>
      <c r="E475" s="13">
        <v>8.4</v>
      </c>
      <c r="F475" s="13" t="s">
        <v>22</v>
      </c>
      <c r="G475" s="13">
        <v>4.0</v>
      </c>
      <c r="H475" s="13" t="s">
        <v>26</v>
      </c>
      <c r="I475" s="23">
        <v>10.4982</v>
      </c>
      <c r="J475" s="23">
        <v>484.8</v>
      </c>
      <c r="K475" s="23">
        <v>2.672</v>
      </c>
      <c r="L475" s="23">
        <v>0.029</v>
      </c>
      <c r="M475" s="22">
        <v>140.0066666666667</v>
      </c>
      <c r="N475" s="22">
        <v>34.19</v>
      </c>
      <c r="O475" s="22">
        <v>117.27266666666667</v>
      </c>
      <c r="P475" s="22">
        <v>34.81333333333333</v>
      </c>
      <c r="Q475" s="22">
        <v>79.18233333333332</v>
      </c>
      <c r="R475" s="22">
        <v>37.00266666666666</v>
      </c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</row>
    <row r="476">
      <c r="A476" s="13" t="s">
        <v>20</v>
      </c>
      <c r="B476" s="13" t="s">
        <v>20</v>
      </c>
      <c r="C476" s="26">
        <v>45691.0</v>
      </c>
      <c r="D476" s="13" t="s">
        <v>21</v>
      </c>
      <c r="E476" s="13">
        <v>9.1</v>
      </c>
      <c r="F476" s="13" t="s">
        <v>22</v>
      </c>
      <c r="G476" s="13">
        <v>4.0</v>
      </c>
      <c r="H476" s="13" t="s">
        <v>26</v>
      </c>
      <c r="I476" s="23">
        <v>11.1874</v>
      </c>
      <c r="J476" s="23">
        <v>471.6137</v>
      </c>
      <c r="K476" s="23">
        <v>2.412</v>
      </c>
      <c r="L476" s="23">
        <v>0.024</v>
      </c>
      <c r="M476" s="22">
        <v>135.80033333333333</v>
      </c>
      <c r="N476" s="22">
        <v>30.54433333333333</v>
      </c>
      <c r="O476" s="22">
        <v>101.69733333333333</v>
      </c>
      <c r="P476" s="22">
        <v>27.939333333333334</v>
      </c>
      <c r="Q476" s="22">
        <v>73.185</v>
      </c>
      <c r="R476" s="22">
        <v>28.59566666666667</v>
      </c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</row>
    <row r="477">
      <c r="A477" s="13" t="s">
        <v>20</v>
      </c>
      <c r="B477" s="13" t="s">
        <v>20</v>
      </c>
      <c r="C477" s="26">
        <v>45691.0</v>
      </c>
      <c r="D477" s="13" t="s">
        <v>21</v>
      </c>
      <c r="E477" s="13">
        <v>9.2</v>
      </c>
      <c r="F477" s="13" t="s">
        <v>22</v>
      </c>
      <c r="G477" s="13">
        <v>4.0</v>
      </c>
      <c r="H477" s="13" t="s">
        <v>26</v>
      </c>
      <c r="I477" s="23">
        <v>10.0842</v>
      </c>
      <c r="J477" s="23">
        <v>444.0</v>
      </c>
      <c r="K477" s="23">
        <v>2.266</v>
      </c>
      <c r="L477" s="23">
        <v>0.028</v>
      </c>
      <c r="M477" s="22">
        <v>121.296</v>
      </c>
      <c r="N477" s="22">
        <v>27.227</v>
      </c>
      <c r="O477" s="22">
        <v>85.36666666666667</v>
      </c>
      <c r="P477" s="22">
        <v>25.043333333333333</v>
      </c>
      <c r="Q477" s="22">
        <v>58.11866666666666</v>
      </c>
      <c r="R477" s="22">
        <v>27.286333333333335</v>
      </c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</row>
    <row r="478">
      <c r="A478" s="13" t="s">
        <v>20</v>
      </c>
      <c r="B478" s="13" t="s">
        <v>20</v>
      </c>
      <c r="C478" s="26">
        <v>45691.0</v>
      </c>
      <c r="D478" s="13" t="s">
        <v>21</v>
      </c>
      <c r="E478" s="13">
        <v>9.3</v>
      </c>
      <c r="F478" s="13" t="s">
        <v>22</v>
      </c>
      <c r="G478" s="13">
        <v>4.0</v>
      </c>
      <c r="H478" s="13" t="s">
        <v>26</v>
      </c>
      <c r="I478" s="23">
        <v>11.7155</v>
      </c>
      <c r="J478" s="23">
        <v>470.4245</v>
      </c>
      <c r="K478" s="23">
        <v>2.733</v>
      </c>
      <c r="L478" s="23">
        <v>0.023</v>
      </c>
      <c r="M478" s="22">
        <v>122.66233333333332</v>
      </c>
      <c r="N478" s="22">
        <v>31.72</v>
      </c>
      <c r="O478" s="22">
        <v>89.19233333333334</v>
      </c>
      <c r="P478" s="22">
        <v>27.902666666666665</v>
      </c>
      <c r="Q478" s="22">
        <v>69.61533333333334</v>
      </c>
      <c r="R478" s="22">
        <v>29.020333333333337</v>
      </c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</row>
    <row r="479">
      <c r="A479" s="13" t="s">
        <v>20</v>
      </c>
      <c r="B479" s="13" t="s">
        <v>20</v>
      </c>
      <c r="C479" s="26">
        <v>45691.0</v>
      </c>
      <c r="D479" s="13" t="s">
        <v>21</v>
      </c>
      <c r="E479" s="13">
        <v>9.4</v>
      </c>
      <c r="F479" s="13" t="s">
        <v>22</v>
      </c>
      <c r="G479" s="13">
        <v>4.0</v>
      </c>
      <c r="H479" s="13" t="s">
        <v>26</v>
      </c>
      <c r="I479" s="23">
        <v>11.2649</v>
      </c>
      <c r="J479" s="23">
        <v>508.8014</v>
      </c>
      <c r="K479" s="23">
        <v>3.123</v>
      </c>
      <c r="L479" s="23">
        <v>0.027</v>
      </c>
      <c r="M479" s="22">
        <v>160.173</v>
      </c>
      <c r="N479" s="22">
        <v>28.519666666666666</v>
      </c>
      <c r="O479" s="22">
        <v>130.64866666666666</v>
      </c>
      <c r="P479" s="22">
        <v>27.23</v>
      </c>
      <c r="Q479" s="22">
        <v>91.634</v>
      </c>
      <c r="R479" s="22">
        <v>24.878333333333334</v>
      </c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</row>
    <row r="480">
      <c r="A480" s="13" t="s">
        <v>20</v>
      </c>
      <c r="B480" s="13" t="s">
        <v>20</v>
      </c>
      <c r="C480" s="26">
        <v>45691.0</v>
      </c>
      <c r="D480" s="13" t="s">
        <v>24</v>
      </c>
      <c r="E480" s="13">
        <v>7.1</v>
      </c>
      <c r="F480" s="13" t="s">
        <v>22</v>
      </c>
      <c r="G480" s="13">
        <v>4.0</v>
      </c>
      <c r="H480" s="13" t="s">
        <v>26</v>
      </c>
      <c r="I480" s="23">
        <v>11.4759</v>
      </c>
      <c r="J480" s="23">
        <v>531.6339</v>
      </c>
      <c r="K480" s="23">
        <v>5.126</v>
      </c>
      <c r="L480" s="23">
        <v>0.008</v>
      </c>
      <c r="M480" s="22">
        <v>148.86633333333336</v>
      </c>
      <c r="N480" s="22">
        <v>24.652</v>
      </c>
      <c r="O480" s="22">
        <v>122.80399999999999</v>
      </c>
      <c r="P480" s="22">
        <v>23.467133333333333</v>
      </c>
      <c r="Q480" s="22">
        <v>95.67033333333332</v>
      </c>
      <c r="R480" s="22">
        <v>23.432333333333332</v>
      </c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</row>
    <row r="481">
      <c r="A481" s="13" t="s">
        <v>20</v>
      </c>
      <c r="B481" s="13" t="s">
        <v>20</v>
      </c>
      <c r="C481" s="26">
        <v>45691.0</v>
      </c>
      <c r="D481" s="13" t="s">
        <v>24</v>
      </c>
      <c r="E481" s="13">
        <v>7.2</v>
      </c>
      <c r="F481" s="13" t="s">
        <v>22</v>
      </c>
      <c r="G481" s="13">
        <v>4.0</v>
      </c>
      <c r="H481" s="13" t="s">
        <v>26</v>
      </c>
      <c r="I481" s="23">
        <v>11.695</v>
      </c>
      <c r="J481" s="23">
        <v>514.8224</v>
      </c>
      <c r="K481" s="23">
        <v>5.0</v>
      </c>
      <c r="L481" s="23">
        <v>0.048</v>
      </c>
      <c r="M481" s="22">
        <v>145.89700000000002</v>
      </c>
      <c r="N481" s="22">
        <v>25.209666666666664</v>
      </c>
      <c r="O481" s="22">
        <v>114.67333333333333</v>
      </c>
      <c r="P481" s="22">
        <v>22.815</v>
      </c>
      <c r="Q481" s="22">
        <v>81.11433333333333</v>
      </c>
      <c r="R481" s="22">
        <v>20.93766666666667</v>
      </c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</row>
    <row r="482">
      <c r="A482" s="13" t="s">
        <v>20</v>
      </c>
      <c r="B482" s="13" t="s">
        <v>20</v>
      </c>
      <c r="C482" s="26">
        <v>45691.0</v>
      </c>
      <c r="D482" s="13" t="s">
        <v>24</v>
      </c>
      <c r="E482" s="13">
        <v>7.3</v>
      </c>
      <c r="F482" s="13" t="s">
        <v>22</v>
      </c>
      <c r="G482" s="13">
        <v>4.0</v>
      </c>
      <c r="H482" s="13" t="s">
        <v>26</v>
      </c>
      <c r="I482" s="23">
        <v>12.9366</v>
      </c>
      <c r="J482" s="23">
        <v>535.2013</v>
      </c>
      <c r="K482" s="23">
        <v>5.751</v>
      </c>
      <c r="L482" s="23">
        <v>0.034</v>
      </c>
      <c r="M482" s="22">
        <v>142.923</v>
      </c>
      <c r="N482" s="22">
        <v>22.871</v>
      </c>
      <c r="O482" s="22">
        <v>113.46733333333333</v>
      </c>
      <c r="P482" s="22">
        <v>21.277666666666665</v>
      </c>
      <c r="Q482" s="22">
        <v>79.95533333333333</v>
      </c>
      <c r="R482" s="22">
        <v>19.423666666666666</v>
      </c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</row>
    <row r="483">
      <c r="A483" s="13" t="s">
        <v>20</v>
      </c>
      <c r="B483" s="13" t="s">
        <v>20</v>
      </c>
      <c r="C483" s="26">
        <v>45691.0</v>
      </c>
      <c r="D483" s="13" t="s">
        <v>24</v>
      </c>
      <c r="E483" s="13">
        <v>7.4</v>
      </c>
      <c r="F483" s="13" t="s">
        <v>22</v>
      </c>
      <c r="G483" s="13">
        <v>4.0</v>
      </c>
      <c r="H483" s="13" t="s">
        <v>26</v>
      </c>
      <c r="I483" s="23">
        <v>11.4302</v>
      </c>
      <c r="J483" s="23">
        <v>487.2015</v>
      </c>
      <c r="K483" s="23">
        <v>4.781</v>
      </c>
      <c r="L483" s="23">
        <v>0.048</v>
      </c>
      <c r="M483" s="22">
        <v>172.66666666666666</v>
      </c>
      <c r="N483" s="22">
        <v>28.751666666666665</v>
      </c>
      <c r="O483" s="22">
        <v>136.58766666666668</v>
      </c>
      <c r="P483" s="22">
        <v>24.556</v>
      </c>
      <c r="Q483" s="22">
        <v>88.777</v>
      </c>
      <c r="R483" s="22">
        <v>18.977333333333334</v>
      </c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</row>
    <row r="484">
      <c r="A484" s="13" t="s">
        <v>20</v>
      </c>
      <c r="B484" s="13" t="s">
        <v>20</v>
      </c>
      <c r="C484" s="26">
        <v>45691.0</v>
      </c>
      <c r="D484" s="13" t="s">
        <v>24</v>
      </c>
      <c r="E484" s="13">
        <v>8.1</v>
      </c>
      <c r="F484" s="13" t="s">
        <v>22</v>
      </c>
      <c r="G484" s="13">
        <v>4.0</v>
      </c>
      <c r="H484" s="13" t="s">
        <v>26</v>
      </c>
      <c r="I484" s="23">
        <v>10.2368</v>
      </c>
      <c r="J484" s="23">
        <v>514.8503</v>
      </c>
      <c r="K484" s="23">
        <v>3.786</v>
      </c>
      <c r="L484" s="23">
        <v>0.015</v>
      </c>
      <c r="M484" s="22">
        <v>160.54999999999998</v>
      </c>
      <c r="N484" s="22">
        <v>25.61266666666667</v>
      </c>
      <c r="O484" s="22">
        <v>140.39933333333335</v>
      </c>
      <c r="P484" s="22">
        <v>24.98</v>
      </c>
      <c r="Q484" s="22">
        <v>115.68233333333335</v>
      </c>
      <c r="R484" s="22">
        <v>25.012999999999995</v>
      </c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</row>
    <row r="485">
      <c r="A485" s="13" t="s">
        <v>20</v>
      </c>
      <c r="B485" s="13" t="s">
        <v>20</v>
      </c>
      <c r="C485" s="26">
        <v>45691.0</v>
      </c>
      <c r="D485" s="13" t="s">
        <v>24</v>
      </c>
      <c r="E485" s="13">
        <v>8.2</v>
      </c>
      <c r="F485" s="13" t="s">
        <v>22</v>
      </c>
      <c r="G485" s="13">
        <v>4.0</v>
      </c>
      <c r="H485" s="13" t="s">
        <v>26</v>
      </c>
      <c r="I485" s="23">
        <v>11.7226</v>
      </c>
      <c r="J485" s="23">
        <v>522.0221</v>
      </c>
      <c r="K485" s="23">
        <v>4.34</v>
      </c>
      <c r="L485" s="23">
        <v>0.04</v>
      </c>
      <c r="M485" s="22">
        <v>138.76066666666668</v>
      </c>
      <c r="N485" s="22">
        <v>27.86566666666667</v>
      </c>
      <c r="O485" s="22">
        <v>115.82133333333333</v>
      </c>
      <c r="P485" s="22">
        <v>26.351</v>
      </c>
      <c r="Q485" s="22">
        <v>96.27033333333334</v>
      </c>
      <c r="R485" s="22">
        <v>26.817666666666668</v>
      </c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</row>
    <row r="486">
      <c r="A486" s="13" t="s">
        <v>20</v>
      </c>
      <c r="B486" s="13" t="s">
        <v>20</v>
      </c>
      <c r="C486" s="26">
        <v>45691.0</v>
      </c>
      <c r="D486" s="13" t="s">
        <v>24</v>
      </c>
      <c r="E486" s="13">
        <v>8.3</v>
      </c>
      <c r="F486" s="13" t="s">
        <v>22</v>
      </c>
      <c r="G486" s="13">
        <v>4.0</v>
      </c>
      <c r="H486" s="13" t="s">
        <v>26</v>
      </c>
      <c r="I486" s="23">
        <v>10.9647</v>
      </c>
      <c r="J486" s="23">
        <v>566.583</v>
      </c>
      <c r="K486" s="23">
        <v>4.697</v>
      </c>
      <c r="L486" s="23">
        <v>0.053</v>
      </c>
      <c r="M486" s="22">
        <v>149.542</v>
      </c>
      <c r="N486" s="22">
        <v>27.289</v>
      </c>
      <c r="O486" s="22">
        <v>121.54266666666668</v>
      </c>
      <c r="P486" s="22">
        <v>28.304999999999996</v>
      </c>
      <c r="Q486" s="22">
        <v>91.07900000000001</v>
      </c>
      <c r="R486" s="22">
        <v>30.48466666666667</v>
      </c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</row>
    <row r="487">
      <c r="A487" s="13" t="s">
        <v>20</v>
      </c>
      <c r="B487" s="13" t="s">
        <v>20</v>
      </c>
      <c r="C487" s="26">
        <v>45691.0</v>
      </c>
      <c r="D487" s="13" t="s">
        <v>24</v>
      </c>
      <c r="E487" s="13">
        <v>8.4</v>
      </c>
      <c r="F487" s="13" t="s">
        <v>22</v>
      </c>
      <c r="G487" s="13">
        <v>4.0</v>
      </c>
      <c r="H487" s="13" t="s">
        <v>26</v>
      </c>
      <c r="I487" s="23">
        <v>12.4347</v>
      </c>
      <c r="J487" s="23">
        <v>508.8014</v>
      </c>
      <c r="K487" s="23">
        <v>5.643</v>
      </c>
      <c r="L487" s="23">
        <v>0.022</v>
      </c>
      <c r="M487" s="22">
        <v>166.911</v>
      </c>
      <c r="N487" s="22">
        <v>26.23</v>
      </c>
      <c r="O487" s="22">
        <v>122.594</v>
      </c>
      <c r="P487" s="22">
        <v>22.882666666666665</v>
      </c>
      <c r="Q487" s="22">
        <v>70.95299999999999</v>
      </c>
      <c r="R487" s="22">
        <v>28.19066666666667</v>
      </c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</row>
    <row r="488">
      <c r="A488" s="13" t="s">
        <v>20</v>
      </c>
      <c r="B488" s="13" t="s">
        <v>20</v>
      </c>
      <c r="C488" s="26">
        <v>45691.0</v>
      </c>
      <c r="D488" s="13" t="s">
        <v>24</v>
      </c>
      <c r="E488" s="13">
        <v>9.1</v>
      </c>
      <c r="F488" s="13" t="s">
        <v>22</v>
      </c>
      <c r="G488" s="13">
        <v>4.0</v>
      </c>
      <c r="H488" s="13" t="s">
        <v>26</v>
      </c>
      <c r="I488" s="23">
        <v>10.7842</v>
      </c>
      <c r="J488" s="23">
        <v>532.8122</v>
      </c>
      <c r="K488" s="23">
        <v>4.405</v>
      </c>
      <c r="L488" s="23">
        <v>0.015</v>
      </c>
      <c r="M488" s="22">
        <v>131.16766666666666</v>
      </c>
      <c r="N488" s="22">
        <v>22.865666666666666</v>
      </c>
      <c r="O488" s="22">
        <v>112.33666666666666</v>
      </c>
      <c r="P488" s="22">
        <v>21.526</v>
      </c>
      <c r="Q488" s="22">
        <v>96.74033333333334</v>
      </c>
      <c r="R488" s="22">
        <v>19.333666666666666</v>
      </c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</row>
    <row r="489">
      <c r="A489" s="13" t="s">
        <v>20</v>
      </c>
      <c r="B489" s="13" t="s">
        <v>20</v>
      </c>
      <c r="C489" s="26">
        <v>45691.0</v>
      </c>
      <c r="D489" s="13" t="s">
        <v>24</v>
      </c>
      <c r="E489" s="13">
        <v>9.2</v>
      </c>
      <c r="F489" s="13" t="s">
        <v>22</v>
      </c>
      <c r="G489" s="13">
        <v>4.0</v>
      </c>
      <c r="H489" s="13" t="s">
        <v>26</v>
      </c>
      <c r="I489" s="23">
        <v>11.1115</v>
      </c>
      <c r="J489" s="23">
        <v>532.8054</v>
      </c>
      <c r="K489" s="23">
        <v>4.783</v>
      </c>
      <c r="L489" s="23">
        <v>0.008</v>
      </c>
      <c r="M489" s="22">
        <v>127.825</v>
      </c>
      <c r="N489" s="22">
        <v>22.68733333333333</v>
      </c>
      <c r="O489" s="22">
        <v>103.495</v>
      </c>
      <c r="P489" s="22">
        <v>21.700333333333333</v>
      </c>
      <c r="Q489" s="22">
        <v>86.60766666666666</v>
      </c>
      <c r="R489" s="22">
        <v>21.35966666666667</v>
      </c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</row>
    <row r="490">
      <c r="A490" s="13" t="s">
        <v>20</v>
      </c>
      <c r="B490" s="13" t="s">
        <v>20</v>
      </c>
      <c r="C490" s="26">
        <v>45691.0</v>
      </c>
      <c r="D490" s="13" t="s">
        <v>24</v>
      </c>
      <c r="E490" s="13">
        <v>9.3</v>
      </c>
      <c r="F490" s="13" t="s">
        <v>22</v>
      </c>
      <c r="G490" s="13">
        <v>4.0</v>
      </c>
      <c r="H490" s="13" t="s">
        <v>26</v>
      </c>
      <c r="I490" s="23">
        <v>10.3614</v>
      </c>
      <c r="J490" s="23">
        <v>549.6013</v>
      </c>
      <c r="K490" s="23">
        <v>3.984</v>
      </c>
      <c r="L490" s="23">
        <v>0.015</v>
      </c>
      <c r="M490" s="22">
        <v>134.30566666666667</v>
      </c>
      <c r="N490" s="22">
        <v>26.86966666666667</v>
      </c>
      <c r="O490" s="22">
        <v>109.85033333333332</v>
      </c>
      <c r="P490" s="22">
        <v>26.27633333333333</v>
      </c>
      <c r="Q490" s="22">
        <v>87.01</v>
      </c>
      <c r="R490" s="22">
        <v>25.104</v>
      </c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</row>
    <row r="491">
      <c r="A491" s="13" t="s">
        <v>20</v>
      </c>
      <c r="B491" s="13" t="s">
        <v>20</v>
      </c>
      <c r="C491" s="26">
        <v>45691.0</v>
      </c>
      <c r="D491" s="13" t="s">
        <v>24</v>
      </c>
      <c r="E491" s="13">
        <v>9.4</v>
      </c>
      <c r="F491" s="13" t="s">
        <v>22</v>
      </c>
      <c r="G491" s="13">
        <v>4.0</v>
      </c>
      <c r="H491" s="13" t="s">
        <v>26</v>
      </c>
      <c r="I491" s="23">
        <v>10.5935</v>
      </c>
      <c r="J491" s="23">
        <v>502.8129</v>
      </c>
      <c r="K491" s="23">
        <v>4.389</v>
      </c>
      <c r="L491" s="23">
        <v>0.046</v>
      </c>
      <c r="M491" s="22">
        <v>142.83533333333332</v>
      </c>
      <c r="N491" s="22">
        <v>38.00900000000001</v>
      </c>
      <c r="O491" s="22">
        <v>108.62</v>
      </c>
      <c r="P491" s="22">
        <v>33.073</v>
      </c>
      <c r="Q491" s="22">
        <v>51.596000000000004</v>
      </c>
      <c r="R491" s="22">
        <v>25.733333333333334</v>
      </c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</row>
    <row r="492">
      <c r="A492" s="13" t="s">
        <v>20</v>
      </c>
      <c r="B492" s="13" t="s">
        <v>20</v>
      </c>
      <c r="C492" s="26">
        <v>45691.0</v>
      </c>
      <c r="D492" s="13" t="s">
        <v>25</v>
      </c>
      <c r="E492" s="13">
        <v>7.1</v>
      </c>
      <c r="F492" s="13" t="s">
        <v>22</v>
      </c>
      <c r="G492" s="13">
        <v>4.0</v>
      </c>
      <c r="H492" s="13" t="s">
        <v>26</v>
      </c>
      <c r="I492" s="23">
        <v>14.1714</v>
      </c>
      <c r="J492" s="23">
        <v>538.8</v>
      </c>
      <c r="K492" s="23">
        <v>5.347</v>
      </c>
      <c r="L492" s="23">
        <v>0.026</v>
      </c>
      <c r="M492" s="22">
        <v>136.43633333333335</v>
      </c>
      <c r="N492" s="22">
        <v>31.852666666666668</v>
      </c>
      <c r="O492" s="22">
        <v>126.90633333333334</v>
      </c>
      <c r="P492" s="22">
        <v>34.00133333333333</v>
      </c>
      <c r="Q492" s="22">
        <v>101.86966666666666</v>
      </c>
      <c r="R492" s="22">
        <v>32.413000000000004</v>
      </c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</row>
    <row r="493">
      <c r="A493" s="13" t="s">
        <v>20</v>
      </c>
      <c r="B493" s="13" t="s">
        <v>20</v>
      </c>
      <c r="C493" s="26">
        <v>45691.0</v>
      </c>
      <c r="D493" s="13" t="s">
        <v>25</v>
      </c>
      <c r="E493" s="13">
        <v>7.2</v>
      </c>
      <c r="F493" s="13" t="s">
        <v>22</v>
      </c>
      <c r="G493" s="13">
        <v>4.0</v>
      </c>
      <c r="H493" s="13" t="s">
        <v>26</v>
      </c>
      <c r="I493" s="23">
        <v>10.7535</v>
      </c>
      <c r="J493" s="23">
        <v>550.8052</v>
      </c>
      <c r="K493" s="23">
        <v>3.974</v>
      </c>
      <c r="L493" s="23">
        <v>0.037</v>
      </c>
      <c r="M493" s="22">
        <v>134.66866666666667</v>
      </c>
      <c r="N493" s="22">
        <v>40.413666666666664</v>
      </c>
      <c r="O493" s="22">
        <v>121.13666666666667</v>
      </c>
      <c r="P493" s="22">
        <v>39.672333333333334</v>
      </c>
      <c r="Q493" s="22">
        <v>88.36833333333334</v>
      </c>
      <c r="R493" s="22">
        <v>37.977</v>
      </c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</row>
    <row r="494">
      <c r="A494" s="13" t="s">
        <v>20</v>
      </c>
      <c r="B494" s="13" t="s">
        <v>20</v>
      </c>
      <c r="C494" s="26">
        <v>45691.0</v>
      </c>
      <c r="D494" s="13" t="s">
        <v>25</v>
      </c>
      <c r="E494" s="13">
        <v>7.3</v>
      </c>
      <c r="F494" s="13" t="s">
        <v>22</v>
      </c>
      <c r="G494" s="13">
        <v>4.0</v>
      </c>
      <c r="H494" s="13" t="s">
        <v>26</v>
      </c>
      <c r="I494" s="23">
        <v>11.4944</v>
      </c>
      <c r="J494" s="23">
        <v>550.864</v>
      </c>
      <c r="K494" s="23">
        <v>4.657</v>
      </c>
      <c r="L494" s="23">
        <v>0.052</v>
      </c>
      <c r="M494" s="22">
        <v>136.37033333333332</v>
      </c>
      <c r="N494" s="22">
        <v>36.20366666666667</v>
      </c>
      <c r="O494" s="22">
        <v>122.65466666666667</v>
      </c>
      <c r="P494" s="22">
        <v>35.85233333333334</v>
      </c>
      <c r="Q494" s="22">
        <v>87.36566666666666</v>
      </c>
      <c r="R494" s="22">
        <v>35.19566666666666</v>
      </c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</row>
    <row r="495">
      <c r="A495" s="13" t="s">
        <v>20</v>
      </c>
      <c r="B495" s="13" t="s">
        <v>20</v>
      </c>
      <c r="C495" s="26">
        <v>45691.0</v>
      </c>
      <c r="D495" s="13" t="s">
        <v>25</v>
      </c>
      <c r="E495" s="13">
        <v>7.4</v>
      </c>
      <c r="F495" s="13" t="s">
        <v>22</v>
      </c>
      <c r="G495" s="13">
        <v>4.0</v>
      </c>
      <c r="H495" s="13" t="s">
        <v>26</v>
      </c>
      <c r="I495" s="23">
        <v>12.6968</v>
      </c>
      <c r="J495" s="23">
        <v>490.8367</v>
      </c>
      <c r="K495" s="23">
        <v>4.832</v>
      </c>
      <c r="L495" s="23">
        <v>0.033</v>
      </c>
      <c r="M495" s="22">
        <v>143.9523333333333</v>
      </c>
      <c r="N495" s="22">
        <v>33.638666666666666</v>
      </c>
      <c r="O495" s="22">
        <v>122.26766666666667</v>
      </c>
      <c r="P495" s="22">
        <v>31.361666666666665</v>
      </c>
      <c r="Q495" s="22">
        <v>78.41066666666667</v>
      </c>
      <c r="R495" s="22">
        <v>27.94333333333333</v>
      </c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</row>
    <row r="496">
      <c r="A496" s="13" t="s">
        <v>20</v>
      </c>
      <c r="B496" s="13" t="s">
        <v>20</v>
      </c>
      <c r="C496" s="26">
        <v>45691.0</v>
      </c>
      <c r="D496" s="13" t="s">
        <v>25</v>
      </c>
      <c r="E496" s="13">
        <v>8.1</v>
      </c>
      <c r="F496" s="13" t="s">
        <v>22</v>
      </c>
      <c r="G496" s="13">
        <v>4.0</v>
      </c>
      <c r="H496" s="13" t="s">
        <v>26</v>
      </c>
      <c r="I496" s="23">
        <v>12.7356</v>
      </c>
      <c r="J496" s="23">
        <v>544.8</v>
      </c>
      <c r="K496" s="23">
        <v>4.62</v>
      </c>
      <c r="L496" s="23">
        <v>0.026</v>
      </c>
      <c r="M496" s="22">
        <v>133.27466666666666</v>
      </c>
      <c r="N496" s="22">
        <v>38.268</v>
      </c>
      <c r="O496" s="22">
        <v>120.76199999999999</v>
      </c>
      <c r="P496" s="22">
        <v>37.26233333333334</v>
      </c>
      <c r="Q496" s="22">
        <v>90.70666666666666</v>
      </c>
      <c r="R496" s="22">
        <v>35.23466666666667</v>
      </c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</row>
    <row r="497">
      <c r="A497" s="13" t="s">
        <v>20</v>
      </c>
      <c r="B497" s="13" t="s">
        <v>20</v>
      </c>
      <c r="C497" s="26">
        <v>45691.0</v>
      </c>
      <c r="D497" s="13" t="s">
        <v>25</v>
      </c>
      <c r="E497" s="13">
        <v>8.2</v>
      </c>
      <c r="F497" s="13" t="s">
        <v>22</v>
      </c>
      <c r="G497" s="13">
        <v>4.0</v>
      </c>
      <c r="H497" s="13" t="s">
        <v>26</v>
      </c>
      <c r="I497" s="23">
        <v>13.2382</v>
      </c>
      <c r="J497" s="23">
        <v>507.6</v>
      </c>
      <c r="K497" s="23">
        <v>5.16</v>
      </c>
      <c r="L497" s="23">
        <v>0.011</v>
      </c>
      <c r="M497" s="22">
        <v>135.22933333333333</v>
      </c>
      <c r="N497" s="22">
        <v>36.233666666666664</v>
      </c>
      <c r="O497" s="22">
        <v>122.16733333333333</v>
      </c>
      <c r="P497" s="22">
        <v>35.220666666666666</v>
      </c>
      <c r="Q497" s="22">
        <v>90.93533333333333</v>
      </c>
      <c r="R497" s="22">
        <v>33.12833333333334</v>
      </c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</row>
    <row r="498">
      <c r="A498" s="13" t="s">
        <v>20</v>
      </c>
      <c r="B498" s="13" t="s">
        <v>20</v>
      </c>
      <c r="C498" s="26">
        <v>45691.0</v>
      </c>
      <c r="D498" s="13" t="s">
        <v>25</v>
      </c>
      <c r="E498" s="13">
        <v>8.3</v>
      </c>
      <c r="F498" s="13" t="s">
        <v>22</v>
      </c>
      <c r="G498" s="13">
        <v>4.0</v>
      </c>
      <c r="H498" s="13" t="s">
        <v>26</v>
      </c>
      <c r="I498" s="23">
        <v>10.3421</v>
      </c>
      <c r="J498" s="23">
        <v>524.4124</v>
      </c>
      <c r="K498" s="23">
        <v>3.592</v>
      </c>
      <c r="L498" s="23">
        <v>0.031</v>
      </c>
      <c r="M498" s="22">
        <v>145.57733333333334</v>
      </c>
      <c r="N498" s="22">
        <v>36.87733333333333</v>
      </c>
      <c r="O498" s="22">
        <v>131.02999999999997</v>
      </c>
      <c r="P498" s="22">
        <v>72.40766666666667</v>
      </c>
      <c r="Q498" s="22">
        <v>94.19466666666666</v>
      </c>
      <c r="R498" s="22">
        <v>36.20066666666667</v>
      </c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</row>
    <row r="499">
      <c r="A499" s="13" t="s">
        <v>20</v>
      </c>
      <c r="B499" s="13" t="s">
        <v>20</v>
      </c>
      <c r="C499" s="26">
        <v>45691.0</v>
      </c>
      <c r="D499" s="13" t="s">
        <v>25</v>
      </c>
      <c r="E499" s="13">
        <v>8.4</v>
      </c>
      <c r="F499" s="13" t="s">
        <v>22</v>
      </c>
      <c r="G499" s="13">
        <v>4.0</v>
      </c>
      <c r="H499" s="13" t="s">
        <v>26</v>
      </c>
      <c r="I499" s="23">
        <v>13.5296</v>
      </c>
      <c r="J499" s="23">
        <v>567.6317</v>
      </c>
      <c r="K499" s="23">
        <v>4.864</v>
      </c>
      <c r="L499" s="23">
        <v>0.019</v>
      </c>
      <c r="M499" s="22">
        <v>135.66533333333334</v>
      </c>
      <c r="N499" s="22">
        <v>37.544666666666664</v>
      </c>
      <c r="O499" s="22">
        <v>112.68633333333332</v>
      </c>
      <c r="P499" s="22">
        <v>35.84366666666667</v>
      </c>
      <c r="Q499" s="22">
        <v>67.75233333333334</v>
      </c>
      <c r="R499" s="22">
        <v>31.407666666666668</v>
      </c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</row>
    <row r="500">
      <c r="A500" s="13" t="s">
        <v>20</v>
      </c>
      <c r="B500" s="13" t="s">
        <v>20</v>
      </c>
      <c r="C500" s="26">
        <v>45691.0</v>
      </c>
      <c r="D500" s="13" t="s">
        <v>25</v>
      </c>
      <c r="E500" s="13">
        <v>9.1</v>
      </c>
      <c r="F500" s="13" t="s">
        <v>22</v>
      </c>
      <c r="G500" s="13">
        <v>4.0</v>
      </c>
      <c r="H500" s="13" t="s">
        <v>26</v>
      </c>
      <c r="I500" s="23">
        <v>12.0685</v>
      </c>
      <c r="J500" s="23">
        <v>518.4014</v>
      </c>
      <c r="K500" s="23">
        <v>4.725</v>
      </c>
      <c r="L500" s="23">
        <v>0.058</v>
      </c>
      <c r="M500" s="22">
        <v>141.68766666666667</v>
      </c>
      <c r="N500" s="22">
        <v>33.201</v>
      </c>
      <c r="O500" s="22">
        <v>132.17233333333334</v>
      </c>
      <c r="P500" s="22">
        <v>33.48766666666666</v>
      </c>
      <c r="Q500" s="22">
        <v>108.68433333333333</v>
      </c>
      <c r="R500" s="22">
        <v>36.86266666666666</v>
      </c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</row>
    <row r="501">
      <c r="A501" s="13" t="s">
        <v>20</v>
      </c>
      <c r="B501" s="13" t="s">
        <v>20</v>
      </c>
      <c r="C501" s="26">
        <v>45691.0</v>
      </c>
      <c r="D501" s="13" t="s">
        <v>25</v>
      </c>
      <c r="E501" s="13">
        <v>9.2</v>
      </c>
      <c r="F501" s="13" t="s">
        <v>22</v>
      </c>
      <c r="G501" s="13">
        <v>4.0</v>
      </c>
      <c r="H501" s="13" t="s">
        <v>26</v>
      </c>
      <c r="I501" s="23">
        <v>10.7099</v>
      </c>
      <c r="J501" s="23">
        <v>562.8461</v>
      </c>
      <c r="K501" s="23">
        <v>3.738</v>
      </c>
      <c r="L501" s="23">
        <v>0.044</v>
      </c>
      <c r="M501" s="22">
        <v>140.94166666666666</v>
      </c>
      <c r="N501" s="22">
        <v>34.886</v>
      </c>
      <c r="O501" s="22">
        <v>129.00266666666667</v>
      </c>
      <c r="P501" s="22">
        <v>33.943333333333335</v>
      </c>
      <c r="Q501" s="22">
        <v>96.241</v>
      </c>
      <c r="R501" s="22">
        <v>34.65233333333333</v>
      </c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</row>
    <row r="502">
      <c r="A502" s="13" t="s">
        <v>20</v>
      </c>
      <c r="B502" s="13" t="s">
        <v>20</v>
      </c>
      <c r="C502" s="26">
        <v>45691.0</v>
      </c>
      <c r="D502" s="13" t="s">
        <v>25</v>
      </c>
      <c r="E502" s="13">
        <v>9.3</v>
      </c>
      <c r="F502" s="13" t="s">
        <v>22</v>
      </c>
      <c r="G502" s="13">
        <v>4.0</v>
      </c>
      <c r="H502" s="13" t="s">
        <v>26</v>
      </c>
      <c r="I502" s="23">
        <v>10.7319</v>
      </c>
      <c r="J502" s="23">
        <v>529.2014</v>
      </c>
      <c r="K502" s="23">
        <v>3.719</v>
      </c>
      <c r="L502" s="23">
        <v>0.035</v>
      </c>
      <c r="M502" s="22">
        <v>140.90166666666667</v>
      </c>
      <c r="N502" s="22">
        <v>35.76233333333334</v>
      </c>
      <c r="O502" s="22">
        <v>127.88</v>
      </c>
      <c r="P502" s="22">
        <v>33.86066666666667</v>
      </c>
      <c r="Q502" s="22">
        <v>99.437</v>
      </c>
      <c r="R502" s="22">
        <v>32.72833333333333</v>
      </c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</row>
    <row r="503">
      <c r="A503" s="13" t="s">
        <v>20</v>
      </c>
      <c r="B503" s="13" t="s">
        <v>20</v>
      </c>
      <c r="C503" s="26">
        <v>45691.0</v>
      </c>
      <c r="D503" s="13" t="s">
        <v>25</v>
      </c>
      <c r="E503" s="13">
        <v>9.4</v>
      </c>
      <c r="F503" s="13" t="s">
        <v>22</v>
      </c>
      <c r="G503" s="13">
        <v>4.0</v>
      </c>
      <c r="H503" s="13" t="s">
        <v>26</v>
      </c>
      <c r="I503" s="23">
        <v>10.7223</v>
      </c>
      <c r="J503" s="23">
        <v>531.6024</v>
      </c>
      <c r="K503" s="23">
        <v>4.128</v>
      </c>
      <c r="L503" s="23">
        <v>0.017</v>
      </c>
      <c r="M503" s="22">
        <v>137.92866666666666</v>
      </c>
      <c r="N503" s="22">
        <v>30.385333333333335</v>
      </c>
      <c r="O503" s="22">
        <v>115.83800000000001</v>
      </c>
      <c r="P503" s="22">
        <v>28.241666666666664</v>
      </c>
      <c r="Q503" s="22">
        <v>73.598</v>
      </c>
      <c r="R503" s="22">
        <v>24.944666666666663</v>
      </c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</row>
    <row r="504"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</row>
    <row r="505"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</row>
    <row r="506"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</row>
    <row r="507">
      <c r="C507" s="28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</row>
    <row r="508">
      <c r="C508" s="28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</row>
    <row r="509">
      <c r="C509" s="28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</row>
    <row r="510">
      <c r="C510" s="28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</row>
    <row r="511">
      <c r="C511" s="28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</row>
    <row r="512">
      <c r="C512" s="28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</row>
    <row r="513">
      <c r="C513" s="28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</row>
    <row r="514">
      <c r="C514" s="28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</row>
    <row r="515">
      <c r="C515" s="28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</row>
    <row r="516">
      <c r="C516" s="28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</row>
    <row r="517">
      <c r="C517" s="28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</row>
    <row r="518">
      <c r="C518" s="28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</row>
    <row r="519">
      <c r="C519" s="28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</row>
    <row r="520">
      <c r="C520" s="28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</row>
    <row r="521">
      <c r="C521" s="28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</row>
    <row r="522">
      <c r="C522" s="28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</row>
    <row r="523">
      <c r="C523" s="28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</row>
    <row r="524">
      <c r="C524" s="28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</row>
    <row r="525">
      <c r="C525" s="28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</row>
    <row r="526">
      <c r="C526" s="28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</row>
    <row r="527">
      <c r="C527" s="28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</row>
    <row r="528">
      <c r="C528" s="28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</row>
    <row r="529">
      <c r="C529" s="28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</row>
    <row r="530">
      <c r="C530" s="28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</row>
    <row r="531">
      <c r="C531" s="28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</row>
    <row r="532">
      <c r="C532" s="28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</row>
    <row r="533">
      <c r="C533" s="28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</row>
    <row r="534">
      <c r="C534" s="28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</row>
    <row r="535">
      <c r="C535" s="28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</row>
    <row r="536">
      <c r="C536" s="28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</row>
    <row r="537">
      <c r="C537" s="28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</row>
    <row r="538">
      <c r="C538" s="28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</row>
    <row r="539">
      <c r="C539" s="28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</row>
    <row r="540">
      <c r="C540" s="28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</row>
    <row r="541">
      <c r="C541" s="28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</row>
    <row r="542">
      <c r="C542" s="28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</row>
    <row r="543">
      <c r="C543" s="28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</row>
    <row r="544">
      <c r="C544" s="28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</row>
    <row r="545">
      <c r="C545" s="28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</row>
    <row r="546">
      <c r="C546" s="28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</row>
    <row r="547">
      <c r="C547" s="28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</row>
    <row r="548">
      <c r="C548" s="28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</row>
    <row r="549">
      <c r="C549" s="28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</row>
    <row r="550">
      <c r="C550" s="28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</row>
    <row r="551">
      <c r="C551" s="28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</row>
    <row r="552">
      <c r="C552" s="28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</row>
    <row r="553">
      <c r="C553" s="28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</row>
    <row r="554">
      <c r="C554" s="28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</row>
    <row r="555">
      <c r="C555" s="28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</row>
    <row r="556">
      <c r="C556" s="28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</row>
    <row r="557">
      <c r="C557" s="28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</row>
    <row r="558">
      <c r="C558" s="28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</row>
    <row r="559">
      <c r="C559" s="28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</row>
    <row r="560">
      <c r="C560" s="28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</row>
    <row r="561">
      <c r="C561" s="28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</row>
    <row r="562">
      <c r="C562" s="28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</row>
    <row r="563">
      <c r="C563" s="28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</row>
    <row r="564">
      <c r="C564" s="28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</row>
    <row r="565">
      <c r="C565" s="28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</row>
    <row r="566">
      <c r="C566" s="28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</row>
    <row r="567">
      <c r="C567" s="28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</row>
    <row r="568">
      <c r="C568" s="28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</row>
    <row r="569">
      <c r="C569" s="28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</row>
    <row r="570">
      <c r="C570" s="28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</row>
    <row r="571">
      <c r="C571" s="28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</row>
    <row r="572">
      <c r="C572" s="28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</row>
    <row r="573">
      <c r="C573" s="28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</row>
    <row r="574">
      <c r="C574" s="28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</row>
    <row r="575">
      <c r="C575" s="28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</row>
    <row r="576">
      <c r="C576" s="28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</row>
    <row r="577">
      <c r="C577" s="28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</row>
    <row r="578">
      <c r="C578" s="28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</row>
    <row r="579">
      <c r="C579" s="28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</row>
    <row r="580">
      <c r="C580" s="28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</row>
    <row r="581">
      <c r="C581" s="28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</row>
    <row r="582">
      <c r="C582" s="28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</row>
    <row r="583">
      <c r="C583" s="28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</row>
    <row r="584">
      <c r="C584" s="28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</row>
    <row r="585">
      <c r="C585" s="28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</row>
    <row r="586">
      <c r="C586" s="28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</row>
    <row r="587">
      <c r="C587" s="28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</row>
    <row r="588">
      <c r="C588" s="28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</row>
    <row r="589">
      <c r="C589" s="28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</row>
    <row r="590">
      <c r="C590" s="28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</row>
    <row r="591">
      <c r="C591" s="28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</row>
    <row r="592">
      <c r="C592" s="28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</row>
    <row r="593">
      <c r="C593" s="28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</row>
    <row r="594">
      <c r="C594" s="28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</row>
    <row r="595">
      <c r="C595" s="28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</row>
    <row r="596">
      <c r="C596" s="28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</row>
    <row r="597">
      <c r="C597" s="28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</row>
    <row r="598">
      <c r="C598" s="28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</row>
    <row r="599">
      <c r="C599" s="28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</row>
    <row r="600">
      <c r="C600" s="28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</row>
    <row r="601">
      <c r="C601" s="28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</row>
    <row r="602">
      <c r="C602" s="28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</row>
    <row r="603">
      <c r="C603" s="28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</row>
    <row r="604">
      <c r="C604" s="28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</row>
    <row r="605">
      <c r="C605" s="28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</row>
    <row r="606">
      <c r="C606" s="28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</row>
    <row r="607">
      <c r="C607" s="28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</row>
    <row r="608">
      <c r="C608" s="28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</row>
    <row r="609">
      <c r="C609" s="28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</row>
    <row r="610">
      <c r="C610" s="28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</row>
    <row r="611">
      <c r="C611" s="28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</row>
    <row r="612">
      <c r="C612" s="28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</row>
    <row r="613">
      <c r="C613" s="28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</row>
    <row r="614">
      <c r="C614" s="28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</row>
    <row r="615">
      <c r="C615" s="28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</row>
    <row r="616">
      <c r="C616" s="28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</row>
    <row r="617">
      <c r="C617" s="28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</row>
    <row r="618">
      <c r="C618" s="28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</row>
    <row r="619">
      <c r="C619" s="28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</row>
    <row r="620">
      <c r="C620" s="28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</row>
    <row r="621">
      <c r="C621" s="28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</row>
    <row r="622">
      <c r="C622" s="28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</row>
    <row r="623">
      <c r="C623" s="28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</row>
    <row r="624">
      <c r="C624" s="28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</row>
    <row r="625">
      <c r="C625" s="28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</row>
    <row r="626">
      <c r="C626" s="28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</row>
    <row r="627">
      <c r="C627" s="28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</row>
    <row r="628">
      <c r="C628" s="28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</row>
    <row r="629">
      <c r="C629" s="28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</row>
    <row r="630">
      <c r="C630" s="28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</row>
    <row r="631">
      <c r="C631" s="28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</row>
    <row r="632">
      <c r="C632" s="28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</row>
    <row r="633">
      <c r="C633" s="28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</row>
    <row r="634">
      <c r="C634" s="28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</row>
    <row r="635">
      <c r="C635" s="28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</row>
    <row r="636">
      <c r="C636" s="28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</row>
    <row r="637">
      <c r="C637" s="28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</row>
    <row r="638">
      <c r="C638" s="28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</row>
    <row r="639">
      <c r="C639" s="28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</row>
    <row r="640">
      <c r="C640" s="28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</row>
    <row r="641">
      <c r="C641" s="28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</row>
    <row r="642">
      <c r="C642" s="28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</row>
    <row r="643">
      <c r="C643" s="28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</row>
    <row r="644">
      <c r="C644" s="28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</row>
    <row r="645">
      <c r="C645" s="28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</row>
    <row r="646">
      <c r="C646" s="28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</row>
    <row r="647">
      <c r="C647" s="28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</row>
    <row r="648">
      <c r="C648" s="28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</row>
    <row r="649">
      <c r="C649" s="28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</row>
    <row r="650">
      <c r="C650" s="28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</row>
    <row r="651">
      <c r="C651" s="28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</row>
    <row r="652">
      <c r="C652" s="28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</row>
    <row r="653">
      <c r="C653" s="28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</row>
    <row r="654">
      <c r="C654" s="28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</row>
    <row r="655">
      <c r="C655" s="28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</row>
    <row r="656">
      <c r="C656" s="28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</row>
    <row r="657">
      <c r="C657" s="28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</row>
    <row r="658">
      <c r="C658" s="28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</row>
    <row r="659">
      <c r="C659" s="28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</row>
    <row r="660">
      <c r="C660" s="28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</row>
    <row r="661">
      <c r="C661" s="28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</row>
    <row r="662">
      <c r="C662" s="28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</row>
    <row r="663">
      <c r="C663" s="28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</row>
    <row r="664">
      <c r="C664" s="28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</row>
    <row r="665">
      <c r="C665" s="28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</row>
    <row r="666">
      <c r="C666" s="28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</row>
    <row r="667">
      <c r="C667" s="28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</row>
    <row r="668">
      <c r="C668" s="28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</row>
    <row r="669">
      <c r="C669" s="28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</row>
    <row r="670">
      <c r="C670" s="28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</row>
    <row r="671">
      <c r="C671" s="28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</row>
    <row r="672">
      <c r="C672" s="28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</row>
    <row r="673">
      <c r="C673" s="28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</row>
    <row r="674">
      <c r="C674" s="28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</row>
    <row r="675">
      <c r="C675" s="28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</row>
    <row r="676">
      <c r="C676" s="28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</row>
    <row r="677">
      <c r="C677" s="28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</row>
    <row r="678">
      <c r="C678" s="28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</row>
    <row r="679">
      <c r="C679" s="28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</row>
    <row r="680">
      <c r="C680" s="28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</row>
    <row r="681">
      <c r="C681" s="28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</row>
    <row r="682">
      <c r="C682" s="28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</row>
    <row r="683">
      <c r="C683" s="28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</row>
    <row r="684">
      <c r="C684" s="28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</row>
    <row r="685">
      <c r="C685" s="28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</row>
    <row r="686">
      <c r="C686" s="28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</row>
    <row r="687">
      <c r="C687" s="28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</row>
    <row r="688">
      <c r="C688" s="28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</row>
    <row r="689">
      <c r="C689" s="28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</row>
    <row r="690">
      <c r="C690" s="28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</row>
    <row r="691">
      <c r="C691" s="28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</row>
    <row r="692">
      <c r="C692" s="28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</row>
    <row r="693">
      <c r="C693" s="28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</row>
    <row r="694">
      <c r="C694" s="28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</row>
    <row r="695">
      <c r="C695" s="28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</row>
    <row r="696">
      <c r="C696" s="28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</row>
    <row r="697">
      <c r="C697" s="28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</row>
    <row r="698">
      <c r="C698" s="28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</row>
    <row r="699">
      <c r="C699" s="28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</row>
    <row r="700">
      <c r="C700" s="28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</row>
    <row r="701">
      <c r="C701" s="28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</row>
    <row r="702">
      <c r="C702" s="28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</row>
    <row r="703">
      <c r="C703" s="28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</row>
    <row r="704">
      <c r="C704" s="28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</row>
    <row r="705">
      <c r="C705" s="28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</row>
    <row r="706">
      <c r="C706" s="28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</row>
    <row r="707">
      <c r="C707" s="28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</row>
    <row r="708">
      <c r="C708" s="28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</row>
    <row r="709">
      <c r="C709" s="28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</row>
    <row r="710">
      <c r="C710" s="28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</row>
    <row r="711">
      <c r="C711" s="28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</row>
    <row r="712">
      <c r="C712" s="28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</row>
    <row r="713">
      <c r="C713" s="28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</row>
    <row r="714">
      <c r="C714" s="28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</row>
    <row r="715">
      <c r="C715" s="28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</row>
    <row r="716">
      <c r="C716" s="28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</row>
    <row r="717">
      <c r="C717" s="28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</row>
    <row r="718">
      <c r="C718" s="28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</row>
    <row r="719">
      <c r="C719" s="28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</row>
    <row r="720">
      <c r="C720" s="28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</row>
    <row r="721">
      <c r="C721" s="28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</row>
    <row r="722">
      <c r="C722" s="28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</row>
    <row r="723">
      <c r="C723" s="28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</row>
    <row r="724">
      <c r="C724" s="28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</row>
    <row r="725">
      <c r="C725" s="28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</row>
    <row r="726">
      <c r="C726" s="28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</row>
    <row r="727">
      <c r="C727" s="28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</row>
    <row r="728">
      <c r="C728" s="28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</row>
    <row r="729">
      <c r="C729" s="28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</row>
    <row r="730">
      <c r="C730" s="28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</row>
    <row r="731">
      <c r="C731" s="28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</row>
    <row r="732">
      <c r="C732" s="28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</row>
    <row r="733">
      <c r="C733" s="28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</row>
    <row r="734">
      <c r="C734" s="28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</row>
    <row r="735">
      <c r="C735" s="28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</row>
    <row r="736">
      <c r="C736" s="28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</row>
    <row r="737">
      <c r="C737" s="28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</row>
    <row r="738">
      <c r="C738" s="28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</row>
    <row r="739">
      <c r="C739" s="28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</row>
    <row r="740">
      <c r="C740" s="28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</row>
    <row r="741">
      <c r="C741" s="28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</row>
    <row r="742">
      <c r="C742" s="28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</row>
    <row r="743">
      <c r="C743" s="28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</row>
    <row r="744">
      <c r="C744" s="28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</row>
    <row r="745">
      <c r="C745" s="28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</row>
    <row r="746">
      <c r="C746" s="28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</row>
    <row r="747">
      <c r="C747" s="28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</row>
    <row r="748">
      <c r="C748" s="28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</row>
    <row r="749">
      <c r="C749" s="28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</row>
    <row r="750">
      <c r="C750" s="28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</row>
    <row r="751">
      <c r="C751" s="28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</row>
    <row r="752">
      <c r="C752" s="28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</row>
    <row r="753">
      <c r="C753" s="28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</row>
    <row r="754">
      <c r="C754" s="28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</row>
    <row r="755">
      <c r="C755" s="28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</row>
    <row r="756">
      <c r="C756" s="28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</row>
    <row r="757">
      <c r="C757" s="28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</row>
    <row r="758">
      <c r="C758" s="28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</row>
    <row r="759">
      <c r="C759" s="28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</row>
    <row r="760">
      <c r="C760" s="28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</row>
    <row r="761">
      <c r="C761" s="28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</row>
    <row r="762">
      <c r="C762" s="28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</row>
    <row r="763">
      <c r="C763" s="28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</row>
    <row r="764">
      <c r="C764" s="28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</row>
    <row r="765">
      <c r="C765" s="28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</row>
    <row r="766">
      <c r="C766" s="28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</row>
    <row r="767">
      <c r="C767" s="28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</row>
    <row r="768">
      <c r="C768" s="28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</row>
    <row r="769">
      <c r="C769" s="28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</row>
    <row r="770">
      <c r="C770" s="28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</row>
    <row r="771">
      <c r="C771" s="28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</row>
    <row r="772">
      <c r="C772" s="28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</row>
    <row r="773">
      <c r="C773" s="28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</row>
    <row r="774">
      <c r="C774" s="28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</row>
    <row r="775">
      <c r="C775" s="28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</row>
    <row r="776">
      <c r="C776" s="28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</row>
    <row r="777">
      <c r="C777" s="28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</row>
    <row r="778">
      <c r="C778" s="28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</row>
    <row r="779">
      <c r="C779" s="28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</row>
    <row r="780">
      <c r="C780" s="28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</row>
    <row r="781">
      <c r="C781" s="28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</row>
  </sheetData>
  <autoFilter ref="$A$1:$S$503">
    <sortState ref="A1:S503">
      <sortCondition ref="G1:G503"/>
    </sortState>
  </autoFilter>
  <dataValidations>
    <dataValidation type="list" allowBlank="1" showErrorMessage="1" sqref="D2:D503">
      <formula1>"Mcav,Ofav,Pcli"</formula1>
    </dataValidation>
    <dataValidation type="list" allowBlank="1" showErrorMessage="1" sqref="F2:F503">
      <formula1>"PBR,PBC"</formula1>
    </dataValidation>
    <dataValidation type="list" allowBlank="1" showErrorMessage="1" sqref="H288:H503">
      <formula1>"Before R2,Before MO,After MO"</formula1>
    </dataValidation>
    <dataValidation type="list" allowBlank="1" showErrorMessage="1" sqref="H2:H287">
      <formula1>"Before MO,After MO"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1.0" topLeftCell="E2" activePane="bottomRight" state="frozen"/>
      <selection activeCell="E1" sqref="E1" pane="topRight"/>
      <selection activeCell="A2" sqref="A2" pane="bottomLeft"/>
      <selection activeCell="E2" sqref="E2" pane="bottomRight"/>
    </sheetView>
  </sheetViews>
  <sheetFormatPr customHeight="1" defaultColWidth="12.63" defaultRowHeight="15.75"/>
  <cols>
    <col customWidth="1" min="1" max="1" width="15.13"/>
    <col customWidth="1" min="2" max="2" width="17.25"/>
    <col customWidth="1" min="3" max="3" width="10.0"/>
    <col customWidth="1" min="4" max="4" width="11.88"/>
    <col customWidth="1" min="5" max="5" width="11.38"/>
    <col customWidth="1" min="6" max="6" width="8.0"/>
    <col customWidth="1" min="7" max="7" width="14.5"/>
    <col customWidth="1" min="10" max="10" width="21.0"/>
    <col customWidth="1" min="11" max="11" width="14.25"/>
    <col customWidth="1" min="12" max="12" width="12.13"/>
    <col customWidth="1" min="13" max="13" width="11.38"/>
    <col customWidth="1" min="14" max="14" width="13.0"/>
    <col customWidth="1" min="15" max="16" width="13.13"/>
    <col customWidth="1" min="17" max="17" width="12.38"/>
    <col customWidth="1" min="35" max="35" width="13.88"/>
  </cols>
  <sheetData>
    <row r="1">
      <c r="A1" s="3" t="s">
        <v>28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4" t="s">
        <v>8</v>
      </c>
      <c r="I1" s="5" t="s">
        <v>9</v>
      </c>
      <c r="J1" s="6" t="s">
        <v>10</v>
      </c>
      <c r="K1" s="7" t="s">
        <v>11</v>
      </c>
      <c r="L1" s="29" t="s">
        <v>29</v>
      </c>
      <c r="M1" s="29" t="s">
        <v>30</v>
      </c>
      <c r="N1" s="30" t="s">
        <v>31</v>
      </c>
      <c r="O1" s="30" t="s">
        <v>32</v>
      </c>
      <c r="P1" s="31" t="s">
        <v>33</v>
      </c>
      <c r="Q1" s="31" t="s">
        <v>34</v>
      </c>
      <c r="R1" s="29" t="s">
        <v>29</v>
      </c>
      <c r="S1" s="29" t="s">
        <v>30</v>
      </c>
      <c r="T1" s="30" t="s">
        <v>31</v>
      </c>
      <c r="U1" s="30" t="s">
        <v>32</v>
      </c>
      <c r="V1" s="31" t="s">
        <v>33</v>
      </c>
      <c r="W1" s="31" t="s">
        <v>34</v>
      </c>
      <c r="X1" s="29" t="s">
        <v>29</v>
      </c>
      <c r="Y1" s="29" t="s">
        <v>30</v>
      </c>
      <c r="Z1" s="30" t="s">
        <v>31</v>
      </c>
      <c r="AA1" s="30" t="s">
        <v>32</v>
      </c>
      <c r="AB1" s="31" t="s">
        <v>33</v>
      </c>
      <c r="AC1" s="31" t="s">
        <v>34</v>
      </c>
      <c r="AD1" s="29" t="s">
        <v>12</v>
      </c>
      <c r="AE1" s="29" t="s">
        <v>13</v>
      </c>
      <c r="AF1" s="30" t="s">
        <v>14</v>
      </c>
      <c r="AG1" s="30" t="s">
        <v>15</v>
      </c>
      <c r="AH1" s="31" t="s">
        <v>16</v>
      </c>
      <c r="AI1" s="31" t="s">
        <v>17</v>
      </c>
      <c r="AJ1" s="11" t="s">
        <v>18</v>
      </c>
      <c r="AK1" s="12"/>
      <c r="AL1" s="12"/>
      <c r="AM1" s="12"/>
    </row>
    <row r="2">
      <c r="A2" s="13" t="s">
        <v>20</v>
      </c>
      <c r="B2" s="26">
        <v>45565.0</v>
      </c>
      <c r="C2" s="13" t="s">
        <v>21</v>
      </c>
      <c r="D2" s="13">
        <v>1.1</v>
      </c>
      <c r="E2" s="13" t="s">
        <v>22</v>
      </c>
      <c r="F2" s="13">
        <v>3.0</v>
      </c>
      <c r="G2" s="13" t="s">
        <v>23</v>
      </c>
      <c r="H2" s="23">
        <v>24.5839</v>
      </c>
      <c r="I2" s="23">
        <v>510.0</v>
      </c>
      <c r="J2" s="23">
        <v>5.591</v>
      </c>
      <c r="K2" s="23">
        <v>0.052</v>
      </c>
      <c r="L2" s="23">
        <v>119.279</v>
      </c>
      <c r="M2" s="23">
        <v>27.935</v>
      </c>
      <c r="N2" s="23">
        <v>94.104</v>
      </c>
      <c r="O2" s="23">
        <v>28.254</v>
      </c>
      <c r="P2" s="23">
        <v>59.0</v>
      </c>
      <c r="Q2" s="23">
        <v>26.235</v>
      </c>
      <c r="R2" s="23">
        <v>119.238</v>
      </c>
      <c r="S2" s="23">
        <v>27.857</v>
      </c>
      <c r="T2" s="23">
        <v>94.336</v>
      </c>
      <c r="U2" s="23">
        <v>28.269</v>
      </c>
      <c r="V2" s="23">
        <v>59.463</v>
      </c>
      <c r="W2" s="23">
        <v>26.47</v>
      </c>
      <c r="X2" s="23">
        <v>119.228</v>
      </c>
      <c r="Y2" s="23">
        <v>27.881</v>
      </c>
      <c r="Z2" s="23">
        <v>94.571</v>
      </c>
      <c r="AA2" s="23">
        <v>28.417</v>
      </c>
      <c r="AB2" s="23">
        <v>59.896</v>
      </c>
      <c r="AC2" s="23">
        <v>26.793</v>
      </c>
      <c r="AD2" s="22">
        <f t="shared" ref="AD2:AI2" si="1">AVERAGE(L2,R2,X2)</f>
        <v>119.2483333</v>
      </c>
      <c r="AE2" s="22">
        <f t="shared" si="1"/>
        <v>27.891</v>
      </c>
      <c r="AF2" s="22">
        <f t="shared" si="1"/>
        <v>94.337</v>
      </c>
      <c r="AG2" s="22">
        <f t="shared" si="1"/>
        <v>28.31333333</v>
      </c>
      <c r="AH2" s="22">
        <f t="shared" si="1"/>
        <v>59.453</v>
      </c>
      <c r="AI2" s="22">
        <f t="shared" si="1"/>
        <v>26.49933333</v>
      </c>
      <c r="AJ2" s="23"/>
      <c r="AK2" s="23"/>
      <c r="AL2" s="23"/>
      <c r="AM2" s="23"/>
    </row>
    <row r="3">
      <c r="A3" s="13" t="s">
        <v>20</v>
      </c>
      <c r="B3" s="26">
        <v>45565.0</v>
      </c>
      <c r="C3" s="13" t="s">
        <v>21</v>
      </c>
      <c r="D3" s="13">
        <v>1.2</v>
      </c>
      <c r="E3" s="13" t="s">
        <v>22</v>
      </c>
      <c r="F3" s="13">
        <v>3.0</v>
      </c>
      <c r="G3" s="13" t="s">
        <v>23</v>
      </c>
      <c r="H3" s="23">
        <v>23.7047</v>
      </c>
      <c r="I3" s="23">
        <v>558.0323</v>
      </c>
      <c r="J3" s="23">
        <v>3.044</v>
      </c>
      <c r="K3" s="23">
        <v>0.083</v>
      </c>
      <c r="L3" s="23">
        <v>170.701</v>
      </c>
      <c r="M3" s="23">
        <v>30.084</v>
      </c>
      <c r="N3" s="23">
        <v>140.115</v>
      </c>
      <c r="O3" s="23">
        <v>29.107</v>
      </c>
      <c r="P3" s="23">
        <v>85.014</v>
      </c>
      <c r="Q3" s="23">
        <v>29.928</v>
      </c>
      <c r="R3" s="23">
        <v>171.542</v>
      </c>
      <c r="S3" s="23">
        <v>29.457</v>
      </c>
      <c r="T3" s="23">
        <v>140.79</v>
      </c>
      <c r="U3" s="23">
        <v>28.662</v>
      </c>
      <c r="V3" s="23">
        <v>85.705</v>
      </c>
      <c r="W3" s="23">
        <v>29.43</v>
      </c>
      <c r="X3" s="23">
        <v>173.85</v>
      </c>
      <c r="Y3" s="23">
        <v>27.554</v>
      </c>
      <c r="Z3" s="23">
        <v>142.735</v>
      </c>
      <c r="AA3" s="23">
        <v>27.54</v>
      </c>
      <c r="AB3" s="23">
        <v>87.671</v>
      </c>
      <c r="AC3" s="23">
        <v>29.063</v>
      </c>
      <c r="AD3" s="22">
        <f t="shared" ref="AD3:AI3" si="2">AVERAGE(L3,R3,X3)</f>
        <v>172.031</v>
      </c>
      <c r="AE3" s="22">
        <f t="shared" si="2"/>
        <v>29.03166667</v>
      </c>
      <c r="AF3" s="22">
        <f t="shared" si="2"/>
        <v>141.2133333</v>
      </c>
      <c r="AG3" s="22">
        <f t="shared" si="2"/>
        <v>28.43633333</v>
      </c>
      <c r="AH3" s="22">
        <f t="shared" si="2"/>
        <v>86.13</v>
      </c>
      <c r="AI3" s="22">
        <f t="shared" si="2"/>
        <v>29.47366667</v>
      </c>
      <c r="AJ3" s="23"/>
      <c r="AK3" s="23"/>
      <c r="AL3" s="23"/>
      <c r="AM3" s="23"/>
    </row>
    <row r="4">
      <c r="A4" s="13" t="s">
        <v>20</v>
      </c>
      <c r="B4" s="26">
        <v>45565.0</v>
      </c>
      <c r="C4" s="13" t="s">
        <v>21</v>
      </c>
      <c r="D4" s="32">
        <v>1.3</v>
      </c>
      <c r="E4" s="13" t="s">
        <v>22</v>
      </c>
      <c r="F4" s="13">
        <v>3.0</v>
      </c>
      <c r="G4" s="13" t="s">
        <v>23</v>
      </c>
      <c r="H4" s="23">
        <v>23.5933</v>
      </c>
      <c r="I4" s="23">
        <v>554.5183</v>
      </c>
      <c r="J4" s="23">
        <v>4.153</v>
      </c>
      <c r="K4" s="23">
        <v>0.04</v>
      </c>
      <c r="L4" s="23">
        <v>156.184</v>
      </c>
      <c r="M4" s="23">
        <v>26.148</v>
      </c>
      <c r="N4" s="23">
        <v>120.786</v>
      </c>
      <c r="O4" s="23">
        <v>25.957</v>
      </c>
      <c r="P4" s="23">
        <v>65.364</v>
      </c>
      <c r="Q4" s="23">
        <v>26.11</v>
      </c>
      <c r="R4" s="23">
        <v>157.51</v>
      </c>
      <c r="S4" s="23">
        <v>24.534</v>
      </c>
      <c r="T4" s="23">
        <v>121.708</v>
      </c>
      <c r="U4" s="23">
        <v>25.03</v>
      </c>
      <c r="V4" s="23">
        <v>65.503</v>
      </c>
      <c r="W4" s="23">
        <v>25.753</v>
      </c>
      <c r="X4" s="23">
        <v>156.135</v>
      </c>
      <c r="Y4" s="23">
        <v>26.589</v>
      </c>
      <c r="Z4" s="23">
        <v>120.575</v>
      </c>
      <c r="AA4" s="23">
        <v>26.312</v>
      </c>
      <c r="AB4" s="23">
        <v>64.944</v>
      </c>
      <c r="AC4" s="23">
        <v>26.11</v>
      </c>
      <c r="AD4" s="22">
        <f t="shared" ref="AD4:AI4" si="3">AVERAGE(L4,R4,X4)</f>
        <v>156.6096667</v>
      </c>
      <c r="AE4" s="22">
        <f t="shared" si="3"/>
        <v>25.757</v>
      </c>
      <c r="AF4" s="22">
        <f t="shared" si="3"/>
        <v>121.023</v>
      </c>
      <c r="AG4" s="22">
        <f t="shared" si="3"/>
        <v>25.76633333</v>
      </c>
      <c r="AH4" s="22">
        <f t="shared" si="3"/>
        <v>65.27033333</v>
      </c>
      <c r="AI4" s="22">
        <f t="shared" si="3"/>
        <v>25.991</v>
      </c>
      <c r="AJ4" s="23"/>
      <c r="AK4" s="23"/>
      <c r="AL4" s="23"/>
      <c r="AM4" s="23"/>
    </row>
    <row r="5">
      <c r="A5" s="13" t="s">
        <v>20</v>
      </c>
      <c r="B5" s="26">
        <v>45565.0</v>
      </c>
      <c r="C5" s="13" t="s">
        <v>21</v>
      </c>
      <c r="D5" s="13">
        <v>1.4</v>
      </c>
      <c r="E5" s="13" t="s">
        <v>22</v>
      </c>
      <c r="F5" s="13">
        <v>3.0</v>
      </c>
      <c r="G5" s="13" t="s">
        <v>23</v>
      </c>
      <c r="H5" s="23">
        <v>22.0098</v>
      </c>
      <c r="I5" s="23">
        <v>450.0011</v>
      </c>
      <c r="J5" s="23">
        <v>4.298</v>
      </c>
      <c r="K5" s="23">
        <v>0.036</v>
      </c>
      <c r="L5" s="23">
        <v>160.075</v>
      </c>
      <c r="M5" s="23">
        <v>30.731</v>
      </c>
      <c r="N5" s="23">
        <v>132.63</v>
      </c>
      <c r="O5" s="23">
        <v>32.449</v>
      </c>
      <c r="P5" s="23">
        <v>95.705</v>
      </c>
      <c r="Q5" s="23">
        <v>33.747</v>
      </c>
      <c r="R5" s="23">
        <v>159.8</v>
      </c>
      <c r="S5" s="23">
        <v>30.979</v>
      </c>
      <c r="T5" s="23">
        <v>132.407</v>
      </c>
      <c r="U5" s="23">
        <v>32.597</v>
      </c>
      <c r="V5" s="23">
        <v>95.619</v>
      </c>
      <c r="W5" s="23">
        <v>33.798</v>
      </c>
      <c r="X5" s="23">
        <v>159.87</v>
      </c>
      <c r="Y5" s="23">
        <v>30.85</v>
      </c>
      <c r="Z5" s="23">
        <v>132.408</v>
      </c>
      <c r="AA5" s="23">
        <v>32.533</v>
      </c>
      <c r="AB5" s="23">
        <v>95.527</v>
      </c>
      <c r="AC5" s="23">
        <v>33.801</v>
      </c>
      <c r="AD5" s="22">
        <f t="shared" ref="AD5:AI5" si="4">AVERAGE(L5,R5,X5)</f>
        <v>159.915</v>
      </c>
      <c r="AE5" s="22">
        <f t="shared" si="4"/>
        <v>30.85333333</v>
      </c>
      <c r="AF5" s="22">
        <f t="shared" si="4"/>
        <v>132.4816667</v>
      </c>
      <c r="AG5" s="22">
        <f t="shared" si="4"/>
        <v>32.52633333</v>
      </c>
      <c r="AH5" s="22">
        <f t="shared" si="4"/>
        <v>95.617</v>
      </c>
      <c r="AI5" s="22">
        <f t="shared" si="4"/>
        <v>33.782</v>
      </c>
      <c r="AJ5" s="23"/>
      <c r="AK5" s="23"/>
      <c r="AL5" s="23"/>
      <c r="AM5" s="23"/>
    </row>
    <row r="6">
      <c r="A6" s="13" t="s">
        <v>20</v>
      </c>
      <c r="B6" s="26">
        <v>45565.0</v>
      </c>
      <c r="C6" s="13" t="s">
        <v>21</v>
      </c>
      <c r="D6" s="13">
        <v>2.1</v>
      </c>
      <c r="E6" s="13" t="s">
        <v>22</v>
      </c>
      <c r="F6" s="13">
        <v>3.0</v>
      </c>
      <c r="G6" s="13" t="s">
        <v>23</v>
      </c>
      <c r="H6" s="23">
        <v>16.0734</v>
      </c>
      <c r="I6" s="23">
        <v>536.0933</v>
      </c>
      <c r="J6" s="23">
        <v>1.843</v>
      </c>
      <c r="K6" s="23">
        <v>0.028</v>
      </c>
      <c r="L6" s="23">
        <v>126.638</v>
      </c>
      <c r="M6" s="23">
        <v>27.381</v>
      </c>
      <c r="N6" s="23">
        <v>102.115</v>
      </c>
      <c r="O6" s="23">
        <v>28.519</v>
      </c>
      <c r="P6" s="23">
        <v>60.004</v>
      </c>
      <c r="Q6" s="23">
        <v>25.832</v>
      </c>
      <c r="R6" s="23">
        <v>126.831</v>
      </c>
      <c r="S6" s="23">
        <v>27.413</v>
      </c>
      <c r="T6" s="23">
        <v>102.243</v>
      </c>
      <c r="U6" s="23">
        <v>28.621</v>
      </c>
      <c r="V6" s="23">
        <v>59.932</v>
      </c>
      <c r="W6" s="23">
        <v>25.933</v>
      </c>
      <c r="X6" s="23">
        <v>128.176</v>
      </c>
      <c r="Y6" s="23">
        <v>27.218</v>
      </c>
      <c r="Z6" s="23">
        <v>103.174</v>
      </c>
      <c r="AA6" s="23">
        <v>28.765</v>
      </c>
      <c r="AB6" s="23">
        <v>60.566</v>
      </c>
      <c r="AC6" s="23">
        <v>26.06</v>
      </c>
      <c r="AD6" s="22">
        <f t="shared" ref="AD6:AI6" si="5">AVERAGE(L6,R6,X6)</f>
        <v>127.215</v>
      </c>
      <c r="AE6" s="22">
        <f t="shared" si="5"/>
        <v>27.33733333</v>
      </c>
      <c r="AF6" s="22">
        <f t="shared" si="5"/>
        <v>102.5106667</v>
      </c>
      <c r="AG6" s="22">
        <f t="shared" si="5"/>
        <v>28.635</v>
      </c>
      <c r="AH6" s="22">
        <f t="shared" si="5"/>
        <v>60.16733333</v>
      </c>
      <c r="AI6" s="22">
        <f t="shared" si="5"/>
        <v>25.94166667</v>
      </c>
      <c r="AJ6" s="23"/>
      <c r="AK6" s="23"/>
      <c r="AL6" s="23"/>
      <c r="AM6" s="23"/>
    </row>
    <row r="7">
      <c r="A7" s="13" t="s">
        <v>20</v>
      </c>
      <c r="B7" s="26">
        <v>45565.0</v>
      </c>
      <c r="C7" s="13" t="s">
        <v>21</v>
      </c>
      <c r="D7" s="13">
        <v>2.2</v>
      </c>
      <c r="E7" s="13" t="s">
        <v>22</v>
      </c>
      <c r="F7" s="13">
        <v>3.0</v>
      </c>
      <c r="G7" s="13" t="s">
        <v>23</v>
      </c>
      <c r="H7" s="23">
        <v>16.336</v>
      </c>
      <c r="I7" s="23">
        <v>552.0021</v>
      </c>
      <c r="J7" s="23">
        <v>2.775</v>
      </c>
      <c r="K7" s="23">
        <v>0.031</v>
      </c>
      <c r="L7" s="23">
        <v>179.948</v>
      </c>
      <c r="M7" s="23">
        <v>25.447</v>
      </c>
      <c r="N7" s="23">
        <v>152.279</v>
      </c>
      <c r="O7" s="23">
        <v>26.638</v>
      </c>
      <c r="P7" s="23">
        <v>100.464</v>
      </c>
      <c r="Q7" s="23">
        <v>28.463</v>
      </c>
      <c r="R7" s="23">
        <v>180.694</v>
      </c>
      <c r="S7" s="23">
        <v>25.161</v>
      </c>
      <c r="T7" s="23">
        <v>152.8</v>
      </c>
      <c r="U7" s="23">
        <v>26.613</v>
      </c>
      <c r="V7" s="23">
        <v>100.759</v>
      </c>
      <c r="W7" s="23">
        <v>28.623</v>
      </c>
      <c r="X7" s="23">
        <v>180.563</v>
      </c>
      <c r="Y7" s="23">
        <v>24.864</v>
      </c>
      <c r="Z7" s="23">
        <v>152.824</v>
      </c>
      <c r="AA7" s="23">
        <v>26.22</v>
      </c>
      <c r="AB7" s="23">
        <v>100.903</v>
      </c>
      <c r="AC7" s="23">
        <v>28.283</v>
      </c>
      <c r="AD7" s="22">
        <f t="shared" ref="AD7:AI7" si="6">AVERAGE(L7,R7,X7)</f>
        <v>180.4016667</v>
      </c>
      <c r="AE7" s="22">
        <f t="shared" si="6"/>
        <v>25.15733333</v>
      </c>
      <c r="AF7" s="22">
        <f t="shared" si="6"/>
        <v>152.6343333</v>
      </c>
      <c r="AG7" s="22">
        <f t="shared" si="6"/>
        <v>26.49033333</v>
      </c>
      <c r="AH7" s="22">
        <f t="shared" si="6"/>
        <v>100.7086667</v>
      </c>
      <c r="AI7" s="22">
        <f t="shared" si="6"/>
        <v>28.45633333</v>
      </c>
      <c r="AJ7" s="23"/>
      <c r="AK7" s="23"/>
      <c r="AL7" s="23"/>
      <c r="AM7" s="23"/>
    </row>
    <row r="8">
      <c r="A8" s="13" t="s">
        <v>20</v>
      </c>
      <c r="B8" s="26">
        <v>45565.0</v>
      </c>
      <c r="C8" s="13" t="s">
        <v>21</v>
      </c>
      <c r="D8" s="13">
        <v>2.3</v>
      </c>
      <c r="E8" s="13" t="s">
        <v>22</v>
      </c>
      <c r="F8" s="13">
        <v>3.0</v>
      </c>
      <c r="G8" s="13" t="s">
        <v>23</v>
      </c>
      <c r="H8" s="23">
        <v>17.7835</v>
      </c>
      <c r="I8" s="23">
        <v>609.0166</v>
      </c>
      <c r="J8" s="23">
        <v>2.347</v>
      </c>
      <c r="K8" s="23">
        <v>0.027</v>
      </c>
      <c r="L8" s="23">
        <v>145.551</v>
      </c>
      <c r="M8" s="23">
        <v>37.965</v>
      </c>
      <c r="N8" s="23">
        <v>117.363</v>
      </c>
      <c r="O8" s="23">
        <v>37.524</v>
      </c>
      <c r="P8" s="23">
        <v>67.703</v>
      </c>
      <c r="Q8" s="23">
        <v>30.131</v>
      </c>
      <c r="R8" s="23">
        <v>146.038</v>
      </c>
      <c r="S8" s="23">
        <v>38.12</v>
      </c>
      <c r="T8" s="13">
        <v>117.932</v>
      </c>
      <c r="U8" s="23">
        <v>37.639</v>
      </c>
      <c r="V8" s="23">
        <v>68.312</v>
      </c>
      <c r="W8" s="23">
        <v>30.177</v>
      </c>
      <c r="X8" s="23">
        <v>146.387</v>
      </c>
      <c r="Y8" s="23">
        <v>37.929</v>
      </c>
      <c r="Z8" s="23">
        <v>118.208</v>
      </c>
      <c r="AA8" s="23">
        <v>37.556</v>
      </c>
      <c r="AB8" s="23">
        <v>68.658</v>
      </c>
      <c r="AC8" s="23">
        <v>30.184</v>
      </c>
      <c r="AD8" s="22">
        <f t="shared" ref="AD8:AE8" si="7">AVERAGE(L8,R8,X8)</f>
        <v>145.992</v>
      </c>
      <c r="AE8" s="22">
        <f t="shared" si="7"/>
        <v>38.00466667</v>
      </c>
      <c r="AF8" s="22">
        <f>AVERAGE(N8,S8,Z8)</f>
        <v>91.23033333</v>
      </c>
      <c r="AG8" s="22">
        <f t="shared" ref="AG8:AI8" si="8">AVERAGE(O8,U8,AA8)</f>
        <v>37.573</v>
      </c>
      <c r="AH8" s="22">
        <f t="shared" si="8"/>
        <v>68.22433333</v>
      </c>
      <c r="AI8" s="22">
        <f t="shared" si="8"/>
        <v>30.164</v>
      </c>
      <c r="AJ8" s="23"/>
      <c r="AK8" s="23"/>
      <c r="AL8" s="23"/>
      <c r="AM8" s="23"/>
    </row>
    <row r="9">
      <c r="A9" s="13" t="s">
        <v>20</v>
      </c>
      <c r="B9" s="26">
        <v>45565.0</v>
      </c>
      <c r="C9" s="13" t="s">
        <v>21</v>
      </c>
      <c r="D9" s="13">
        <v>2.4</v>
      </c>
      <c r="E9" s="13" t="s">
        <v>22</v>
      </c>
      <c r="F9" s="13">
        <v>3.0</v>
      </c>
      <c r="G9" s="13" t="s">
        <v>23</v>
      </c>
      <c r="H9" s="23">
        <v>17.2687</v>
      </c>
      <c r="I9" s="23">
        <v>442.8065</v>
      </c>
      <c r="J9" s="23">
        <v>2.086</v>
      </c>
      <c r="K9" s="23">
        <v>0.056</v>
      </c>
      <c r="L9" s="23">
        <v>163.266</v>
      </c>
      <c r="M9" s="23">
        <v>27.06</v>
      </c>
      <c r="N9" s="23">
        <v>139.218</v>
      </c>
      <c r="O9" s="23">
        <v>28.925</v>
      </c>
      <c r="P9" s="23">
        <v>99.097</v>
      </c>
      <c r="Q9" s="23">
        <v>30.826</v>
      </c>
      <c r="R9" s="23">
        <v>164.376</v>
      </c>
      <c r="S9" s="23">
        <v>25.986</v>
      </c>
      <c r="T9" s="23">
        <v>140.252</v>
      </c>
      <c r="U9" s="23">
        <v>28.091</v>
      </c>
      <c r="V9" s="23">
        <v>100.252</v>
      </c>
      <c r="W9" s="23">
        <v>30.083</v>
      </c>
      <c r="X9" s="23">
        <v>163.697</v>
      </c>
      <c r="Y9" s="23">
        <v>26.4</v>
      </c>
      <c r="Z9" s="23">
        <v>139.683</v>
      </c>
      <c r="AA9" s="23">
        <v>28.413</v>
      </c>
      <c r="AB9" s="23">
        <v>99.68</v>
      </c>
      <c r="AC9" s="23">
        <v>30.445</v>
      </c>
      <c r="AD9" s="22">
        <f t="shared" ref="AD9:AI9" si="9">AVERAGE(L9,R9,X9)</f>
        <v>163.7796667</v>
      </c>
      <c r="AE9" s="22">
        <f t="shared" si="9"/>
        <v>26.482</v>
      </c>
      <c r="AF9" s="22">
        <f t="shared" si="9"/>
        <v>139.7176667</v>
      </c>
      <c r="AG9" s="22">
        <f t="shared" si="9"/>
        <v>28.47633333</v>
      </c>
      <c r="AH9" s="22">
        <f t="shared" si="9"/>
        <v>99.67633333</v>
      </c>
      <c r="AI9" s="22">
        <f t="shared" si="9"/>
        <v>30.45133333</v>
      </c>
      <c r="AJ9" s="23"/>
      <c r="AK9" s="23"/>
      <c r="AL9" s="23"/>
      <c r="AM9" s="23"/>
    </row>
    <row r="10">
      <c r="A10" s="13" t="s">
        <v>20</v>
      </c>
      <c r="B10" s="26">
        <v>45565.0</v>
      </c>
      <c r="C10" s="13" t="s">
        <v>21</v>
      </c>
      <c r="D10" s="13">
        <v>3.1</v>
      </c>
      <c r="E10" s="13" t="s">
        <v>22</v>
      </c>
      <c r="F10" s="13">
        <v>3.0</v>
      </c>
      <c r="G10" s="13" t="s">
        <v>23</v>
      </c>
      <c r="H10" s="23">
        <v>21.5947</v>
      </c>
      <c r="I10" s="23">
        <v>546.0211</v>
      </c>
      <c r="J10" s="23">
        <v>3.246</v>
      </c>
      <c r="K10" s="23">
        <v>0.109</v>
      </c>
      <c r="L10" s="23">
        <v>138.634</v>
      </c>
      <c r="M10" s="23">
        <v>30.296</v>
      </c>
      <c r="N10" s="23">
        <v>119.331</v>
      </c>
      <c r="O10" s="23">
        <v>28.639</v>
      </c>
      <c r="P10" s="23">
        <v>56.62</v>
      </c>
      <c r="Q10" s="23">
        <v>25.191</v>
      </c>
      <c r="R10" s="23">
        <v>139.135</v>
      </c>
      <c r="S10" s="23">
        <v>29.184</v>
      </c>
      <c r="T10" s="23">
        <v>119.874</v>
      </c>
      <c r="U10" s="23">
        <v>27.691</v>
      </c>
      <c r="V10" s="23">
        <v>56.905</v>
      </c>
      <c r="W10" s="23">
        <v>24.807</v>
      </c>
      <c r="X10" s="23">
        <v>140.742</v>
      </c>
      <c r="Y10" s="23">
        <v>27.438</v>
      </c>
      <c r="Z10" s="23">
        <v>121.342</v>
      </c>
      <c r="AA10" s="23">
        <v>26.032</v>
      </c>
      <c r="AB10" s="23">
        <v>57.81</v>
      </c>
      <c r="AC10" s="23">
        <v>24.494</v>
      </c>
      <c r="AD10" s="22">
        <f t="shared" ref="AD10:AI10" si="10">AVERAGE(L10,R10,X10)</f>
        <v>139.5036667</v>
      </c>
      <c r="AE10" s="22">
        <f t="shared" si="10"/>
        <v>28.97266667</v>
      </c>
      <c r="AF10" s="22">
        <f t="shared" si="10"/>
        <v>120.1823333</v>
      </c>
      <c r="AG10" s="22">
        <f t="shared" si="10"/>
        <v>27.454</v>
      </c>
      <c r="AH10" s="22">
        <f t="shared" si="10"/>
        <v>57.11166667</v>
      </c>
      <c r="AI10" s="22">
        <f t="shared" si="10"/>
        <v>24.83066667</v>
      </c>
      <c r="AJ10" s="23"/>
      <c r="AK10" s="23"/>
      <c r="AL10" s="23"/>
      <c r="AM10" s="23"/>
    </row>
    <row r="11">
      <c r="A11" s="13" t="s">
        <v>20</v>
      </c>
      <c r="B11" s="26">
        <v>45565.0</v>
      </c>
      <c r="C11" s="13" t="s">
        <v>21</v>
      </c>
      <c r="D11" s="13">
        <v>3.2</v>
      </c>
      <c r="E11" s="13" t="s">
        <v>22</v>
      </c>
      <c r="F11" s="13">
        <v>3.0</v>
      </c>
      <c r="G11" s="13" t="s">
        <v>23</v>
      </c>
      <c r="H11" s="23">
        <v>14.1441</v>
      </c>
      <c r="I11" s="23">
        <v>553.2117</v>
      </c>
      <c r="J11" s="23">
        <v>3.502</v>
      </c>
      <c r="K11" s="23">
        <v>0.039</v>
      </c>
      <c r="L11" s="23">
        <v>131.967</v>
      </c>
      <c r="M11" s="23">
        <v>30.225</v>
      </c>
      <c r="N11" s="23">
        <v>112.243</v>
      </c>
      <c r="O11" s="23">
        <v>29.615</v>
      </c>
      <c r="P11" s="23">
        <v>55.026</v>
      </c>
      <c r="Q11" s="23">
        <v>26.714</v>
      </c>
      <c r="R11" s="23">
        <v>131.643</v>
      </c>
      <c r="S11" s="23">
        <v>30.146</v>
      </c>
      <c r="T11" s="23">
        <v>111.939</v>
      </c>
      <c r="U11" s="23">
        <v>29.518</v>
      </c>
      <c r="V11" s="23">
        <v>54.871</v>
      </c>
      <c r="W11" s="23">
        <v>26.62</v>
      </c>
      <c r="X11" s="23">
        <v>131.827</v>
      </c>
      <c r="Y11" s="23">
        <v>30.358</v>
      </c>
      <c r="Z11" s="23">
        <v>112.086</v>
      </c>
      <c r="AA11" s="23">
        <v>29.72</v>
      </c>
      <c r="AB11" s="23">
        <v>54.877</v>
      </c>
      <c r="AC11" s="23">
        <v>26.684</v>
      </c>
      <c r="AD11" s="22">
        <f t="shared" ref="AD11:AI11" si="11">AVERAGE(L11,R11,X11)</f>
        <v>131.8123333</v>
      </c>
      <c r="AE11" s="22">
        <f t="shared" si="11"/>
        <v>30.243</v>
      </c>
      <c r="AF11" s="22">
        <f t="shared" si="11"/>
        <v>112.0893333</v>
      </c>
      <c r="AG11" s="22">
        <f t="shared" si="11"/>
        <v>29.61766667</v>
      </c>
      <c r="AH11" s="22">
        <f t="shared" si="11"/>
        <v>54.92466667</v>
      </c>
      <c r="AI11" s="22">
        <f t="shared" si="11"/>
        <v>26.67266667</v>
      </c>
      <c r="AJ11" s="23"/>
      <c r="AK11" s="23"/>
      <c r="AL11" s="23"/>
      <c r="AM11" s="23"/>
    </row>
    <row r="12">
      <c r="A12" s="13" t="s">
        <v>20</v>
      </c>
      <c r="B12" s="26">
        <v>45565.0</v>
      </c>
      <c r="C12" s="13" t="s">
        <v>21</v>
      </c>
      <c r="D12" s="13">
        <v>3.3</v>
      </c>
      <c r="E12" s="13" t="s">
        <v>22</v>
      </c>
      <c r="F12" s="13">
        <v>3.0</v>
      </c>
      <c r="G12" s="13" t="s">
        <v>23</v>
      </c>
      <c r="H12" s="23">
        <v>16.8852</v>
      </c>
      <c r="I12" s="23">
        <v>583.2049</v>
      </c>
      <c r="J12" s="23">
        <v>2.811</v>
      </c>
      <c r="K12" s="23">
        <v>0.026</v>
      </c>
      <c r="L12" s="23">
        <v>120.771</v>
      </c>
      <c r="M12" s="23">
        <v>35.844</v>
      </c>
      <c r="N12" s="23">
        <v>100.815</v>
      </c>
      <c r="O12" s="23">
        <v>34.725</v>
      </c>
      <c r="P12" s="23">
        <v>48.692</v>
      </c>
      <c r="Q12" s="23">
        <v>27.722</v>
      </c>
      <c r="R12" s="23">
        <v>120.579</v>
      </c>
      <c r="S12" s="23">
        <v>35.869</v>
      </c>
      <c r="T12" s="23">
        <v>100.682</v>
      </c>
      <c r="U12" s="23">
        <v>34.723</v>
      </c>
      <c r="V12" s="23">
        <v>48.669</v>
      </c>
      <c r="W12" s="23">
        <v>27.966</v>
      </c>
      <c r="X12" s="23">
        <v>120.526</v>
      </c>
      <c r="Y12" s="23">
        <v>35.933</v>
      </c>
      <c r="Z12" s="23">
        <v>100.57</v>
      </c>
      <c r="AA12" s="23">
        <v>34.831</v>
      </c>
      <c r="AB12" s="23">
        <v>48.543</v>
      </c>
      <c r="AC12" s="23">
        <v>27.974</v>
      </c>
      <c r="AD12" s="22">
        <f t="shared" ref="AD12:AI12" si="12">AVERAGE(L12,R12,X12)</f>
        <v>120.6253333</v>
      </c>
      <c r="AE12" s="22">
        <f t="shared" si="12"/>
        <v>35.882</v>
      </c>
      <c r="AF12" s="22">
        <f t="shared" si="12"/>
        <v>100.689</v>
      </c>
      <c r="AG12" s="22">
        <f t="shared" si="12"/>
        <v>34.75966667</v>
      </c>
      <c r="AH12" s="22">
        <f t="shared" si="12"/>
        <v>48.63466667</v>
      </c>
      <c r="AI12" s="22">
        <f t="shared" si="12"/>
        <v>27.88733333</v>
      </c>
      <c r="AJ12" s="23"/>
      <c r="AK12" s="23"/>
      <c r="AL12" s="23"/>
      <c r="AM12" s="23"/>
    </row>
    <row r="13">
      <c r="A13" s="13" t="s">
        <v>20</v>
      </c>
      <c r="B13" s="26">
        <v>45565.0</v>
      </c>
      <c r="C13" s="13" t="s">
        <v>21</v>
      </c>
      <c r="D13" s="13">
        <v>3.4</v>
      </c>
      <c r="E13" s="13" t="s">
        <v>22</v>
      </c>
      <c r="F13" s="13">
        <v>3.0</v>
      </c>
      <c r="G13" s="13" t="s">
        <v>23</v>
      </c>
      <c r="H13" s="23">
        <v>17.6857</v>
      </c>
      <c r="I13" s="23">
        <v>470.475</v>
      </c>
      <c r="J13" s="23">
        <v>3.098</v>
      </c>
      <c r="K13" s="23">
        <v>0.054</v>
      </c>
      <c r="L13" s="23">
        <v>180.784</v>
      </c>
      <c r="M13" s="23">
        <v>23.229</v>
      </c>
      <c r="N13" s="23">
        <v>167.056</v>
      </c>
      <c r="O13" s="23">
        <v>23.771</v>
      </c>
      <c r="P13" s="23">
        <v>123.252</v>
      </c>
      <c r="Q13" s="23">
        <v>29.663</v>
      </c>
      <c r="R13" s="23">
        <v>179.624</v>
      </c>
      <c r="S13" s="23">
        <v>24.369</v>
      </c>
      <c r="T13" s="23">
        <v>165.868</v>
      </c>
      <c r="U13" s="23">
        <v>24.969</v>
      </c>
      <c r="V13" s="23">
        <v>122.259</v>
      </c>
      <c r="W13" s="23">
        <v>30.368</v>
      </c>
      <c r="X13" s="23">
        <v>180.093</v>
      </c>
      <c r="Y13" s="23">
        <v>24.076</v>
      </c>
      <c r="Z13" s="23">
        <v>166.297</v>
      </c>
      <c r="AA13" s="23">
        <v>24.737</v>
      </c>
      <c r="AB13" s="23">
        <v>122.45</v>
      </c>
      <c r="AC13" s="23">
        <v>30.283</v>
      </c>
      <c r="AD13" s="22">
        <f t="shared" ref="AD13:AI13" si="13">AVERAGE(L13,R13,X13)</f>
        <v>180.167</v>
      </c>
      <c r="AE13" s="22">
        <f t="shared" si="13"/>
        <v>23.89133333</v>
      </c>
      <c r="AF13" s="22">
        <f t="shared" si="13"/>
        <v>166.407</v>
      </c>
      <c r="AG13" s="22">
        <f t="shared" si="13"/>
        <v>24.49233333</v>
      </c>
      <c r="AH13" s="22">
        <f t="shared" si="13"/>
        <v>122.6536667</v>
      </c>
      <c r="AI13" s="22">
        <f t="shared" si="13"/>
        <v>30.10466667</v>
      </c>
      <c r="AJ13" s="23"/>
      <c r="AK13" s="23"/>
      <c r="AL13" s="23"/>
      <c r="AM13" s="23"/>
    </row>
    <row r="14">
      <c r="A14" s="13" t="s">
        <v>20</v>
      </c>
      <c r="B14" s="26">
        <v>45565.0</v>
      </c>
      <c r="C14" s="13" t="s">
        <v>24</v>
      </c>
      <c r="D14" s="13">
        <v>1.1</v>
      </c>
      <c r="E14" s="13" t="s">
        <v>22</v>
      </c>
      <c r="F14" s="13">
        <v>3.0</v>
      </c>
      <c r="G14" s="13" t="s">
        <v>23</v>
      </c>
      <c r="H14" s="23">
        <v>19.8905</v>
      </c>
      <c r="I14" s="23">
        <v>494.4015</v>
      </c>
      <c r="J14" s="23">
        <v>6.781</v>
      </c>
      <c r="K14" s="23">
        <v>0.053</v>
      </c>
      <c r="L14" s="23">
        <v>154.093</v>
      </c>
      <c r="M14" s="23">
        <v>19.505</v>
      </c>
      <c r="N14" s="23">
        <v>121.314</v>
      </c>
      <c r="O14" s="23">
        <v>17.569</v>
      </c>
      <c r="P14" s="23">
        <v>59.828</v>
      </c>
      <c r="Q14" s="23">
        <v>15.622</v>
      </c>
      <c r="R14" s="23">
        <v>154.419</v>
      </c>
      <c r="S14" s="23">
        <v>18.716</v>
      </c>
      <c r="T14" s="23">
        <v>121.765</v>
      </c>
      <c r="U14" s="23">
        <v>17.115</v>
      </c>
      <c r="V14" s="23">
        <v>60.402</v>
      </c>
      <c r="W14" s="23">
        <v>16.526</v>
      </c>
      <c r="X14" s="23">
        <v>152.899</v>
      </c>
      <c r="Y14" s="23">
        <v>19.865</v>
      </c>
      <c r="Z14" s="23">
        <v>121.278</v>
      </c>
      <c r="AA14" s="23">
        <v>17.853</v>
      </c>
      <c r="AB14" s="23">
        <v>60.085</v>
      </c>
      <c r="AC14" s="23">
        <v>16.332</v>
      </c>
      <c r="AD14" s="22">
        <f t="shared" ref="AD14:AI14" si="14">AVERAGE(L14,R14,X14)</f>
        <v>153.8036667</v>
      </c>
      <c r="AE14" s="22">
        <f t="shared" si="14"/>
        <v>19.362</v>
      </c>
      <c r="AF14" s="22">
        <f t="shared" si="14"/>
        <v>121.4523333</v>
      </c>
      <c r="AG14" s="22">
        <f t="shared" si="14"/>
        <v>17.51233333</v>
      </c>
      <c r="AH14" s="22">
        <f t="shared" si="14"/>
        <v>60.105</v>
      </c>
      <c r="AI14" s="22">
        <f t="shared" si="14"/>
        <v>16.16</v>
      </c>
      <c r="AJ14" s="23"/>
      <c r="AK14" s="23"/>
      <c r="AL14" s="23"/>
      <c r="AM14" s="23"/>
    </row>
    <row r="15">
      <c r="A15" s="13" t="s">
        <v>20</v>
      </c>
      <c r="B15" s="26">
        <v>45565.0</v>
      </c>
      <c r="C15" s="13" t="s">
        <v>24</v>
      </c>
      <c r="D15" s="13">
        <v>1.2</v>
      </c>
      <c r="E15" s="13" t="s">
        <v>22</v>
      </c>
      <c r="F15" s="13">
        <v>3.0</v>
      </c>
      <c r="G15" s="13" t="s">
        <v>23</v>
      </c>
      <c r="H15" s="23">
        <v>18.8646</v>
      </c>
      <c r="I15" s="23">
        <v>578.405</v>
      </c>
      <c r="J15" s="23">
        <v>5.739</v>
      </c>
      <c r="K15" s="23">
        <v>0.122</v>
      </c>
      <c r="L15" s="23">
        <v>162.093</v>
      </c>
      <c r="M15" s="23">
        <v>17.92</v>
      </c>
      <c r="N15" s="23">
        <v>129.655</v>
      </c>
      <c r="O15" s="23">
        <v>15.615</v>
      </c>
      <c r="P15" s="23">
        <v>60.184</v>
      </c>
      <c r="Q15" s="23">
        <v>17.484</v>
      </c>
      <c r="R15" s="23">
        <v>161.819</v>
      </c>
      <c r="S15" s="23">
        <v>18.54</v>
      </c>
      <c r="T15" s="23">
        <v>129.425</v>
      </c>
      <c r="U15" s="23">
        <v>16.181</v>
      </c>
      <c r="V15" s="23">
        <v>60.124</v>
      </c>
      <c r="W15" s="23">
        <v>17.55</v>
      </c>
      <c r="X15" s="23">
        <v>162.459</v>
      </c>
      <c r="Y15" s="23">
        <v>17.125</v>
      </c>
      <c r="Z15" s="23">
        <v>129.915</v>
      </c>
      <c r="AA15" s="23">
        <v>15.168</v>
      </c>
      <c r="AB15" s="23">
        <v>60.233</v>
      </c>
      <c r="AC15" s="23">
        <v>17.403</v>
      </c>
      <c r="AD15" s="22">
        <f t="shared" ref="AD15:AI15" si="15">AVERAGE(L15,R15,X15)</f>
        <v>162.1236667</v>
      </c>
      <c r="AE15" s="22">
        <f t="shared" si="15"/>
        <v>17.86166667</v>
      </c>
      <c r="AF15" s="22">
        <f t="shared" si="15"/>
        <v>129.665</v>
      </c>
      <c r="AG15" s="22">
        <f t="shared" si="15"/>
        <v>15.65466667</v>
      </c>
      <c r="AH15" s="22">
        <f t="shared" si="15"/>
        <v>60.18033333</v>
      </c>
      <c r="AI15" s="22">
        <f t="shared" si="15"/>
        <v>17.479</v>
      </c>
      <c r="AJ15" s="23"/>
      <c r="AK15" s="23"/>
      <c r="AL15" s="23"/>
      <c r="AM15" s="23"/>
    </row>
    <row r="16">
      <c r="A16" s="13" t="s">
        <v>20</v>
      </c>
      <c r="B16" s="26">
        <v>45565.0</v>
      </c>
      <c r="C16" s="13" t="s">
        <v>24</v>
      </c>
      <c r="D16" s="13">
        <v>1.3</v>
      </c>
      <c r="E16" s="13" t="s">
        <v>22</v>
      </c>
      <c r="F16" s="13">
        <v>3.0</v>
      </c>
      <c r="G16" s="13" t="s">
        <v>23</v>
      </c>
      <c r="H16" s="23">
        <v>15.5944</v>
      </c>
      <c r="I16" s="23">
        <v>571.2454</v>
      </c>
      <c r="J16" s="23">
        <v>5.09</v>
      </c>
      <c r="K16" s="23">
        <v>0.098</v>
      </c>
      <c r="L16" s="23">
        <v>150.585</v>
      </c>
      <c r="M16" s="23">
        <v>25.37</v>
      </c>
      <c r="N16" s="23">
        <v>117.946</v>
      </c>
      <c r="O16" s="23">
        <v>24.594</v>
      </c>
      <c r="P16" s="23">
        <v>58.014</v>
      </c>
      <c r="Q16" s="23">
        <v>22.412</v>
      </c>
      <c r="R16" s="23">
        <v>150.146</v>
      </c>
      <c r="S16" s="23">
        <v>25.813</v>
      </c>
      <c r="T16" s="23">
        <v>117.778</v>
      </c>
      <c r="U16" s="23">
        <v>24.865</v>
      </c>
      <c r="V16" s="23">
        <v>58.169</v>
      </c>
      <c r="W16" s="23">
        <v>22.607</v>
      </c>
      <c r="X16" s="23">
        <v>151.119</v>
      </c>
      <c r="Y16" s="23">
        <v>24.791</v>
      </c>
      <c r="Z16" s="23">
        <v>118.333</v>
      </c>
      <c r="AA16" s="23">
        <v>24.282</v>
      </c>
      <c r="AB16" s="23">
        <v>58.156</v>
      </c>
      <c r="AC16" s="23">
        <v>22.328</v>
      </c>
      <c r="AD16" s="22">
        <f t="shared" ref="AD16:AI16" si="16">AVERAGE(L16,R16,X16)</f>
        <v>150.6166667</v>
      </c>
      <c r="AE16" s="22">
        <f t="shared" si="16"/>
        <v>25.32466667</v>
      </c>
      <c r="AF16" s="22">
        <f t="shared" si="16"/>
        <v>118.019</v>
      </c>
      <c r="AG16" s="22">
        <f t="shared" si="16"/>
        <v>24.58033333</v>
      </c>
      <c r="AH16" s="22">
        <f t="shared" si="16"/>
        <v>58.113</v>
      </c>
      <c r="AI16" s="22">
        <f t="shared" si="16"/>
        <v>22.449</v>
      </c>
      <c r="AJ16" s="23"/>
      <c r="AK16" s="23"/>
      <c r="AL16" s="23"/>
      <c r="AM16" s="23"/>
    </row>
    <row r="17">
      <c r="A17" s="13" t="s">
        <v>20</v>
      </c>
      <c r="B17" s="26">
        <v>45565.0</v>
      </c>
      <c r="C17" s="13" t="s">
        <v>24</v>
      </c>
      <c r="D17" s="13">
        <v>1.4</v>
      </c>
      <c r="E17" s="13" t="s">
        <v>22</v>
      </c>
      <c r="F17" s="13">
        <v>3.0</v>
      </c>
      <c r="G17" s="13" t="s">
        <v>23</v>
      </c>
      <c r="H17" s="23">
        <v>16.9214</v>
      </c>
      <c r="I17" s="23">
        <v>462.0</v>
      </c>
      <c r="J17" s="23">
        <v>4.689</v>
      </c>
      <c r="K17" s="23">
        <v>0.053</v>
      </c>
      <c r="L17" s="23">
        <v>161.762</v>
      </c>
      <c r="M17" s="23">
        <v>16.516</v>
      </c>
      <c r="N17" s="23">
        <v>130.96</v>
      </c>
      <c r="O17" s="23">
        <v>16.192</v>
      </c>
      <c r="P17" s="23">
        <v>78.399</v>
      </c>
      <c r="Q17" s="23">
        <v>19.533</v>
      </c>
      <c r="R17" s="23">
        <v>162.425</v>
      </c>
      <c r="S17" s="23">
        <v>15.915</v>
      </c>
      <c r="T17" s="23">
        <v>131.343</v>
      </c>
      <c r="U17" s="23">
        <v>15.815</v>
      </c>
      <c r="V17" s="23">
        <v>78.327</v>
      </c>
      <c r="W17" s="23">
        <v>19.216</v>
      </c>
      <c r="X17" s="23">
        <v>162.042</v>
      </c>
      <c r="Y17" s="23">
        <v>16.1</v>
      </c>
      <c r="Z17" s="23">
        <v>131.116</v>
      </c>
      <c r="AA17" s="23">
        <v>15.829</v>
      </c>
      <c r="AB17" s="23">
        <v>78.255</v>
      </c>
      <c r="AC17" s="23">
        <v>19.088</v>
      </c>
      <c r="AD17" s="22">
        <f t="shared" ref="AD17:AI17" si="17">AVERAGE(L17,R17,X17)</f>
        <v>162.0763333</v>
      </c>
      <c r="AE17" s="22">
        <f t="shared" si="17"/>
        <v>16.177</v>
      </c>
      <c r="AF17" s="22">
        <f t="shared" si="17"/>
        <v>131.1396667</v>
      </c>
      <c r="AG17" s="22">
        <f t="shared" si="17"/>
        <v>15.94533333</v>
      </c>
      <c r="AH17" s="22">
        <f t="shared" si="17"/>
        <v>78.327</v>
      </c>
      <c r="AI17" s="22">
        <f t="shared" si="17"/>
        <v>19.279</v>
      </c>
      <c r="AJ17" s="23"/>
      <c r="AK17" s="23"/>
      <c r="AL17" s="23"/>
      <c r="AM17" s="23"/>
    </row>
    <row r="18">
      <c r="A18" s="13" t="s">
        <v>20</v>
      </c>
      <c r="B18" s="26">
        <v>45565.0</v>
      </c>
      <c r="C18" s="13" t="s">
        <v>24</v>
      </c>
      <c r="D18" s="13">
        <v>2.1</v>
      </c>
      <c r="E18" s="13" t="s">
        <v>22</v>
      </c>
      <c r="F18" s="13">
        <v>3.0</v>
      </c>
      <c r="G18" s="13" t="s">
        <v>23</v>
      </c>
      <c r="H18" s="23">
        <v>11.0005</v>
      </c>
      <c r="I18" s="23">
        <v>555.6324</v>
      </c>
      <c r="J18" s="23">
        <v>3.255</v>
      </c>
      <c r="K18" s="23">
        <v>0.044</v>
      </c>
      <c r="L18" s="23">
        <v>142.187</v>
      </c>
      <c r="M18" s="23">
        <v>20.93</v>
      </c>
      <c r="N18" s="23">
        <v>116.069</v>
      </c>
      <c r="O18" s="23">
        <v>18.587</v>
      </c>
      <c r="P18" s="23">
        <v>55.732</v>
      </c>
      <c r="Q18" s="23">
        <v>16.748</v>
      </c>
      <c r="R18" s="23">
        <v>143.535</v>
      </c>
      <c r="S18" s="23">
        <v>19.05</v>
      </c>
      <c r="T18" s="23">
        <v>117.03</v>
      </c>
      <c r="U18" s="23">
        <v>17.186</v>
      </c>
      <c r="V18" s="23">
        <v>55.887</v>
      </c>
      <c r="W18" s="23">
        <v>16.263</v>
      </c>
      <c r="X18" s="23">
        <v>144.41</v>
      </c>
      <c r="Y18" s="23">
        <v>17.683</v>
      </c>
      <c r="Z18" s="23">
        <v>117.854</v>
      </c>
      <c r="AA18" s="23">
        <v>15.965</v>
      </c>
      <c r="AB18" s="23">
        <v>56.456</v>
      </c>
      <c r="AC18" s="23">
        <v>15.965</v>
      </c>
      <c r="AD18" s="22">
        <f t="shared" ref="AD18:AI18" si="18">AVERAGE(L18,R18,X18)</f>
        <v>143.3773333</v>
      </c>
      <c r="AE18" s="22">
        <f t="shared" si="18"/>
        <v>19.221</v>
      </c>
      <c r="AF18" s="22">
        <f t="shared" si="18"/>
        <v>116.9843333</v>
      </c>
      <c r="AG18" s="22">
        <f t="shared" si="18"/>
        <v>17.246</v>
      </c>
      <c r="AH18" s="22">
        <f t="shared" si="18"/>
        <v>56.025</v>
      </c>
      <c r="AI18" s="22">
        <f t="shared" si="18"/>
        <v>16.32533333</v>
      </c>
      <c r="AJ18" s="23"/>
      <c r="AK18" s="23"/>
      <c r="AL18" s="23"/>
      <c r="AM18" s="23"/>
    </row>
    <row r="19">
      <c r="A19" s="13" t="s">
        <v>20</v>
      </c>
      <c r="B19" s="26">
        <v>45565.0</v>
      </c>
      <c r="C19" s="13" t="s">
        <v>24</v>
      </c>
      <c r="D19" s="13">
        <v>2.2</v>
      </c>
      <c r="E19" s="13" t="s">
        <v>22</v>
      </c>
      <c r="F19" s="13">
        <v>3.0</v>
      </c>
      <c r="G19" s="13" t="s">
        <v>23</v>
      </c>
      <c r="H19" s="23">
        <v>15.1467</v>
      </c>
      <c r="I19" s="23">
        <v>525.6342</v>
      </c>
      <c r="J19" s="23">
        <v>3.196</v>
      </c>
      <c r="K19" s="23">
        <v>0.005</v>
      </c>
      <c r="L19" s="23">
        <v>152.18</v>
      </c>
      <c r="M19" s="23">
        <v>22.834</v>
      </c>
      <c r="N19" s="23">
        <v>122.168</v>
      </c>
      <c r="O19" s="23">
        <v>23.18</v>
      </c>
      <c r="P19" s="23">
        <v>51.202</v>
      </c>
      <c r="Q19" s="23">
        <v>18.285</v>
      </c>
      <c r="R19" s="23">
        <v>153.638</v>
      </c>
      <c r="S19" s="23">
        <v>21.201</v>
      </c>
      <c r="T19" s="23">
        <v>123.565</v>
      </c>
      <c r="U19" s="23">
        <v>22.021</v>
      </c>
      <c r="V19" s="23">
        <v>52.266</v>
      </c>
      <c r="W19" s="23">
        <v>18.433</v>
      </c>
      <c r="X19" s="23">
        <v>154.587</v>
      </c>
      <c r="Y19" s="23">
        <v>19.797</v>
      </c>
      <c r="Z19" s="23">
        <v>124.386</v>
      </c>
      <c r="AA19" s="23">
        <v>20.827</v>
      </c>
      <c r="AB19" s="23">
        <v>52.428</v>
      </c>
      <c r="AC19" s="23">
        <v>17.6</v>
      </c>
      <c r="AD19" s="22">
        <f t="shared" ref="AD19:AI19" si="19">AVERAGE(L19,R19,X19)</f>
        <v>153.4683333</v>
      </c>
      <c r="AE19" s="22">
        <f t="shared" si="19"/>
        <v>21.27733333</v>
      </c>
      <c r="AF19" s="22">
        <f t="shared" si="19"/>
        <v>123.373</v>
      </c>
      <c r="AG19" s="22">
        <f t="shared" si="19"/>
        <v>22.00933333</v>
      </c>
      <c r="AH19" s="22">
        <f t="shared" si="19"/>
        <v>51.96533333</v>
      </c>
      <c r="AI19" s="22">
        <f t="shared" si="19"/>
        <v>18.106</v>
      </c>
      <c r="AJ19" s="23"/>
      <c r="AK19" s="23"/>
      <c r="AL19" s="23"/>
      <c r="AM19" s="23"/>
    </row>
    <row r="20">
      <c r="A20" s="13" t="s">
        <v>20</v>
      </c>
      <c r="B20" s="26">
        <v>45565.0</v>
      </c>
      <c r="C20" s="13" t="s">
        <v>24</v>
      </c>
      <c r="D20" s="13">
        <v>2.3</v>
      </c>
      <c r="E20" s="13" t="s">
        <v>22</v>
      </c>
      <c r="F20" s="13">
        <v>3.0</v>
      </c>
      <c r="G20" s="13" t="s">
        <v>23</v>
      </c>
      <c r="H20" s="23">
        <v>15.67767</v>
      </c>
      <c r="I20" s="23">
        <v>579.6112</v>
      </c>
      <c r="J20" s="23">
        <v>3.26</v>
      </c>
      <c r="K20" s="23">
        <v>0.036</v>
      </c>
      <c r="L20" s="23">
        <v>144.939</v>
      </c>
      <c r="M20" s="23">
        <v>26.372</v>
      </c>
      <c r="N20" s="23">
        <v>112.954</v>
      </c>
      <c r="O20" s="23">
        <v>25.121</v>
      </c>
      <c r="P20" s="23">
        <v>48.04</v>
      </c>
      <c r="Q20" s="23">
        <v>19.307</v>
      </c>
      <c r="R20" s="23">
        <v>145.075</v>
      </c>
      <c r="S20" s="23">
        <v>25.942</v>
      </c>
      <c r="T20" s="23">
        <v>112.87</v>
      </c>
      <c r="U20" s="23">
        <v>24.658</v>
      </c>
      <c r="V20" s="23">
        <v>47.805</v>
      </c>
      <c r="W20" s="23">
        <v>18.785</v>
      </c>
      <c r="X20" s="23">
        <v>144.782</v>
      </c>
      <c r="Y20" s="23">
        <v>26.058</v>
      </c>
      <c r="Z20" s="23">
        <v>112.651</v>
      </c>
      <c r="AA20" s="23">
        <v>24.672</v>
      </c>
      <c r="AB20" s="23">
        <v>47.744</v>
      </c>
      <c r="AC20" s="23">
        <v>18.82</v>
      </c>
      <c r="AD20" s="22">
        <f t="shared" ref="AD20:AI20" si="20">AVERAGE(L20,R20,X20)</f>
        <v>144.932</v>
      </c>
      <c r="AE20" s="22">
        <f t="shared" si="20"/>
        <v>26.124</v>
      </c>
      <c r="AF20" s="22">
        <f t="shared" si="20"/>
        <v>112.825</v>
      </c>
      <c r="AG20" s="22">
        <f t="shared" si="20"/>
        <v>24.817</v>
      </c>
      <c r="AH20" s="22">
        <f t="shared" si="20"/>
        <v>47.863</v>
      </c>
      <c r="AI20" s="22">
        <f t="shared" si="20"/>
        <v>18.97066667</v>
      </c>
      <c r="AJ20" s="23"/>
      <c r="AK20" s="23"/>
      <c r="AL20" s="23"/>
      <c r="AM20" s="23"/>
    </row>
    <row r="21">
      <c r="A21" s="24" t="s">
        <v>20</v>
      </c>
      <c r="B21" s="26">
        <v>45565.0</v>
      </c>
      <c r="C21" s="24" t="s">
        <v>24</v>
      </c>
      <c r="D21" s="13">
        <v>2.4</v>
      </c>
      <c r="E21" s="24" t="s">
        <v>22</v>
      </c>
      <c r="F21" s="13">
        <v>3.0</v>
      </c>
      <c r="G21" s="24" t="s">
        <v>23</v>
      </c>
      <c r="H21" s="24">
        <v>14.8451</v>
      </c>
      <c r="I21" s="24">
        <v>523.2</v>
      </c>
      <c r="J21" s="24">
        <v>2.574</v>
      </c>
      <c r="K21" s="24">
        <v>0.07</v>
      </c>
      <c r="L21" s="24">
        <v>140.464</v>
      </c>
      <c r="M21" s="24">
        <v>25.099</v>
      </c>
      <c r="N21" s="24">
        <v>117.545</v>
      </c>
      <c r="O21" s="24">
        <v>22.002</v>
      </c>
      <c r="P21" s="24">
        <v>65.647</v>
      </c>
      <c r="Q21" s="24">
        <v>20.734</v>
      </c>
      <c r="R21" s="24">
        <v>140.75</v>
      </c>
      <c r="S21" s="24">
        <v>25.381</v>
      </c>
      <c r="T21" s="24">
        <v>118.026</v>
      </c>
      <c r="U21" s="24">
        <v>22.439</v>
      </c>
      <c r="V21" s="24">
        <v>66.237</v>
      </c>
      <c r="W21" s="24">
        <v>21.46</v>
      </c>
      <c r="X21" s="24">
        <v>140.969</v>
      </c>
      <c r="Y21" s="24">
        <v>24.911</v>
      </c>
      <c r="Z21" s="24">
        <v>118.265</v>
      </c>
      <c r="AA21" s="24">
        <v>21.992</v>
      </c>
      <c r="AB21" s="24">
        <v>66.471</v>
      </c>
      <c r="AC21" s="24">
        <v>21.307</v>
      </c>
      <c r="AD21" s="21">
        <f t="shared" ref="AD21:AI21" si="21">AVERAGE(L14,R14,X14)</f>
        <v>153.8036667</v>
      </c>
      <c r="AE21" s="21">
        <f t="shared" si="21"/>
        <v>19.362</v>
      </c>
      <c r="AF21" s="21">
        <f t="shared" si="21"/>
        <v>121.4523333</v>
      </c>
      <c r="AG21" s="21">
        <f t="shared" si="21"/>
        <v>17.51233333</v>
      </c>
      <c r="AH21" s="21">
        <f t="shared" si="21"/>
        <v>60.105</v>
      </c>
      <c r="AI21" s="21">
        <f t="shared" si="21"/>
        <v>16.16</v>
      </c>
      <c r="AJ21" s="22"/>
      <c r="AK21" s="22"/>
      <c r="AL21" s="22"/>
      <c r="AM21" s="22"/>
    </row>
    <row r="22">
      <c r="A22" s="13" t="s">
        <v>20</v>
      </c>
      <c r="B22" s="26">
        <v>45565.0</v>
      </c>
      <c r="C22" s="13" t="s">
        <v>24</v>
      </c>
      <c r="D22" s="13">
        <v>3.1</v>
      </c>
      <c r="E22" s="13" t="s">
        <v>22</v>
      </c>
      <c r="F22" s="13">
        <v>3.0</v>
      </c>
      <c r="G22" s="13" t="s">
        <v>23</v>
      </c>
      <c r="H22" s="23">
        <v>16.2969</v>
      </c>
      <c r="I22" s="23">
        <v>532.8216</v>
      </c>
      <c r="J22" s="23">
        <v>4.694</v>
      </c>
      <c r="K22" s="23">
        <v>0.031</v>
      </c>
      <c r="L22" s="23">
        <v>177.986</v>
      </c>
      <c r="M22" s="23">
        <v>19.555</v>
      </c>
      <c r="N22" s="23">
        <v>142.248</v>
      </c>
      <c r="O22" s="23">
        <v>20.608</v>
      </c>
      <c r="P22" s="23">
        <v>69.064</v>
      </c>
      <c r="Q22" s="23">
        <v>21.571</v>
      </c>
      <c r="R22" s="23">
        <v>177.212</v>
      </c>
      <c r="S22" s="23">
        <v>21.338</v>
      </c>
      <c r="T22" s="23">
        <v>141.613</v>
      </c>
      <c r="U22" s="23">
        <v>21.821</v>
      </c>
      <c r="V22" s="23">
        <v>68.692</v>
      </c>
      <c r="W22" s="23">
        <v>21.941</v>
      </c>
      <c r="X22" s="23">
        <v>176.694</v>
      </c>
      <c r="Y22" s="23">
        <v>22.643</v>
      </c>
      <c r="Z22" s="23">
        <v>141.174</v>
      </c>
      <c r="AA22" s="23">
        <v>22.722</v>
      </c>
      <c r="AB22" s="23">
        <v>68.566</v>
      </c>
      <c r="AC22" s="23">
        <v>22.3</v>
      </c>
      <c r="AD22" s="22">
        <f t="shared" ref="AD22:AI22" si="22">AVERAGE(L22,R22,X22)</f>
        <v>177.2973333</v>
      </c>
      <c r="AE22" s="22">
        <f t="shared" si="22"/>
        <v>21.17866667</v>
      </c>
      <c r="AF22" s="22">
        <f t="shared" si="22"/>
        <v>141.6783333</v>
      </c>
      <c r="AG22" s="22">
        <f t="shared" si="22"/>
        <v>21.717</v>
      </c>
      <c r="AH22" s="22">
        <f t="shared" si="22"/>
        <v>68.774</v>
      </c>
      <c r="AI22" s="22">
        <f t="shared" si="22"/>
        <v>21.93733333</v>
      </c>
      <c r="AJ22" s="22"/>
      <c r="AK22" s="22"/>
      <c r="AL22" s="22"/>
      <c r="AM22" s="22"/>
    </row>
    <row r="23">
      <c r="A23" s="13" t="s">
        <v>20</v>
      </c>
      <c r="B23" s="26">
        <v>45565.0</v>
      </c>
      <c r="C23" s="13" t="s">
        <v>24</v>
      </c>
      <c r="D23" s="13">
        <v>3.2</v>
      </c>
      <c r="E23" s="13" t="s">
        <v>22</v>
      </c>
      <c r="F23" s="13">
        <v>3.0</v>
      </c>
      <c r="G23" s="13" t="s">
        <v>23</v>
      </c>
      <c r="H23" s="23">
        <v>14.1858</v>
      </c>
      <c r="I23" s="23">
        <v>553.2325</v>
      </c>
      <c r="J23" s="23">
        <v>4.834</v>
      </c>
      <c r="K23" s="23">
        <v>0.009</v>
      </c>
      <c r="L23" s="23">
        <v>161.359</v>
      </c>
      <c r="M23" s="23">
        <v>27.991</v>
      </c>
      <c r="N23" s="23">
        <v>127.052</v>
      </c>
      <c r="O23" s="23">
        <v>27.066</v>
      </c>
      <c r="P23" s="23">
        <v>61.848</v>
      </c>
      <c r="Q23" s="23">
        <v>22.064</v>
      </c>
      <c r="R23" s="23">
        <v>161.89</v>
      </c>
      <c r="S23" s="23">
        <v>27.273</v>
      </c>
      <c r="T23" s="23">
        <v>127.566</v>
      </c>
      <c r="U23" s="23">
        <v>26.651</v>
      </c>
      <c r="V23" s="23">
        <v>62.245</v>
      </c>
      <c r="W23" s="23">
        <v>22.251</v>
      </c>
      <c r="X23" s="23">
        <v>160.501</v>
      </c>
      <c r="Y23" s="23">
        <v>29.114</v>
      </c>
      <c r="Z23" s="23">
        <v>126.516</v>
      </c>
      <c r="AA23" s="23">
        <v>27.829</v>
      </c>
      <c r="AB23" s="23">
        <v>61.621</v>
      </c>
      <c r="AC23" s="23">
        <v>22.774</v>
      </c>
      <c r="AD23" s="22">
        <f t="shared" ref="AD23:AI23" si="23">AVERAGE(L23,R23,X23)</f>
        <v>161.25</v>
      </c>
      <c r="AE23" s="22">
        <f t="shared" si="23"/>
        <v>28.126</v>
      </c>
      <c r="AF23" s="22">
        <f t="shared" si="23"/>
        <v>127.0446667</v>
      </c>
      <c r="AG23" s="22">
        <f t="shared" si="23"/>
        <v>27.182</v>
      </c>
      <c r="AH23" s="22">
        <f t="shared" si="23"/>
        <v>61.90466667</v>
      </c>
      <c r="AI23" s="22">
        <f t="shared" si="23"/>
        <v>22.363</v>
      </c>
      <c r="AJ23" s="22"/>
      <c r="AK23" s="22"/>
      <c r="AL23" s="22"/>
      <c r="AM23" s="22"/>
    </row>
    <row r="24">
      <c r="A24" s="13" t="s">
        <v>20</v>
      </c>
      <c r="B24" s="26">
        <v>45565.0</v>
      </c>
      <c r="C24" s="13" t="s">
        <v>24</v>
      </c>
      <c r="D24" s="13">
        <v>3.3</v>
      </c>
      <c r="E24" s="13" t="s">
        <v>22</v>
      </c>
      <c r="F24" s="13">
        <v>3.0</v>
      </c>
      <c r="G24" s="13" t="s">
        <v>23</v>
      </c>
      <c r="H24" s="23">
        <v>15.7342</v>
      </c>
      <c r="I24" s="23">
        <v>577.205</v>
      </c>
      <c r="J24" s="23">
        <v>5.016</v>
      </c>
      <c r="K24" s="23">
        <v>0.033</v>
      </c>
      <c r="L24" s="23">
        <v>159.119</v>
      </c>
      <c r="M24" s="23">
        <v>27.482</v>
      </c>
      <c r="N24" s="23">
        <v>124.019</v>
      </c>
      <c r="O24" s="23">
        <v>26.51</v>
      </c>
      <c r="P24" s="23">
        <v>59.989</v>
      </c>
      <c r="Q24" s="23">
        <v>22.104</v>
      </c>
      <c r="R24" s="23">
        <v>159.066</v>
      </c>
      <c r="S24" s="23">
        <v>27.541</v>
      </c>
      <c r="T24" s="23">
        <v>124.158</v>
      </c>
      <c r="U24" s="23">
        <v>26.617</v>
      </c>
      <c r="V24" s="23">
        <v>60.437</v>
      </c>
      <c r="W24" s="23">
        <v>22.628</v>
      </c>
      <c r="X24" s="23">
        <v>159.283</v>
      </c>
      <c r="Y24" s="23">
        <v>27.278</v>
      </c>
      <c r="Z24" s="23">
        <v>124.177</v>
      </c>
      <c r="AA24" s="23">
        <v>26.47</v>
      </c>
      <c r="AB24" s="23">
        <v>60.181</v>
      </c>
      <c r="AC24" s="23">
        <v>22.275</v>
      </c>
      <c r="AD24" s="22">
        <f t="shared" ref="AD24:AI24" si="24">AVERAGE(L24,R24,X24)</f>
        <v>159.156</v>
      </c>
      <c r="AE24" s="22">
        <f t="shared" si="24"/>
        <v>27.43366667</v>
      </c>
      <c r="AF24" s="22">
        <f t="shared" si="24"/>
        <v>124.118</v>
      </c>
      <c r="AG24" s="22">
        <f t="shared" si="24"/>
        <v>26.53233333</v>
      </c>
      <c r="AH24" s="22">
        <f t="shared" si="24"/>
        <v>60.20233333</v>
      </c>
      <c r="AI24" s="22">
        <f t="shared" si="24"/>
        <v>22.33566667</v>
      </c>
      <c r="AJ24" s="22"/>
      <c r="AK24" s="22"/>
      <c r="AL24" s="22"/>
      <c r="AM24" s="22"/>
    </row>
    <row r="25">
      <c r="A25" s="13" t="s">
        <v>20</v>
      </c>
      <c r="B25" s="26">
        <v>45565.0</v>
      </c>
      <c r="C25" s="13" t="s">
        <v>24</v>
      </c>
      <c r="D25" s="13">
        <v>3.4</v>
      </c>
      <c r="E25" s="13" t="s">
        <v>22</v>
      </c>
      <c r="F25" s="13">
        <v>3.0</v>
      </c>
      <c r="G25" s="13" t="s">
        <v>23</v>
      </c>
      <c r="H25" s="23">
        <v>21.8445</v>
      </c>
      <c r="I25" s="23">
        <v>469.2061</v>
      </c>
      <c r="J25" s="23">
        <v>6.33</v>
      </c>
      <c r="K25" s="23">
        <v>0.058</v>
      </c>
      <c r="L25" s="23">
        <v>177.48</v>
      </c>
      <c r="M25" s="23">
        <v>23.988</v>
      </c>
      <c r="N25" s="23">
        <v>145.143</v>
      </c>
      <c r="O25" s="23">
        <v>24.897</v>
      </c>
      <c r="P25" s="23">
        <v>95.039</v>
      </c>
      <c r="Q25" s="23">
        <v>25.029</v>
      </c>
      <c r="R25" s="23">
        <v>177.477</v>
      </c>
      <c r="S25" s="23">
        <v>23.793</v>
      </c>
      <c r="T25" s="23">
        <v>145.152</v>
      </c>
      <c r="U25" s="23">
        <v>24.777</v>
      </c>
      <c r="V25" s="23">
        <v>95.106</v>
      </c>
      <c r="W25" s="23">
        <v>25.067</v>
      </c>
      <c r="X25" s="23">
        <v>177.012</v>
      </c>
      <c r="Y25" s="23">
        <v>24.548</v>
      </c>
      <c r="Z25" s="23">
        <v>144.818</v>
      </c>
      <c r="AA25" s="23">
        <v>25.287</v>
      </c>
      <c r="AB25" s="23">
        <v>94.917</v>
      </c>
      <c r="AC25" s="23">
        <v>25.456</v>
      </c>
      <c r="AD25" s="22">
        <f t="shared" ref="AD25:AI25" si="25">AVERAGE(L25,R25,X25)</f>
        <v>177.323</v>
      </c>
      <c r="AE25" s="22">
        <f t="shared" si="25"/>
        <v>24.10966667</v>
      </c>
      <c r="AF25" s="22">
        <f t="shared" si="25"/>
        <v>145.0376667</v>
      </c>
      <c r="AG25" s="22">
        <f t="shared" si="25"/>
        <v>24.987</v>
      </c>
      <c r="AH25" s="22">
        <f t="shared" si="25"/>
        <v>95.02066667</v>
      </c>
      <c r="AI25" s="22">
        <f t="shared" si="25"/>
        <v>25.184</v>
      </c>
      <c r="AJ25" s="22"/>
      <c r="AK25" s="22"/>
      <c r="AL25" s="22"/>
      <c r="AM25" s="22"/>
    </row>
    <row r="26">
      <c r="A26" s="13" t="s">
        <v>20</v>
      </c>
      <c r="B26" s="26">
        <v>45565.0</v>
      </c>
      <c r="C26" s="13" t="s">
        <v>25</v>
      </c>
      <c r="D26" s="13">
        <v>1.1</v>
      </c>
      <c r="E26" s="13" t="s">
        <v>22</v>
      </c>
      <c r="F26" s="13">
        <v>3.0</v>
      </c>
      <c r="G26" s="13" t="s">
        <v>23</v>
      </c>
      <c r="H26" s="23">
        <v>17.2765</v>
      </c>
      <c r="I26" s="23">
        <v>500.4058</v>
      </c>
      <c r="J26" s="23">
        <v>3.821</v>
      </c>
      <c r="K26" s="23">
        <v>0.062</v>
      </c>
      <c r="L26" s="23">
        <v>121.636</v>
      </c>
      <c r="M26" s="23">
        <v>22.546</v>
      </c>
      <c r="N26" s="23">
        <v>99.764</v>
      </c>
      <c r="O26" s="23">
        <v>23.962</v>
      </c>
      <c r="P26" s="23">
        <v>50.826</v>
      </c>
      <c r="Q26" s="23">
        <v>18.598</v>
      </c>
      <c r="R26" s="23">
        <v>120.786</v>
      </c>
      <c r="S26" s="23">
        <v>22.598</v>
      </c>
      <c r="T26" s="23">
        <v>98.902</v>
      </c>
      <c r="U26" s="23">
        <v>23.835</v>
      </c>
      <c r="V26" s="23">
        <v>50.243</v>
      </c>
      <c r="W26" s="23">
        <v>18.289</v>
      </c>
      <c r="X26" s="23">
        <v>121.26</v>
      </c>
      <c r="Y26" s="23">
        <v>22.429</v>
      </c>
      <c r="Z26" s="23">
        <v>99.429</v>
      </c>
      <c r="AA26" s="23">
        <v>23.787</v>
      </c>
      <c r="AB26" s="13">
        <v>50.616</v>
      </c>
      <c r="AC26" s="23">
        <v>18.456</v>
      </c>
      <c r="AD26" s="22">
        <f t="shared" ref="AD26:AG26" si="26">AVERAGE(L26,R26,X26)</f>
        <v>121.2273333</v>
      </c>
      <c r="AE26" s="22">
        <f t="shared" si="26"/>
        <v>22.52433333</v>
      </c>
      <c r="AF26" s="22">
        <f t="shared" si="26"/>
        <v>99.365</v>
      </c>
      <c r="AG26" s="22">
        <f t="shared" si="26"/>
        <v>23.86133333</v>
      </c>
      <c r="AH26" s="22">
        <f>AVERAGE(P26,V26,AC26)</f>
        <v>39.84166667</v>
      </c>
      <c r="AI26" s="22">
        <f>AVERAGE(Q26,W26,AC26)</f>
        <v>18.44766667</v>
      </c>
      <c r="AJ26" s="22"/>
      <c r="AK26" s="22"/>
      <c r="AL26" s="22"/>
      <c r="AM26" s="22"/>
    </row>
    <row r="27">
      <c r="A27" s="13" t="s">
        <v>20</v>
      </c>
      <c r="B27" s="26">
        <v>45565.0</v>
      </c>
      <c r="C27" s="13" t="s">
        <v>25</v>
      </c>
      <c r="D27" s="13">
        <v>1.2</v>
      </c>
      <c r="E27" s="13" t="s">
        <v>22</v>
      </c>
      <c r="F27" s="13">
        <v>3.0</v>
      </c>
      <c r="G27" s="13" t="s">
        <v>23</v>
      </c>
      <c r="H27" s="23">
        <v>14.4984</v>
      </c>
      <c r="I27" s="23">
        <v>577.4108</v>
      </c>
      <c r="J27" s="23">
        <v>3.993</v>
      </c>
      <c r="K27" s="23">
        <v>0.064</v>
      </c>
      <c r="L27" s="23">
        <v>133.683</v>
      </c>
      <c r="M27" s="23">
        <v>27.771</v>
      </c>
      <c r="N27" s="23">
        <v>109.433</v>
      </c>
      <c r="O27" s="23">
        <v>28.462</v>
      </c>
      <c r="P27" s="23">
        <v>53.721</v>
      </c>
      <c r="Q27" s="23">
        <v>24.48</v>
      </c>
      <c r="R27" s="23">
        <v>133.51</v>
      </c>
      <c r="S27" s="23">
        <v>27.608</v>
      </c>
      <c r="T27" s="23">
        <v>109.366</v>
      </c>
      <c r="U27" s="23">
        <v>28.307</v>
      </c>
      <c r="V27" s="23">
        <v>53.685</v>
      </c>
      <c r="W27" s="23">
        <v>24.498</v>
      </c>
      <c r="X27" s="23">
        <v>133.01</v>
      </c>
      <c r="Y27" s="23">
        <v>27.372</v>
      </c>
      <c r="Z27" s="23">
        <v>108.878</v>
      </c>
      <c r="AA27" s="23">
        <v>28.137</v>
      </c>
      <c r="AB27" s="23">
        <v>53.363</v>
      </c>
      <c r="AC27" s="23">
        <v>24.475</v>
      </c>
      <c r="AD27" s="22">
        <f t="shared" ref="AD27:AI27" si="27">AVERAGE(L27,R27,X27)</f>
        <v>133.401</v>
      </c>
      <c r="AE27" s="22">
        <f t="shared" si="27"/>
        <v>27.58366667</v>
      </c>
      <c r="AF27" s="22">
        <f t="shared" si="27"/>
        <v>109.2256667</v>
      </c>
      <c r="AG27" s="22">
        <f t="shared" si="27"/>
        <v>28.302</v>
      </c>
      <c r="AH27" s="22">
        <f t="shared" si="27"/>
        <v>53.58966667</v>
      </c>
      <c r="AI27" s="22">
        <f t="shared" si="27"/>
        <v>24.48433333</v>
      </c>
      <c r="AJ27" s="22"/>
      <c r="AK27" s="22"/>
      <c r="AL27" s="22"/>
      <c r="AM27" s="22"/>
    </row>
    <row r="28">
      <c r="A28" s="13" t="s">
        <v>20</v>
      </c>
      <c r="B28" s="26">
        <v>45565.0</v>
      </c>
      <c r="C28" s="13" t="s">
        <v>25</v>
      </c>
      <c r="D28" s="13">
        <v>1.3</v>
      </c>
      <c r="E28" s="13" t="s">
        <v>22</v>
      </c>
      <c r="F28" s="13">
        <v>3.0</v>
      </c>
      <c r="G28" s="13" t="s">
        <v>23</v>
      </c>
      <c r="H28" s="23">
        <v>16.4008</v>
      </c>
      <c r="I28" s="23">
        <v>523.2014</v>
      </c>
      <c r="J28" s="23">
        <v>3.429</v>
      </c>
      <c r="K28" s="23">
        <v>0.1</v>
      </c>
      <c r="L28" s="23">
        <v>133.528</v>
      </c>
      <c r="M28" s="23">
        <v>28.189</v>
      </c>
      <c r="N28" s="23">
        <v>107.736</v>
      </c>
      <c r="O28" s="23">
        <v>29.83</v>
      </c>
      <c r="P28" s="23">
        <v>49.981</v>
      </c>
      <c r="Q28" s="23">
        <v>24.483</v>
      </c>
      <c r="R28" s="23">
        <v>133.425</v>
      </c>
      <c r="S28" s="23">
        <v>28.253</v>
      </c>
      <c r="T28" s="23">
        <v>107.539</v>
      </c>
      <c r="U28" s="23">
        <v>29.866</v>
      </c>
      <c r="V28" s="23">
        <v>49.826</v>
      </c>
      <c r="W28" s="23">
        <v>24.483</v>
      </c>
      <c r="X28" s="23">
        <v>133.307</v>
      </c>
      <c r="Y28" s="23">
        <v>28.37</v>
      </c>
      <c r="Z28" s="23">
        <v>107.445</v>
      </c>
      <c r="AA28" s="23">
        <v>29.929</v>
      </c>
      <c r="AB28" s="23">
        <v>49.782</v>
      </c>
      <c r="AC28" s="23">
        <v>24.375</v>
      </c>
      <c r="AD28" s="22">
        <f t="shared" ref="AD28:AI28" si="28">AVERAGE(L28,R28,X28)</f>
        <v>133.42</v>
      </c>
      <c r="AE28" s="22">
        <f t="shared" si="28"/>
        <v>28.27066667</v>
      </c>
      <c r="AF28" s="22">
        <f t="shared" si="28"/>
        <v>107.5733333</v>
      </c>
      <c r="AG28" s="22">
        <f t="shared" si="28"/>
        <v>29.875</v>
      </c>
      <c r="AH28" s="22">
        <f t="shared" si="28"/>
        <v>49.863</v>
      </c>
      <c r="AI28" s="22">
        <f t="shared" si="28"/>
        <v>24.447</v>
      </c>
      <c r="AJ28" s="22"/>
      <c r="AK28" s="22"/>
      <c r="AL28" s="22"/>
      <c r="AM28" s="22"/>
    </row>
    <row r="29">
      <c r="A29" s="13" t="s">
        <v>20</v>
      </c>
      <c r="B29" s="26">
        <v>45565.0</v>
      </c>
      <c r="C29" s="13" t="s">
        <v>25</v>
      </c>
      <c r="D29" s="13">
        <v>1.4</v>
      </c>
      <c r="E29" s="13" t="s">
        <v>22</v>
      </c>
      <c r="F29" s="13">
        <v>3.0</v>
      </c>
      <c r="G29" s="13" t="s">
        <v>23</v>
      </c>
      <c r="H29" s="23">
        <v>20.49</v>
      </c>
      <c r="I29" s="23">
        <v>523.2</v>
      </c>
      <c r="J29" s="23">
        <v>2.523</v>
      </c>
      <c r="K29" s="23">
        <v>0.045</v>
      </c>
      <c r="L29" s="23">
        <v>141.404</v>
      </c>
      <c r="M29" s="23">
        <v>24.528</v>
      </c>
      <c r="N29" s="23">
        <v>118.638</v>
      </c>
      <c r="O29" s="23">
        <v>21.707</v>
      </c>
      <c r="P29" s="23">
        <v>66.81</v>
      </c>
      <c r="Q29" s="23">
        <v>21.192</v>
      </c>
      <c r="R29" s="23">
        <v>141.79</v>
      </c>
      <c r="S29" s="23">
        <v>23.531</v>
      </c>
      <c r="T29" s="23">
        <v>118.806</v>
      </c>
      <c r="U29" s="23">
        <v>20.756</v>
      </c>
      <c r="V29" s="23">
        <v>66.765</v>
      </c>
      <c r="W29" s="23">
        <v>20.46</v>
      </c>
      <c r="X29" s="23">
        <v>141.344</v>
      </c>
      <c r="Y29" s="23">
        <v>24.149</v>
      </c>
      <c r="Z29" s="23">
        <v>118.417</v>
      </c>
      <c r="AA29" s="23">
        <v>21.203</v>
      </c>
      <c r="AB29" s="23">
        <v>66.409</v>
      </c>
      <c r="AC29" s="23">
        <v>20.589</v>
      </c>
      <c r="AD29" s="22">
        <f t="shared" ref="AD29:AI29" si="29">AVERAGE(L29,R29,X29)</f>
        <v>141.5126667</v>
      </c>
      <c r="AE29" s="22">
        <f t="shared" si="29"/>
        <v>24.06933333</v>
      </c>
      <c r="AF29" s="22">
        <f t="shared" si="29"/>
        <v>118.6203333</v>
      </c>
      <c r="AG29" s="22">
        <f t="shared" si="29"/>
        <v>21.222</v>
      </c>
      <c r="AH29" s="22">
        <f t="shared" si="29"/>
        <v>66.66133333</v>
      </c>
      <c r="AI29" s="22">
        <f t="shared" si="29"/>
        <v>20.747</v>
      </c>
      <c r="AJ29" s="22"/>
      <c r="AK29" s="22"/>
      <c r="AL29" s="22"/>
      <c r="AM29" s="22"/>
    </row>
    <row r="30">
      <c r="A30" s="13" t="s">
        <v>20</v>
      </c>
      <c r="B30" s="26">
        <v>45565.0</v>
      </c>
      <c r="C30" s="13" t="s">
        <v>25</v>
      </c>
      <c r="D30" s="13">
        <v>2.1</v>
      </c>
      <c r="E30" s="13" t="s">
        <v>22</v>
      </c>
      <c r="F30" s="13">
        <v>3.0</v>
      </c>
      <c r="G30" s="13" t="s">
        <v>23</v>
      </c>
      <c r="H30" s="23">
        <v>19.4535</v>
      </c>
      <c r="I30" s="23">
        <v>558.0323</v>
      </c>
      <c r="J30" s="23">
        <v>5.013</v>
      </c>
      <c r="K30" s="23">
        <v>0.052</v>
      </c>
      <c r="L30" s="23">
        <v>135.856</v>
      </c>
      <c r="M30" s="23">
        <v>25.911</v>
      </c>
      <c r="N30" s="23">
        <v>109.239</v>
      </c>
      <c r="O30" s="23">
        <v>26.893</v>
      </c>
      <c r="P30" s="23">
        <v>53.242</v>
      </c>
      <c r="Q30" s="23">
        <v>21.759</v>
      </c>
      <c r="R30" s="23">
        <v>136.985</v>
      </c>
      <c r="S30" s="23">
        <v>24.453</v>
      </c>
      <c r="T30" s="23">
        <v>110.172</v>
      </c>
      <c r="U30" s="23">
        <v>25.914</v>
      </c>
      <c r="V30" s="23">
        <v>52.728</v>
      </c>
      <c r="W30" s="23">
        <v>21.43</v>
      </c>
      <c r="X30" s="23">
        <v>136.93</v>
      </c>
      <c r="Y30" s="23">
        <v>24.497</v>
      </c>
      <c r="Z30" s="23">
        <v>110.138</v>
      </c>
      <c r="AA30" s="23">
        <v>25.94</v>
      </c>
      <c r="AB30" s="23">
        <v>52.732</v>
      </c>
      <c r="AC30" s="23">
        <v>21.439</v>
      </c>
      <c r="AD30" s="22">
        <f t="shared" ref="AD30:AI30" si="30">AVERAGE(L30,R30,X30)</f>
        <v>136.5903333</v>
      </c>
      <c r="AE30" s="22">
        <f t="shared" si="30"/>
        <v>24.95366667</v>
      </c>
      <c r="AF30" s="22">
        <f t="shared" si="30"/>
        <v>109.8496667</v>
      </c>
      <c r="AG30" s="22">
        <f t="shared" si="30"/>
        <v>26.249</v>
      </c>
      <c r="AH30" s="22">
        <f t="shared" si="30"/>
        <v>52.90066667</v>
      </c>
      <c r="AI30" s="22">
        <f t="shared" si="30"/>
        <v>21.54266667</v>
      </c>
      <c r="AJ30" s="22"/>
      <c r="AK30" s="22"/>
      <c r="AL30" s="22"/>
      <c r="AM30" s="22"/>
    </row>
    <row r="31">
      <c r="A31" s="13" t="s">
        <v>20</v>
      </c>
      <c r="B31" s="26">
        <v>45565.0</v>
      </c>
      <c r="C31" s="13" t="s">
        <v>25</v>
      </c>
      <c r="D31" s="13">
        <v>2.2</v>
      </c>
      <c r="E31" s="13" t="s">
        <v>22</v>
      </c>
      <c r="F31" s="13">
        <v>3.0</v>
      </c>
      <c r="G31" s="13" t="s">
        <v>23</v>
      </c>
      <c r="H31" s="23">
        <v>22.7414</v>
      </c>
      <c r="I31" s="23">
        <v>547.2329</v>
      </c>
      <c r="J31" s="23">
        <v>6.224</v>
      </c>
      <c r="K31" s="23">
        <v>0.025</v>
      </c>
      <c r="L31" s="23">
        <v>152.913</v>
      </c>
      <c r="M31" s="23">
        <v>30.589</v>
      </c>
      <c r="N31" s="23">
        <v>126.194</v>
      </c>
      <c r="O31" s="23">
        <v>32.897</v>
      </c>
      <c r="P31" s="23">
        <v>64.973</v>
      </c>
      <c r="Q31" s="23">
        <v>30.393</v>
      </c>
      <c r="R31" s="23">
        <v>153.554</v>
      </c>
      <c r="S31" s="23">
        <v>29.85</v>
      </c>
      <c r="T31" s="23">
        <v>126.608</v>
      </c>
      <c r="U31" s="23">
        <v>32.558</v>
      </c>
      <c r="V31" s="23">
        <v>64.97</v>
      </c>
      <c r="W31" s="23">
        <v>30.378</v>
      </c>
      <c r="X31" s="23">
        <v>153.985</v>
      </c>
      <c r="Y31" s="23">
        <v>29.581</v>
      </c>
      <c r="Z31" s="23">
        <v>127.001</v>
      </c>
      <c r="AA31" s="23">
        <v>32.289</v>
      </c>
      <c r="AB31" s="23">
        <v>65.185</v>
      </c>
      <c r="AC31" s="23">
        <v>30.386</v>
      </c>
      <c r="AD31" s="22">
        <f t="shared" ref="AD31:AI31" si="31">AVERAGE(L31,R31,X31)</f>
        <v>153.484</v>
      </c>
      <c r="AE31" s="22">
        <f t="shared" si="31"/>
        <v>30.00666667</v>
      </c>
      <c r="AF31" s="22">
        <f t="shared" si="31"/>
        <v>126.601</v>
      </c>
      <c r="AG31" s="22">
        <f t="shared" si="31"/>
        <v>32.58133333</v>
      </c>
      <c r="AH31" s="22">
        <f t="shared" si="31"/>
        <v>65.04266667</v>
      </c>
      <c r="AI31" s="22">
        <f t="shared" si="31"/>
        <v>30.38566667</v>
      </c>
      <c r="AJ31" s="22"/>
      <c r="AK31" s="22"/>
      <c r="AL31" s="22"/>
      <c r="AM31" s="22"/>
    </row>
    <row r="32">
      <c r="A32" s="13" t="s">
        <v>20</v>
      </c>
      <c r="B32" s="26">
        <v>45565.0</v>
      </c>
      <c r="C32" s="13" t="s">
        <v>25</v>
      </c>
      <c r="D32" s="13">
        <v>2.3</v>
      </c>
      <c r="E32" s="13" t="s">
        <v>22</v>
      </c>
      <c r="F32" s="13">
        <v>3.0</v>
      </c>
      <c r="G32" s="13" t="s">
        <v>23</v>
      </c>
      <c r="H32" s="23">
        <v>16.435</v>
      </c>
      <c r="I32" s="23">
        <v>571.205</v>
      </c>
      <c r="J32" s="23">
        <v>5.151</v>
      </c>
      <c r="K32" s="23">
        <v>0.066</v>
      </c>
      <c r="L32" s="23">
        <v>147.129</v>
      </c>
      <c r="M32" s="23">
        <v>24.446</v>
      </c>
      <c r="N32" s="23">
        <v>119.33</v>
      </c>
      <c r="O32" s="23">
        <v>26.411</v>
      </c>
      <c r="P32" s="23">
        <v>54.848</v>
      </c>
      <c r="Q32" s="23">
        <v>23.853</v>
      </c>
      <c r="R32" s="23">
        <v>147.513</v>
      </c>
      <c r="S32" s="23">
        <v>24.102</v>
      </c>
      <c r="T32" s="23">
        <v>119.659</v>
      </c>
      <c r="U32" s="23">
        <v>26.19</v>
      </c>
      <c r="V32" s="23">
        <v>54.887</v>
      </c>
      <c r="W32" s="23">
        <v>23.767</v>
      </c>
      <c r="X32" s="23">
        <v>147.701</v>
      </c>
      <c r="Y32" s="23">
        <v>23.887</v>
      </c>
      <c r="Z32" s="23">
        <v>119.826</v>
      </c>
      <c r="AA32" s="23">
        <v>26.059</v>
      </c>
      <c r="AB32" s="23">
        <v>55.071</v>
      </c>
      <c r="AC32" s="23">
        <v>23.788</v>
      </c>
      <c r="AD32" s="22">
        <f t="shared" ref="AD32:AI32" si="32">AVERAGE(L32,R32,X32)</f>
        <v>147.4476667</v>
      </c>
      <c r="AE32" s="22">
        <f t="shared" si="32"/>
        <v>24.145</v>
      </c>
      <c r="AF32" s="22">
        <f t="shared" si="32"/>
        <v>119.605</v>
      </c>
      <c r="AG32" s="22">
        <f t="shared" si="32"/>
        <v>26.22</v>
      </c>
      <c r="AH32" s="22">
        <f t="shared" si="32"/>
        <v>54.93533333</v>
      </c>
      <c r="AI32" s="22">
        <f t="shared" si="32"/>
        <v>23.80266667</v>
      </c>
      <c r="AJ32" s="22"/>
      <c r="AK32" s="22"/>
      <c r="AL32" s="22"/>
      <c r="AM32" s="22"/>
    </row>
    <row r="33">
      <c r="A33" s="13" t="s">
        <v>20</v>
      </c>
      <c r="B33" s="26">
        <v>45565.0</v>
      </c>
      <c r="C33" s="13" t="s">
        <v>25</v>
      </c>
      <c r="D33" s="13">
        <v>2.4</v>
      </c>
      <c r="E33" s="13" t="s">
        <v>22</v>
      </c>
      <c r="F33" s="13">
        <v>3.0</v>
      </c>
      <c r="G33" s="13" t="s">
        <v>23</v>
      </c>
      <c r="H33" s="23">
        <v>18.4861</v>
      </c>
      <c r="I33" s="23">
        <v>494.4015</v>
      </c>
      <c r="J33" s="23">
        <v>4.584</v>
      </c>
      <c r="K33" s="23">
        <v>0.018</v>
      </c>
      <c r="L33" s="23">
        <v>136.651</v>
      </c>
      <c r="M33" s="23">
        <v>27.913</v>
      </c>
      <c r="N33" s="23">
        <v>116.39</v>
      </c>
      <c r="O33" s="23">
        <v>29.517</v>
      </c>
      <c r="P33" s="23">
        <v>73.272</v>
      </c>
      <c r="Q33" s="23">
        <v>27.205</v>
      </c>
      <c r="R33" s="23">
        <v>136.248</v>
      </c>
      <c r="S33" s="23">
        <v>27.889</v>
      </c>
      <c r="T33" s="23">
        <v>116.013</v>
      </c>
      <c r="U33" s="23">
        <v>29.47</v>
      </c>
      <c r="V33" s="23">
        <v>72.91</v>
      </c>
      <c r="W33" s="23">
        <v>27.089</v>
      </c>
      <c r="X33" s="23">
        <v>136.216</v>
      </c>
      <c r="Y33" s="23">
        <v>27.791</v>
      </c>
      <c r="Z33" s="23">
        <v>116.034</v>
      </c>
      <c r="AA33" s="23">
        <v>29.39</v>
      </c>
      <c r="AB33" s="23">
        <v>72.973</v>
      </c>
      <c r="AC33" s="23">
        <v>27.065</v>
      </c>
      <c r="AD33" s="22">
        <f t="shared" ref="AD33:AI33" si="33">AVERAGE(L33,R33,X33)</f>
        <v>136.3716667</v>
      </c>
      <c r="AE33" s="22">
        <f t="shared" si="33"/>
        <v>27.86433333</v>
      </c>
      <c r="AF33" s="22">
        <f t="shared" si="33"/>
        <v>116.1456667</v>
      </c>
      <c r="AG33" s="22">
        <f t="shared" si="33"/>
        <v>29.459</v>
      </c>
      <c r="AH33" s="22">
        <f t="shared" si="33"/>
        <v>73.05166667</v>
      </c>
      <c r="AI33" s="22">
        <f t="shared" si="33"/>
        <v>27.11966667</v>
      </c>
      <c r="AJ33" s="22"/>
      <c r="AK33" s="22"/>
      <c r="AL33" s="22"/>
      <c r="AM33" s="22"/>
    </row>
    <row r="34">
      <c r="A34" s="13" t="s">
        <v>20</v>
      </c>
      <c r="B34" s="26">
        <v>45565.0</v>
      </c>
      <c r="C34" s="13" t="s">
        <v>25</v>
      </c>
      <c r="D34" s="13">
        <v>3.1</v>
      </c>
      <c r="E34" s="13" t="s">
        <v>22</v>
      </c>
      <c r="F34" s="13">
        <v>3.0</v>
      </c>
      <c r="G34" s="13" t="s">
        <v>23</v>
      </c>
      <c r="H34" s="23">
        <v>18.089</v>
      </c>
      <c r="I34" s="23">
        <v>537.6335</v>
      </c>
      <c r="J34" s="23">
        <v>3.394</v>
      </c>
      <c r="K34" s="23">
        <v>0.06</v>
      </c>
      <c r="L34" s="23">
        <v>142.11</v>
      </c>
      <c r="M34" s="23">
        <v>26.475</v>
      </c>
      <c r="N34" s="23">
        <v>115.603</v>
      </c>
      <c r="O34" s="23">
        <v>28.162</v>
      </c>
      <c r="P34" s="23">
        <v>53.746</v>
      </c>
      <c r="Q34" s="13">
        <v>26.83</v>
      </c>
      <c r="R34" s="23">
        <v>143.123</v>
      </c>
      <c r="S34" s="23">
        <v>26.734</v>
      </c>
      <c r="T34" s="23">
        <v>116.674</v>
      </c>
      <c r="U34" s="23">
        <v>28.831</v>
      </c>
      <c r="V34" s="23">
        <v>54.718</v>
      </c>
      <c r="W34" s="23">
        <v>26.827</v>
      </c>
      <c r="X34" s="23">
        <v>141.891</v>
      </c>
      <c r="Y34" s="23">
        <v>26.595</v>
      </c>
      <c r="Z34" s="23">
        <v>115.214</v>
      </c>
      <c r="AA34" s="23">
        <v>28.291</v>
      </c>
      <c r="AB34" s="23">
        <v>53.456</v>
      </c>
      <c r="AC34" s="23">
        <v>25.596</v>
      </c>
      <c r="AD34" s="22">
        <f>AVERAGE(L34,R43,X34)</f>
        <v>142.1853333</v>
      </c>
      <c r="AE34" s="22">
        <f t="shared" ref="AE34:AH34" si="34">AVERAGE(M34,S34,Y34)</f>
        <v>26.60133333</v>
      </c>
      <c r="AF34" s="22">
        <f t="shared" si="34"/>
        <v>115.8303333</v>
      </c>
      <c r="AG34" s="22">
        <f t="shared" si="34"/>
        <v>28.428</v>
      </c>
      <c r="AH34" s="22">
        <f t="shared" si="34"/>
        <v>53.97333333</v>
      </c>
      <c r="AI34" s="22">
        <f>AVERAGE(R34,W34,AC34)</f>
        <v>65.182</v>
      </c>
      <c r="AJ34" s="22"/>
      <c r="AK34" s="22"/>
      <c r="AL34" s="22"/>
      <c r="AM34" s="22"/>
    </row>
    <row r="35">
      <c r="A35" s="13" t="s">
        <v>20</v>
      </c>
      <c r="B35" s="26">
        <v>45565.0</v>
      </c>
      <c r="C35" s="13" t="s">
        <v>25</v>
      </c>
      <c r="D35" s="13">
        <v>3.2</v>
      </c>
      <c r="E35" s="13" t="s">
        <v>22</v>
      </c>
      <c r="F35" s="13">
        <v>3.0</v>
      </c>
      <c r="G35" s="13" t="s">
        <v>23</v>
      </c>
      <c r="H35" s="23">
        <v>18.3276</v>
      </c>
      <c r="I35" s="23">
        <v>574.8113</v>
      </c>
      <c r="J35" s="23">
        <v>3.894</v>
      </c>
      <c r="K35" s="23">
        <v>0.016</v>
      </c>
      <c r="L35" s="23">
        <v>147.209</v>
      </c>
      <c r="M35" s="23">
        <v>26.376</v>
      </c>
      <c r="N35" s="23">
        <v>121.061</v>
      </c>
      <c r="O35" s="23">
        <v>28.927</v>
      </c>
      <c r="P35" s="23">
        <v>57.992</v>
      </c>
      <c r="Q35" s="23">
        <v>28.094</v>
      </c>
      <c r="R35" s="23">
        <v>146.95</v>
      </c>
      <c r="S35" s="23">
        <v>26.838</v>
      </c>
      <c r="T35" s="23">
        <v>120.821</v>
      </c>
      <c r="U35" s="23">
        <v>29.291</v>
      </c>
      <c r="V35" s="23">
        <v>58.02</v>
      </c>
      <c r="W35" s="23">
        <v>28.262</v>
      </c>
      <c r="X35" s="23">
        <v>147.225</v>
      </c>
      <c r="Y35" s="23">
        <v>26.513</v>
      </c>
      <c r="Z35" s="23">
        <v>121.073</v>
      </c>
      <c r="AA35" s="23">
        <v>29.052</v>
      </c>
      <c r="AB35" s="23">
        <v>58.102</v>
      </c>
      <c r="AC35" s="23">
        <v>28.165</v>
      </c>
      <c r="AD35" s="22">
        <f t="shared" ref="AD35:AI35" si="35">AVERAGE(L35,R35,X35)</f>
        <v>147.128</v>
      </c>
      <c r="AE35" s="22">
        <f t="shared" si="35"/>
        <v>26.57566667</v>
      </c>
      <c r="AF35" s="22">
        <f t="shared" si="35"/>
        <v>120.985</v>
      </c>
      <c r="AG35" s="22">
        <f t="shared" si="35"/>
        <v>29.09</v>
      </c>
      <c r="AH35" s="22">
        <f t="shared" si="35"/>
        <v>58.038</v>
      </c>
      <c r="AI35" s="22">
        <f t="shared" si="35"/>
        <v>28.17366667</v>
      </c>
      <c r="AJ35" s="22"/>
      <c r="AK35" s="22"/>
      <c r="AL35" s="22"/>
      <c r="AM35" s="22"/>
    </row>
    <row r="36">
      <c r="A36" s="13" t="s">
        <v>20</v>
      </c>
      <c r="B36" s="26">
        <v>45565.0</v>
      </c>
      <c r="C36" s="13" t="s">
        <v>25</v>
      </c>
      <c r="D36" s="13">
        <v>3.3</v>
      </c>
      <c r="E36" s="13" t="s">
        <v>22</v>
      </c>
      <c r="F36" s="13">
        <v>3.0</v>
      </c>
      <c r="G36" s="13" t="s">
        <v>23</v>
      </c>
      <c r="H36" s="23">
        <v>15.1811</v>
      </c>
      <c r="I36" s="23">
        <v>590.4195</v>
      </c>
      <c r="J36" s="23">
        <v>4.251</v>
      </c>
      <c r="K36" s="23">
        <v>0.044</v>
      </c>
      <c r="L36" s="23">
        <v>159.152</v>
      </c>
      <c r="M36" s="23">
        <v>23.209</v>
      </c>
      <c r="N36" s="23">
        <v>128.706</v>
      </c>
      <c r="O36" s="23">
        <v>25.0</v>
      </c>
      <c r="P36" s="23">
        <v>61.217</v>
      </c>
      <c r="Q36" s="23">
        <v>25.205</v>
      </c>
      <c r="R36" s="23">
        <v>159.725</v>
      </c>
      <c r="S36" s="23">
        <v>22.985</v>
      </c>
      <c r="T36" s="23">
        <v>129.003</v>
      </c>
      <c r="U36" s="23">
        <v>25.002</v>
      </c>
      <c r="V36" s="23">
        <v>61.188</v>
      </c>
      <c r="W36" s="23">
        <v>25.176</v>
      </c>
      <c r="X36" s="23">
        <v>159.759</v>
      </c>
      <c r="Y36" s="23">
        <v>22.929</v>
      </c>
      <c r="Z36" s="23">
        <v>129.107</v>
      </c>
      <c r="AA36" s="23">
        <v>24.882</v>
      </c>
      <c r="AB36" s="23">
        <v>61.314</v>
      </c>
      <c r="AC36" s="23">
        <v>25.189</v>
      </c>
      <c r="AD36" s="22">
        <f t="shared" ref="AD36:AI36" si="36">AVERAGE(L36,R36,X36)</f>
        <v>159.5453333</v>
      </c>
      <c r="AE36" s="22">
        <f t="shared" si="36"/>
        <v>23.041</v>
      </c>
      <c r="AF36" s="22">
        <f t="shared" si="36"/>
        <v>128.9386667</v>
      </c>
      <c r="AG36" s="22">
        <f t="shared" si="36"/>
        <v>24.96133333</v>
      </c>
      <c r="AH36" s="22">
        <f t="shared" si="36"/>
        <v>61.23966667</v>
      </c>
      <c r="AI36" s="22">
        <f t="shared" si="36"/>
        <v>25.19</v>
      </c>
      <c r="AJ36" s="22"/>
      <c r="AK36" s="22"/>
      <c r="AL36" s="22"/>
      <c r="AM36" s="22"/>
    </row>
    <row r="37">
      <c r="A37" s="13" t="s">
        <v>20</v>
      </c>
      <c r="B37" s="26">
        <v>45565.0</v>
      </c>
      <c r="C37" s="13" t="s">
        <v>25</v>
      </c>
      <c r="D37" s="13">
        <v>3.4</v>
      </c>
      <c r="E37" s="13" t="s">
        <v>22</v>
      </c>
      <c r="F37" s="13">
        <v>3.0</v>
      </c>
      <c r="G37" s="13" t="s">
        <v>23</v>
      </c>
      <c r="H37" s="23">
        <v>18.0961</v>
      </c>
      <c r="I37" s="23">
        <v>501.7435</v>
      </c>
      <c r="J37" s="23">
        <v>5.129</v>
      </c>
      <c r="K37" s="23">
        <v>0.011</v>
      </c>
      <c r="L37" s="23">
        <v>133.3</v>
      </c>
      <c r="M37" s="23">
        <v>25.46</v>
      </c>
      <c r="N37" s="23">
        <v>110.604</v>
      </c>
      <c r="O37" s="23">
        <v>27.215</v>
      </c>
      <c r="P37" s="23">
        <v>69.914</v>
      </c>
      <c r="Q37" s="23">
        <v>25.481</v>
      </c>
      <c r="R37" s="23">
        <v>133.868</v>
      </c>
      <c r="S37" s="23">
        <v>25.593</v>
      </c>
      <c r="T37" s="23">
        <v>111.019</v>
      </c>
      <c r="U37" s="23">
        <v>27.425</v>
      </c>
      <c r="V37" s="23">
        <v>69.894</v>
      </c>
      <c r="W37" s="23">
        <v>25.46</v>
      </c>
      <c r="X37" s="23">
        <v>134.358</v>
      </c>
      <c r="Y37" s="23">
        <v>25.96</v>
      </c>
      <c r="Z37" s="23">
        <v>111.933</v>
      </c>
      <c r="AA37" s="23">
        <v>28.084</v>
      </c>
      <c r="AB37" s="23">
        <v>70.89</v>
      </c>
      <c r="AC37" s="23">
        <v>26.662</v>
      </c>
      <c r="AD37" s="22">
        <f t="shared" ref="AD37:AI37" si="37">AVERAGE(L37,R37,X37)</f>
        <v>133.842</v>
      </c>
      <c r="AE37" s="22">
        <f t="shared" si="37"/>
        <v>25.671</v>
      </c>
      <c r="AF37" s="22">
        <f t="shared" si="37"/>
        <v>111.1853333</v>
      </c>
      <c r="AG37" s="22">
        <f t="shared" si="37"/>
        <v>27.57466667</v>
      </c>
      <c r="AH37" s="22">
        <f t="shared" si="37"/>
        <v>70.23266667</v>
      </c>
      <c r="AI37" s="22">
        <f t="shared" si="37"/>
        <v>25.86766667</v>
      </c>
      <c r="AJ37" s="22"/>
      <c r="AK37" s="22"/>
      <c r="AL37" s="22"/>
      <c r="AM37" s="22"/>
    </row>
    <row r="38">
      <c r="A38" s="13" t="s">
        <v>20</v>
      </c>
      <c r="B38" s="26">
        <v>45607.0</v>
      </c>
      <c r="C38" s="13" t="s">
        <v>21</v>
      </c>
      <c r="D38" s="13">
        <v>1.1</v>
      </c>
      <c r="E38" s="13" t="s">
        <v>22</v>
      </c>
      <c r="F38" s="13">
        <v>3.0</v>
      </c>
      <c r="G38" s="13" t="s">
        <v>26</v>
      </c>
      <c r="H38" s="23">
        <v>25.2318</v>
      </c>
      <c r="I38" s="23">
        <v>528.0341</v>
      </c>
      <c r="J38" s="23">
        <v>5.793</v>
      </c>
      <c r="K38" s="23">
        <v>0.047</v>
      </c>
      <c r="L38" s="23">
        <v>134.909</v>
      </c>
      <c r="M38" s="23">
        <v>33.999</v>
      </c>
      <c r="N38" s="23">
        <v>101.396</v>
      </c>
      <c r="O38" s="23">
        <v>33.414</v>
      </c>
      <c r="P38" s="23">
        <v>44.711</v>
      </c>
      <c r="Q38" s="23">
        <v>25.35</v>
      </c>
      <c r="R38" s="23">
        <v>135.021</v>
      </c>
      <c r="S38" s="23">
        <v>34.158</v>
      </c>
      <c r="T38" s="23">
        <v>101.238</v>
      </c>
      <c r="U38" s="23">
        <v>33.525</v>
      </c>
      <c r="V38" s="23">
        <v>44.448</v>
      </c>
      <c r="W38" s="23">
        <v>25.269</v>
      </c>
      <c r="X38" s="23">
        <v>134.565</v>
      </c>
      <c r="Y38" s="23">
        <v>34.299</v>
      </c>
      <c r="Z38" s="23">
        <v>100.978</v>
      </c>
      <c r="AA38" s="23">
        <v>33.48</v>
      </c>
      <c r="AB38" s="23">
        <v>44.299</v>
      </c>
      <c r="AC38" s="23">
        <v>25.124</v>
      </c>
      <c r="AD38" s="22">
        <f t="shared" ref="AD38:AI38" si="38">AVERAGE(L38,R38,X38)</f>
        <v>134.8316667</v>
      </c>
      <c r="AE38" s="22">
        <f t="shared" si="38"/>
        <v>34.152</v>
      </c>
      <c r="AF38" s="22">
        <f t="shared" si="38"/>
        <v>101.204</v>
      </c>
      <c r="AG38" s="22">
        <f t="shared" si="38"/>
        <v>33.473</v>
      </c>
      <c r="AH38" s="22">
        <f t="shared" si="38"/>
        <v>44.486</v>
      </c>
      <c r="AI38" s="22">
        <f t="shared" si="38"/>
        <v>25.24766667</v>
      </c>
      <c r="AJ38" s="22"/>
      <c r="AK38" s="22"/>
      <c r="AL38" s="22"/>
      <c r="AM38" s="22"/>
    </row>
    <row r="39">
      <c r="A39" s="13" t="s">
        <v>20</v>
      </c>
      <c r="B39" s="26">
        <v>45607.0</v>
      </c>
      <c r="C39" s="13" t="s">
        <v>21</v>
      </c>
      <c r="D39" s="13">
        <v>1.2</v>
      </c>
      <c r="E39" s="13" t="s">
        <v>22</v>
      </c>
      <c r="F39" s="13">
        <v>3.0</v>
      </c>
      <c r="G39" s="13" t="s">
        <v>26</v>
      </c>
      <c r="H39" s="23">
        <v>23.6451</v>
      </c>
      <c r="I39" s="23">
        <v>564.0817</v>
      </c>
      <c r="J39" s="23">
        <v>3.619</v>
      </c>
      <c r="K39" s="23">
        <v>0.019</v>
      </c>
      <c r="L39" s="23">
        <v>144.758</v>
      </c>
      <c r="M39" s="23">
        <v>21.433</v>
      </c>
      <c r="N39" s="23">
        <v>115.301</v>
      </c>
      <c r="O39" s="23">
        <v>20.265</v>
      </c>
      <c r="P39" s="23">
        <v>65.024</v>
      </c>
      <c r="Q39" s="23">
        <v>22.486</v>
      </c>
      <c r="R39" s="23">
        <v>144.524</v>
      </c>
      <c r="S39" s="23">
        <v>21.17</v>
      </c>
      <c r="T39" s="23">
        <v>115.087</v>
      </c>
      <c r="U39" s="23">
        <v>19.845</v>
      </c>
      <c r="V39" s="23">
        <v>64.796</v>
      </c>
      <c r="W39" s="23">
        <v>22.006</v>
      </c>
      <c r="X39" s="23">
        <v>144.183</v>
      </c>
      <c r="Y39" s="23">
        <v>21.258</v>
      </c>
      <c r="Z39" s="23">
        <v>114.89</v>
      </c>
      <c r="AA39" s="23">
        <v>19.788</v>
      </c>
      <c r="AB39" s="23">
        <v>64.494</v>
      </c>
      <c r="AC39" s="23">
        <v>21.968</v>
      </c>
      <c r="AD39" s="22">
        <f t="shared" ref="AD39:AI39" si="39">AVERAGE(L39,R39,X39)</f>
        <v>144.4883333</v>
      </c>
      <c r="AE39" s="22">
        <f t="shared" si="39"/>
        <v>21.287</v>
      </c>
      <c r="AF39" s="22">
        <f t="shared" si="39"/>
        <v>115.0926667</v>
      </c>
      <c r="AG39" s="22">
        <f t="shared" si="39"/>
        <v>19.966</v>
      </c>
      <c r="AH39" s="22">
        <f t="shared" si="39"/>
        <v>64.77133333</v>
      </c>
      <c r="AI39" s="22">
        <f t="shared" si="39"/>
        <v>22.15333333</v>
      </c>
      <c r="AJ39" s="22"/>
      <c r="AK39" s="22"/>
      <c r="AL39" s="22"/>
      <c r="AM39" s="22"/>
    </row>
    <row r="40">
      <c r="A40" s="13" t="s">
        <v>20</v>
      </c>
      <c r="B40" s="26">
        <v>45607.0</v>
      </c>
      <c r="C40" s="13" t="s">
        <v>21</v>
      </c>
      <c r="D40" s="13">
        <v>1.3</v>
      </c>
      <c r="E40" s="13" t="s">
        <v>22</v>
      </c>
      <c r="F40" s="13">
        <v>3.0</v>
      </c>
      <c r="G40" s="13" t="s">
        <v>26</v>
      </c>
      <c r="H40" s="23">
        <v>24.0559</v>
      </c>
      <c r="I40" s="23">
        <v>548.4053</v>
      </c>
      <c r="J40" s="23">
        <v>3.954</v>
      </c>
      <c r="K40" s="23">
        <v>0.059</v>
      </c>
      <c r="L40" s="23">
        <v>149.669</v>
      </c>
      <c r="M40" s="23">
        <v>24.812</v>
      </c>
      <c r="N40" s="23">
        <v>113.863</v>
      </c>
      <c r="O40" s="23">
        <v>24.535</v>
      </c>
      <c r="P40" s="23">
        <v>55.268</v>
      </c>
      <c r="Q40" s="23">
        <v>25.947</v>
      </c>
      <c r="R40" s="13">
        <v>151.348</v>
      </c>
      <c r="S40" s="23">
        <v>22.876</v>
      </c>
      <c r="T40" s="23">
        <v>114.98</v>
      </c>
      <c r="U40" s="23">
        <v>23.643</v>
      </c>
      <c r="V40" s="23">
        <v>55.585</v>
      </c>
      <c r="W40" s="23">
        <v>25.798</v>
      </c>
      <c r="X40" s="23">
        <v>150.89</v>
      </c>
      <c r="Y40" s="23">
        <v>23.269</v>
      </c>
      <c r="Z40" s="23">
        <v>114.741</v>
      </c>
      <c r="AA40" s="23">
        <v>23.802</v>
      </c>
      <c r="AB40" s="23">
        <v>55.715</v>
      </c>
      <c r="AC40" s="23">
        <v>25.929</v>
      </c>
      <c r="AD40" s="22">
        <f>AVERAGE(L40,Q40,X40)</f>
        <v>108.8353333</v>
      </c>
      <c r="AE40" s="22">
        <f t="shared" ref="AE40:AI40" si="40">AVERAGE(M40,S40,Y40)</f>
        <v>23.65233333</v>
      </c>
      <c r="AF40" s="22">
        <f t="shared" si="40"/>
        <v>114.528</v>
      </c>
      <c r="AG40" s="22">
        <f t="shared" si="40"/>
        <v>23.99333333</v>
      </c>
      <c r="AH40" s="22">
        <f t="shared" si="40"/>
        <v>55.52266667</v>
      </c>
      <c r="AI40" s="22">
        <f t="shared" si="40"/>
        <v>25.89133333</v>
      </c>
      <c r="AJ40" s="22"/>
      <c r="AK40" s="22"/>
      <c r="AL40" s="22"/>
      <c r="AM40" s="22"/>
    </row>
    <row r="41">
      <c r="A41" s="13" t="s">
        <v>20</v>
      </c>
      <c r="B41" s="26">
        <v>45607.0</v>
      </c>
      <c r="C41" s="13" t="s">
        <v>21</v>
      </c>
      <c r="D41" s="13">
        <v>1.4</v>
      </c>
      <c r="E41" s="13" t="s">
        <v>22</v>
      </c>
      <c r="F41" s="13">
        <v>3.0</v>
      </c>
      <c r="G41" s="13" t="s">
        <v>26</v>
      </c>
      <c r="H41" s="23">
        <v>22.7961</v>
      </c>
      <c r="I41" s="23">
        <v>541.2213</v>
      </c>
      <c r="J41" s="23">
        <v>3.872</v>
      </c>
      <c r="K41" s="23">
        <v>0.037</v>
      </c>
      <c r="L41" s="23">
        <v>173.239</v>
      </c>
      <c r="M41" s="23">
        <v>25.849</v>
      </c>
      <c r="N41" s="23">
        <v>145.068</v>
      </c>
      <c r="O41" s="23">
        <v>26.597</v>
      </c>
      <c r="P41" s="23">
        <v>115.778</v>
      </c>
      <c r="Q41" s="23">
        <v>28.782</v>
      </c>
      <c r="R41" s="23">
        <v>173.672</v>
      </c>
      <c r="S41" s="23">
        <v>25.344</v>
      </c>
      <c r="T41" s="23">
        <v>145.327</v>
      </c>
      <c r="U41" s="23">
        <v>26.346</v>
      </c>
      <c r="V41" s="23">
        <v>115.942</v>
      </c>
      <c r="W41" s="23">
        <v>26.579</v>
      </c>
      <c r="X41" s="23">
        <v>173.975</v>
      </c>
      <c r="Y41" s="23">
        <v>24.841</v>
      </c>
      <c r="Z41" s="23">
        <v>145.598</v>
      </c>
      <c r="AA41" s="23">
        <v>25.915</v>
      </c>
      <c r="AB41" s="23">
        <v>116.192</v>
      </c>
      <c r="AC41" s="23">
        <v>28.252</v>
      </c>
      <c r="AD41" s="22">
        <f t="shared" ref="AD41:AI41" si="41">AVERAGE(L41,R41,X41)</f>
        <v>173.6286667</v>
      </c>
      <c r="AE41" s="22">
        <f t="shared" si="41"/>
        <v>25.34466667</v>
      </c>
      <c r="AF41" s="22">
        <f t="shared" si="41"/>
        <v>145.331</v>
      </c>
      <c r="AG41" s="22">
        <f t="shared" si="41"/>
        <v>26.286</v>
      </c>
      <c r="AH41" s="22">
        <f t="shared" si="41"/>
        <v>115.9706667</v>
      </c>
      <c r="AI41" s="22">
        <f t="shared" si="41"/>
        <v>27.871</v>
      </c>
      <c r="AJ41" s="22"/>
      <c r="AK41" s="22"/>
      <c r="AL41" s="22"/>
      <c r="AM41" s="22"/>
    </row>
    <row r="42">
      <c r="A42" s="13" t="s">
        <v>20</v>
      </c>
      <c r="B42" s="26">
        <v>45607.0</v>
      </c>
      <c r="C42" s="13" t="s">
        <v>21</v>
      </c>
      <c r="D42" s="13">
        <v>2.1</v>
      </c>
      <c r="E42" s="13" t="s">
        <v>22</v>
      </c>
      <c r="F42" s="13">
        <v>3.0</v>
      </c>
      <c r="G42" s="13" t="s">
        <v>26</v>
      </c>
      <c r="H42" s="23">
        <v>16.3395</v>
      </c>
      <c r="I42" s="23">
        <v>588.0049</v>
      </c>
      <c r="J42" s="23">
        <v>1.86</v>
      </c>
      <c r="K42" s="23">
        <v>0.015</v>
      </c>
      <c r="L42" s="23">
        <v>121.301</v>
      </c>
      <c r="M42" s="23">
        <v>26.01</v>
      </c>
      <c r="N42" s="23">
        <v>102.99</v>
      </c>
      <c r="O42" s="23">
        <v>25.247</v>
      </c>
      <c r="P42" s="23">
        <v>72.654</v>
      </c>
      <c r="Q42" s="23">
        <v>17.344</v>
      </c>
      <c r="R42" s="23">
        <v>121.774</v>
      </c>
      <c r="S42" s="23">
        <v>25.817</v>
      </c>
      <c r="T42" s="23">
        <v>103.419</v>
      </c>
      <c r="U42" s="23">
        <v>25.234</v>
      </c>
      <c r="V42" s="23">
        <v>72.89</v>
      </c>
      <c r="W42" s="23">
        <v>17.397</v>
      </c>
      <c r="X42" s="23">
        <v>121.352</v>
      </c>
      <c r="Y42" s="23">
        <v>25.877</v>
      </c>
      <c r="Z42" s="23">
        <v>103.141</v>
      </c>
      <c r="AA42" s="23">
        <v>25.133</v>
      </c>
      <c r="AB42" s="23">
        <v>72.719</v>
      </c>
      <c r="AC42" s="23">
        <v>17.278</v>
      </c>
      <c r="AD42" s="22">
        <f t="shared" ref="AD42:AI42" si="42">AVERAGE(L42,R42,X42)</f>
        <v>121.4756667</v>
      </c>
      <c r="AE42" s="22">
        <f t="shared" si="42"/>
        <v>25.90133333</v>
      </c>
      <c r="AF42" s="22">
        <f t="shared" si="42"/>
        <v>103.1833333</v>
      </c>
      <c r="AG42" s="22">
        <f t="shared" si="42"/>
        <v>25.20466667</v>
      </c>
      <c r="AH42" s="22">
        <f t="shared" si="42"/>
        <v>72.75433333</v>
      </c>
      <c r="AI42" s="22">
        <f t="shared" si="42"/>
        <v>17.33966667</v>
      </c>
      <c r="AJ42" s="22"/>
      <c r="AK42" s="22"/>
      <c r="AL42" s="22"/>
      <c r="AM42" s="22"/>
    </row>
    <row r="43">
      <c r="A43" s="13" t="s">
        <v>20</v>
      </c>
      <c r="B43" s="26">
        <v>45607.0</v>
      </c>
      <c r="C43" s="13" t="s">
        <v>21</v>
      </c>
      <c r="D43" s="13">
        <v>2.2</v>
      </c>
      <c r="E43" s="13" t="s">
        <v>22</v>
      </c>
      <c r="F43" s="13">
        <v>3.0</v>
      </c>
      <c r="G43" s="13" t="s">
        <v>26</v>
      </c>
      <c r="H43" s="23">
        <v>16.3513</v>
      </c>
      <c r="I43" s="23">
        <v>543.6649</v>
      </c>
      <c r="J43" s="23">
        <v>2.588</v>
      </c>
      <c r="K43" s="23">
        <v>0.019</v>
      </c>
      <c r="L43" s="23">
        <v>141.676</v>
      </c>
      <c r="M43" s="23">
        <v>21.259</v>
      </c>
      <c r="N43" s="23">
        <v>116.009</v>
      </c>
      <c r="O43" s="23">
        <v>20.859</v>
      </c>
      <c r="P43" s="23">
        <v>63.074</v>
      </c>
      <c r="Q43" s="23">
        <v>21.498</v>
      </c>
      <c r="R43" s="23">
        <v>142.555</v>
      </c>
      <c r="S43" s="23">
        <v>20.044</v>
      </c>
      <c r="T43" s="23">
        <v>116.606</v>
      </c>
      <c r="U43" s="23">
        <v>19.981</v>
      </c>
      <c r="V43" s="23">
        <v>63.237</v>
      </c>
      <c r="W43" s="23">
        <v>21.209</v>
      </c>
      <c r="X43" s="23">
        <v>143.086</v>
      </c>
      <c r="Y43" s="23">
        <v>19.319</v>
      </c>
      <c r="Z43" s="23">
        <v>117.045</v>
      </c>
      <c r="AA43" s="23">
        <v>19.552</v>
      </c>
      <c r="AB43" s="23">
        <v>63.528</v>
      </c>
      <c r="AC43" s="23">
        <v>21.188</v>
      </c>
      <c r="AD43" s="22">
        <f t="shared" ref="AD43:AI43" si="43">AVERAGE(L43,R43,X43)</f>
        <v>142.439</v>
      </c>
      <c r="AE43" s="22">
        <f t="shared" si="43"/>
        <v>20.20733333</v>
      </c>
      <c r="AF43" s="22">
        <f t="shared" si="43"/>
        <v>116.5533333</v>
      </c>
      <c r="AG43" s="22">
        <f t="shared" si="43"/>
        <v>20.13066667</v>
      </c>
      <c r="AH43" s="22">
        <f t="shared" si="43"/>
        <v>63.27966667</v>
      </c>
      <c r="AI43" s="22">
        <f t="shared" si="43"/>
        <v>21.29833333</v>
      </c>
      <c r="AJ43" s="22"/>
      <c r="AK43" s="22"/>
      <c r="AL43" s="22"/>
      <c r="AM43" s="22"/>
    </row>
    <row r="44">
      <c r="A44" s="13" t="s">
        <v>20</v>
      </c>
      <c r="B44" s="26">
        <v>45607.0</v>
      </c>
      <c r="C44" s="13" t="s">
        <v>21</v>
      </c>
      <c r="D44" s="13">
        <v>2.3</v>
      </c>
      <c r="E44" s="13" t="s">
        <v>22</v>
      </c>
      <c r="F44" s="13">
        <v>3.0</v>
      </c>
      <c r="G44" s="13" t="s">
        <v>26</v>
      </c>
      <c r="H44" s="23">
        <v>18.0865</v>
      </c>
      <c r="I44" s="23">
        <v>530.4</v>
      </c>
      <c r="J44" s="23">
        <v>2.433</v>
      </c>
      <c r="K44" s="23">
        <v>0.017</v>
      </c>
      <c r="L44" s="23">
        <v>148.692</v>
      </c>
      <c r="M44" s="23">
        <v>30.34</v>
      </c>
      <c r="N44" s="23">
        <v>118.608</v>
      </c>
      <c r="O44" s="23">
        <v>28.28</v>
      </c>
      <c r="P44" s="23">
        <v>65.445</v>
      </c>
      <c r="Q44" s="23">
        <v>23.718</v>
      </c>
      <c r="R44" s="23">
        <v>149.197</v>
      </c>
      <c r="S44" s="23">
        <v>29.951</v>
      </c>
      <c r="T44" s="23">
        <v>119.309</v>
      </c>
      <c r="U44" s="23">
        <v>28.146</v>
      </c>
      <c r="V44" s="23">
        <v>66.196</v>
      </c>
      <c r="W44" s="23">
        <v>23.993</v>
      </c>
      <c r="X44" s="23">
        <v>150.902</v>
      </c>
      <c r="Y44" s="23">
        <v>28.604</v>
      </c>
      <c r="Z44" s="23">
        <v>120.629</v>
      </c>
      <c r="AA44" s="23">
        <v>27.148</v>
      </c>
      <c r="AB44" s="23">
        <v>66.799</v>
      </c>
      <c r="AC44" s="23">
        <v>23.339</v>
      </c>
      <c r="AD44" s="22">
        <f t="shared" ref="AD44:AI44" si="44">AVERAGE(L44,R44,X44)</f>
        <v>149.597</v>
      </c>
      <c r="AE44" s="22">
        <f t="shared" si="44"/>
        <v>29.63166667</v>
      </c>
      <c r="AF44" s="22">
        <f t="shared" si="44"/>
        <v>119.5153333</v>
      </c>
      <c r="AG44" s="22">
        <f t="shared" si="44"/>
        <v>27.858</v>
      </c>
      <c r="AH44" s="22">
        <f t="shared" si="44"/>
        <v>66.14666667</v>
      </c>
      <c r="AI44" s="22">
        <f t="shared" si="44"/>
        <v>23.68333333</v>
      </c>
      <c r="AJ44" s="22"/>
      <c r="AK44" s="22"/>
      <c r="AL44" s="22"/>
      <c r="AM44" s="22"/>
    </row>
    <row r="45">
      <c r="A45" s="13" t="s">
        <v>20</v>
      </c>
      <c r="B45" s="26">
        <v>45607.0</v>
      </c>
      <c r="C45" s="13" t="s">
        <v>21</v>
      </c>
      <c r="D45" s="13">
        <v>2.4</v>
      </c>
      <c r="E45" s="13" t="s">
        <v>22</v>
      </c>
      <c r="F45" s="13">
        <v>3.0</v>
      </c>
      <c r="G45" s="13" t="s">
        <v>26</v>
      </c>
      <c r="H45" s="23">
        <v>17.2983</v>
      </c>
      <c r="I45" s="23">
        <v>517.2056</v>
      </c>
      <c r="J45" s="23">
        <v>2.203</v>
      </c>
      <c r="K45" s="23">
        <v>0.013</v>
      </c>
      <c r="L45" s="23">
        <v>164.625</v>
      </c>
      <c r="M45" s="23">
        <v>26.173</v>
      </c>
      <c r="N45" s="23">
        <v>141.504</v>
      </c>
      <c r="O45" s="23">
        <v>27.781</v>
      </c>
      <c r="P45" s="23">
        <v>102.827</v>
      </c>
      <c r="Q45" s="23">
        <v>28.65</v>
      </c>
      <c r="R45" s="23">
        <v>166.421</v>
      </c>
      <c r="S45" s="23">
        <v>24.903</v>
      </c>
      <c r="T45" s="23">
        <v>142.994</v>
      </c>
      <c r="U45" s="23">
        <v>26.899</v>
      </c>
      <c r="V45" s="23">
        <v>104.135</v>
      </c>
      <c r="W45" s="23">
        <v>27.652</v>
      </c>
      <c r="X45" s="23">
        <v>166.07</v>
      </c>
      <c r="Y45" s="23">
        <v>25.337</v>
      </c>
      <c r="Z45" s="23">
        <v>142.795</v>
      </c>
      <c r="AA45" s="23">
        <v>27.21</v>
      </c>
      <c r="AB45" s="23">
        <v>104.04</v>
      </c>
      <c r="AC45" s="23">
        <v>28.122</v>
      </c>
      <c r="AD45" s="22">
        <f t="shared" ref="AD45:AI45" si="45">AVERAGE(L45,R45,X45)</f>
        <v>165.7053333</v>
      </c>
      <c r="AE45" s="22">
        <f t="shared" si="45"/>
        <v>25.471</v>
      </c>
      <c r="AF45" s="22">
        <f t="shared" si="45"/>
        <v>142.431</v>
      </c>
      <c r="AG45" s="22">
        <f t="shared" si="45"/>
        <v>27.29666667</v>
      </c>
      <c r="AH45" s="22">
        <f t="shared" si="45"/>
        <v>103.6673333</v>
      </c>
      <c r="AI45" s="22">
        <f t="shared" si="45"/>
        <v>28.14133333</v>
      </c>
      <c r="AJ45" s="22"/>
      <c r="AK45" s="22"/>
      <c r="AL45" s="22"/>
      <c r="AM45" s="22"/>
    </row>
    <row r="46">
      <c r="A46" s="13" t="s">
        <v>20</v>
      </c>
      <c r="B46" s="26">
        <v>45607.0</v>
      </c>
      <c r="C46" s="13" t="s">
        <v>21</v>
      </c>
      <c r="D46" s="13">
        <v>3.1</v>
      </c>
      <c r="E46" s="13" t="s">
        <v>22</v>
      </c>
      <c r="F46" s="13">
        <v>3.0</v>
      </c>
      <c r="G46" s="13" t="s">
        <v>26</v>
      </c>
      <c r="H46" s="23">
        <v>21.296</v>
      </c>
      <c r="I46" s="23">
        <v>576.1012</v>
      </c>
      <c r="J46" s="23">
        <v>3.652</v>
      </c>
      <c r="K46" s="23">
        <v>0.031</v>
      </c>
      <c r="L46" s="13">
        <v>129.364</v>
      </c>
      <c r="M46" s="13">
        <v>27.195</v>
      </c>
      <c r="N46" s="13">
        <v>108.017</v>
      </c>
      <c r="O46" s="13">
        <v>33.988</v>
      </c>
      <c r="P46" s="13">
        <v>50.785</v>
      </c>
      <c r="Q46" s="23">
        <v>26.113</v>
      </c>
      <c r="R46" s="23">
        <v>129.147</v>
      </c>
      <c r="S46" s="23">
        <v>37.755</v>
      </c>
      <c r="T46" s="23">
        <v>107.772</v>
      </c>
      <c r="U46" s="23">
        <v>24.493</v>
      </c>
      <c r="V46" s="23">
        <v>50.425</v>
      </c>
      <c r="W46" s="23">
        <v>26.172</v>
      </c>
      <c r="X46" s="23">
        <v>128.828</v>
      </c>
      <c r="Y46" s="23">
        <v>37.914</v>
      </c>
      <c r="Z46" s="23">
        <v>107.45</v>
      </c>
      <c r="AA46" s="23">
        <v>34.521</v>
      </c>
      <c r="AB46" s="23">
        <v>50.152</v>
      </c>
      <c r="AC46" s="23">
        <v>25.91</v>
      </c>
      <c r="AD46" s="22">
        <f t="shared" ref="AD46:AH46" si="46">AVERAGE(M45,R46,X46)</f>
        <v>94.716</v>
      </c>
      <c r="AE46" s="22">
        <f t="shared" si="46"/>
        <v>72.391</v>
      </c>
      <c r="AF46" s="22">
        <f t="shared" si="46"/>
        <v>81.001</v>
      </c>
      <c r="AG46" s="22">
        <f t="shared" si="46"/>
        <v>53.947</v>
      </c>
      <c r="AH46" s="22">
        <f t="shared" si="46"/>
        <v>43.07566667</v>
      </c>
      <c r="AI46" s="22">
        <f>AVERAGE(Q46,W46,AC46)</f>
        <v>26.065</v>
      </c>
      <c r="AJ46" s="22"/>
      <c r="AK46" s="22"/>
      <c r="AL46" s="22"/>
      <c r="AM46" s="22"/>
    </row>
    <row r="47">
      <c r="A47" s="13" t="s">
        <v>20</v>
      </c>
      <c r="B47" s="26">
        <v>45607.0</v>
      </c>
      <c r="C47" s="13" t="s">
        <v>21</v>
      </c>
      <c r="D47" s="13">
        <v>3.2</v>
      </c>
      <c r="E47" s="13" t="s">
        <v>22</v>
      </c>
      <c r="F47" s="13">
        <v>3.0</v>
      </c>
      <c r="G47" s="13" t="s">
        <v>26</v>
      </c>
      <c r="H47" s="23">
        <v>14.3115</v>
      </c>
      <c r="I47" s="23">
        <v>570.0051</v>
      </c>
      <c r="J47" s="23">
        <v>3.446</v>
      </c>
      <c r="K47" s="23">
        <v>0.039</v>
      </c>
      <c r="L47" s="23">
        <v>125.746</v>
      </c>
      <c r="M47" s="23">
        <v>33.819</v>
      </c>
      <c r="N47" s="23">
        <v>105.267</v>
      </c>
      <c r="O47" s="23">
        <v>32.318</v>
      </c>
      <c r="P47" s="23">
        <v>52.89</v>
      </c>
      <c r="Q47" s="23">
        <v>26.752</v>
      </c>
      <c r="R47" s="23">
        <v>125.164</v>
      </c>
      <c r="S47" s="23">
        <v>34.329</v>
      </c>
      <c r="T47" s="23">
        <v>104.631</v>
      </c>
      <c r="U47" s="23">
        <v>32.676</v>
      </c>
      <c r="V47" s="23">
        <v>52.366</v>
      </c>
      <c r="W47" s="23">
        <v>26.627</v>
      </c>
      <c r="X47" s="23">
        <v>125.708</v>
      </c>
      <c r="Y47" s="23">
        <v>34.519</v>
      </c>
      <c r="Z47" s="23">
        <v>105.319</v>
      </c>
      <c r="AA47" s="23">
        <v>33.007</v>
      </c>
      <c r="AB47" s="23">
        <v>53.133</v>
      </c>
      <c r="AC47" s="23">
        <v>27.303</v>
      </c>
      <c r="AD47" s="22">
        <f t="shared" ref="AD47:AI47" si="47">AVERAGE(L47,R47,X47)</f>
        <v>125.5393333</v>
      </c>
      <c r="AE47" s="22">
        <f t="shared" si="47"/>
        <v>34.22233333</v>
      </c>
      <c r="AF47" s="22">
        <f t="shared" si="47"/>
        <v>105.0723333</v>
      </c>
      <c r="AG47" s="22">
        <f t="shared" si="47"/>
        <v>32.667</v>
      </c>
      <c r="AH47" s="22">
        <f t="shared" si="47"/>
        <v>52.79633333</v>
      </c>
      <c r="AI47" s="22">
        <f t="shared" si="47"/>
        <v>26.894</v>
      </c>
      <c r="AJ47" s="22"/>
      <c r="AK47" s="22"/>
      <c r="AL47" s="22"/>
      <c r="AM47" s="22"/>
    </row>
    <row r="48">
      <c r="A48" s="13" t="s">
        <v>20</v>
      </c>
      <c r="B48" s="26">
        <v>45607.0</v>
      </c>
      <c r="C48" s="13" t="s">
        <v>21</v>
      </c>
      <c r="D48" s="13">
        <v>3.3</v>
      </c>
      <c r="E48" s="13" t="s">
        <v>22</v>
      </c>
      <c r="F48" s="13">
        <v>3.0</v>
      </c>
      <c r="G48" s="13" t="s">
        <v>26</v>
      </c>
      <c r="H48" s="23">
        <v>17.3067</v>
      </c>
      <c r="I48" s="23">
        <v>544.9599</v>
      </c>
      <c r="J48" s="23">
        <v>2.728</v>
      </c>
      <c r="K48" s="23">
        <v>0.052</v>
      </c>
      <c r="L48" s="23">
        <v>120.254</v>
      </c>
      <c r="M48" s="23">
        <v>22.273</v>
      </c>
      <c r="N48" s="23">
        <v>100.354</v>
      </c>
      <c r="O48" s="23">
        <v>21.442</v>
      </c>
      <c r="P48" s="23">
        <v>45.628</v>
      </c>
      <c r="Q48" s="23">
        <v>17.938</v>
      </c>
      <c r="R48" s="23">
        <v>120.297</v>
      </c>
      <c r="S48" s="23">
        <v>22.35</v>
      </c>
      <c r="T48" s="23">
        <v>100.502</v>
      </c>
      <c r="U48" s="23">
        <v>21.509</v>
      </c>
      <c r="V48" s="23">
        <v>45.674</v>
      </c>
      <c r="W48" s="23">
        <v>17.91</v>
      </c>
      <c r="X48" s="23">
        <v>120.547</v>
      </c>
      <c r="Y48" s="23">
        <v>22.239</v>
      </c>
      <c r="Z48" s="23">
        <v>100.655</v>
      </c>
      <c r="AA48" s="23">
        <v>21.465</v>
      </c>
      <c r="AB48" s="23">
        <v>45.893</v>
      </c>
      <c r="AC48" s="23">
        <v>18.164</v>
      </c>
      <c r="AD48" s="22">
        <f t="shared" ref="AD48:AI48" si="48">AVERAGE(L48,R48,X48)</f>
        <v>120.366</v>
      </c>
      <c r="AE48" s="22">
        <f t="shared" si="48"/>
        <v>22.28733333</v>
      </c>
      <c r="AF48" s="22">
        <f t="shared" si="48"/>
        <v>100.5036667</v>
      </c>
      <c r="AG48" s="22">
        <f t="shared" si="48"/>
        <v>21.472</v>
      </c>
      <c r="AH48" s="22">
        <f t="shared" si="48"/>
        <v>45.73166667</v>
      </c>
      <c r="AI48" s="22">
        <f t="shared" si="48"/>
        <v>18.004</v>
      </c>
      <c r="AJ48" s="22"/>
      <c r="AK48" s="22"/>
      <c r="AL48" s="22"/>
      <c r="AM48" s="22"/>
    </row>
    <row r="49">
      <c r="A49" s="13" t="s">
        <v>20</v>
      </c>
      <c r="B49" s="26">
        <v>45607.0</v>
      </c>
      <c r="C49" s="13" t="s">
        <v>21</v>
      </c>
      <c r="D49" s="13">
        <v>3.4</v>
      </c>
      <c r="E49" s="13" t="s">
        <v>22</v>
      </c>
      <c r="F49" s="13">
        <v>3.0</v>
      </c>
      <c r="G49" s="13" t="s">
        <v>26</v>
      </c>
      <c r="H49" s="23">
        <v>18.052</v>
      </c>
      <c r="I49" s="23">
        <v>534.0216</v>
      </c>
      <c r="J49" s="23">
        <v>3.306</v>
      </c>
      <c r="K49" s="23">
        <v>0.035</v>
      </c>
      <c r="L49" s="23">
        <v>157.206</v>
      </c>
      <c r="M49" s="23">
        <v>27.52</v>
      </c>
      <c r="N49" s="23">
        <v>143.958</v>
      </c>
      <c r="O49" s="23">
        <v>27.227</v>
      </c>
      <c r="P49" s="23">
        <v>104.474</v>
      </c>
      <c r="Q49" s="23">
        <v>31.637</v>
      </c>
      <c r="R49" s="23">
        <v>157.494</v>
      </c>
      <c r="S49" s="23">
        <v>27.24</v>
      </c>
      <c r="T49" s="23">
        <v>144.231</v>
      </c>
      <c r="U49" s="23">
        <v>26.947</v>
      </c>
      <c r="V49" s="23">
        <v>104.764</v>
      </c>
      <c r="W49" s="23">
        <v>31.481</v>
      </c>
      <c r="X49" s="23">
        <v>157.727</v>
      </c>
      <c r="Y49" s="23">
        <v>27.414</v>
      </c>
      <c r="Z49" s="23">
        <v>144.483</v>
      </c>
      <c r="AA49" s="23">
        <v>27.138</v>
      </c>
      <c r="AB49" s="23">
        <v>104.877</v>
      </c>
      <c r="AC49" s="23">
        <v>31.67</v>
      </c>
      <c r="AD49" s="22">
        <f t="shared" ref="AD49:AI49" si="49">AVERAGE(L49,R49,X49)</f>
        <v>157.4756667</v>
      </c>
      <c r="AE49" s="22">
        <f t="shared" si="49"/>
        <v>27.39133333</v>
      </c>
      <c r="AF49" s="22">
        <f t="shared" si="49"/>
        <v>144.224</v>
      </c>
      <c r="AG49" s="22">
        <f t="shared" si="49"/>
        <v>27.104</v>
      </c>
      <c r="AH49" s="22">
        <f t="shared" si="49"/>
        <v>104.705</v>
      </c>
      <c r="AI49" s="22">
        <f t="shared" si="49"/>
        <v>31.596</v>
      </c>
      <c r="AJ49" s="22"/>
      <c r="AK49" s="22"/>
      <c r="AL49" s="22"/>
      <c r="AM49" s="22"/>
    </row>
    <row r="50">
      <c r="A50" s="13" t="s">
        <v>20</v>
      </c>
      <c r="B50" s="26">
        <v>45607.0</v>
      </c>
      <c r="C50" s="13" t="s">
        <v>24</v>
      </c>
      <c r="D50" s="13">
        <v>1.1</v>
      </c>
      <c r="E50" s="13" t="s">
        <v>22</v>
      </c>
      <c r="F50" s="13">
        <v>3.0</v>
      </c>
      <c r="G50" s="13" t="s">
        <v>26</v>
      </c>
      <c r="H50" s="23">
        <v>20.3752</v>
      </c>
      <c r="I50" s="23">
        <v>525.6055</v>
      </c>
      <c r="J50" s="23">
        <v>6.524</v>
      </c>
      <c r="K50" s="23">
        <v>0.046</v>
      </c>
      <c r="L50" s="23">
        <v>165.292</v>
      </c>
      <c r="M50" s="23">
        <v>19.657</v>
      </c>
      <c r="N50" s="23">
        <v>141.665</v>
      </c>
      <c r="O50" s="23">
        <v>18.094</v>
      </c>
      <c r="P50" s="23">
        <v>96.525</v>
      </c>
      <c r="Q50" s="23">
        <v>19.599</v>
      </c>
      <c r="R50" s="23">
        <v>165.74</v>
      </c>
      <c r="S50" s="23">
        <v>18.849</v>
      </c>
      <c r="T50" s="23">
        <v>142.027</v>
      </c>
      <c r="U50" s="23">
        <v>17.47</v>
      </c>
      <c r="V50" s="23">
        <v>96.807</v>
      </c>
      <c r="W50" s="23">
        <v>19.276</v>
      </c>
      <c r="X50" s="23">
        <v>165.98</v>
      </c>
      <c r="Y50" s="23">
        <v>18.426</v>
      </c>
      <c r="Z50" s="23">
        <v>142.208</v>
      </c>
      <c r="AA50" s="23">
        <v>17.211</v>
      </c>
      <c r="AB50" s="23">
        <v>96.84</v>
      </c>
      <c r="AC50" s="23">
        <v>19.258</v>
      </c>
      <c r="AD50" s="22">
        <f t="shared" ref="AD50:AI50" si="50">AVERAGE(L50,R50,X50)</f>
        <v>165.6706667</v>
      </c>
      <c r="AE50" s="22">
        <f t="shared" si="50"/>
        <v>18.97733333</v>
      </c>
      <c r="AF50" s="22">
        <f t="shared" si="50"/>
        <v>141.9666667</v>
      </c>
      <c r="AG50" s="22">
        <f t="shared" si="50"/>
        <v>17.59166667</v>
      </c>
      <c r="AH50" s="22">
        <f t="shared" si="50"/>
        <v>96.724</v>
      </c>
      <c r="AI50" s="22">
        <f t="shared" si="50"/>
        <v>19.37766667</v>
      </c>
      <c r="AJ50" s="22"/>
      <c r="AK50" s="22"/>
      <c r="AL50" s="22"/>
      <c r="AM50" s="22"/>
    </row>
    <row r="51">
      <c r="A51" s="13" t="s">
        <v>20</v>
      </c>
      <c r="B51" s="26">
        <v>45607.0</v>
      </c>
      <c r="C51" s="13" t="s">
        <v>24</v>
      </c>
      <c r="D51" s="13">
        <v>1.2</v>
      </c>
      <c r="E51" s="13" t="s">
        <v>22</v>
      </c>
      <c r="F51" s="13">
        <v>3.0</v>
      </c>
      <c r="G51" s="13" t="s">
        <v>26</v>
      </c>
      <c r="H51" s="23">
        <v>18.9896</v>
      </c>
      <c r="I51" s="23">
        <v>554.4831</v>
      </c>
      <c r="J51" s="23">
        <v>5.977</v>
      </c>
      <c r="K51" s="23">
        <v>0.073</v>
      </c>
      <c r="L51" s="23">
        <v>143.786</v>
      </c>
      <c r="M51" s="23">
        <v>17.141</v>
      </c>
      <c r="N51" s="23">
        <v>121.573</v>
      </c>
      <c r="O51" s="23">
        <v>17.553</v>
      </c>
      <c r="P51" s="23">
        <v>83.84</v>
      </c>
      <c r="Q51" s="23">
        <v>19.976</v>
      </c>
      <c r="R51" s="23">
        <v>143.716</v>
      </c>
      <c r="S51" s="23">
        <v>16.972</v>
      </c>
      <c r="T51" s="23">
        <v>121.537</v>
      </c>
      <c r="U51" s="23">
        <v>17.174</v>
      </c>
      <c r="V51" s="23">
        <v>83.846</v>
      </c>
      <c r="W51" s="23">
        <v>19.599</v>
      </c>
      <c r="X51" s="23">
        <v>143.741</v>
      </c>
      <c r="Y51" s="23">
        <v>17.095</v>
      </c>
      <c r="Z51" s="23">
        <v>121.704</v>
      </c>
      <c r="AA51" s="23">
        <v>17.326</v>
      </c>
      <c r="AB51" s="23">
        <v>84.173</v>
      </c>
      <c r="AC51" s="23">
        <v>19.827</v>
      </c>
      <c r="AD51" s="22">
        <f t="shared" ref="AD51:AI51" si="51">AVERAGE(L51,R51,X51)</f>
        <v>143.7476667</v>
      </c>
      <c r="AE51" s="22">
        <f t="shared" si="51"/>
        <v>17.06933333</v>
      </c>
      <c r="AF51" s="22">
        <f t="shared" si="51"/>
        <v>121.6046667</v>
      </c>
      <c r="AG51" s="22">
        <f t="shared" si="51"/>
        <v>17.351</v>
      </c>
      <c r="AH51" s="22">
        <f t="shared" si="51"/>
        <v>83.953</v>
      </c>
      <c r="AI51" s="22">
        <f t="shared" si="51"/>
        <v>19.80066667</v>
      </c>
      <c r="AJ51" s="22"/>
      <c r="AK51" s="22"/>
      <c r="AL51" s="22"/>
      <c r="AM51" s="22"/>
    </row>
    <row r="52">
      <c r="A52" s="13" t="s">
        <v>20</v>
      </c>
      <c r="B52" s="26">
        <v>45607.0</v>
      </c>
      <c r="C52" s="13" t="s">
        <v>24</v>
      </c>
      <c r="D52" s="13">
        <v>1.3</v>
      </c>
      <c r="E52" s="13" t="s">
        <v>22</v>
      </c>
      <c r="F52" s="13">
        <v>3.0</v>
      </c>
      <c r="G52" s="13" t="s">
        <v>26</v>
      </c>
      <c r="H52" s="23">
        <v>15.769</v>
      </c>
      <c r="I52" s="23">
        <v>568.8013</v>
      </c>
      <c r="J52" s="23">
        <v>4.824</v>
      </c>
      <c r="K52" s="23">
        <v>0.043</v>
      </c>
      <c r="L52" s="23">
        <v>156.066</v>
      </c>
      <c r="M52" s="23">
        <v>18.305</v>
      </c>
      <c r="N52" s="23">
        <v>123.982</v>
      </c>
      <c r="O52" s="23">
        <v>17.042</v>
      </c>
      <c r="P52" s="23">
        <v>69.156</v>
      </c>
      <c r="Q52" s="23">
        <v>21.99</v>
      </c>
      <c r="R52" s="23">
        <v>156.021</v>
      </c>
      <c r="S52" s="23">
        <v>18.144</v>
      </c>
      <c r="T52" s="23">
        <v>123.909</v>
      </c>
      <c r="U52" s="23">
        <v>16.773</v>
      </c>
      <c r="V52" s="23">
        <v>69.113</v>
      </c>
      <c r="W52" s="23">
        <v>21.36</v>
      </c>
      <c r="X52" s="23">
        <v>156.623</v>
      </c>
      <c r="Y52" s="23">
        <v>16.795</v>
      </c>
      <c r="Z52" s="23">
        <v>124.298</v>
      </c>
      <c r="AA52" s="23">
        <v>15.932</v>
      </c>
      <c r="AB52" s="23">
        <v>69.177</v>
      </c>
      <c r="AC52" s="23">
        <v>21.057</v>
      </c>
      <c r="AD52" s="22">
        <f t="shared" ref="AD52:AI52" si="52">AVERAGE(L52,R52,X52)</f>
        <v>156.2366667</v>
      </c>
      <c r="AE52" s="22">
        <f t="shared" si="52"/>
        <v>17.748</v>
      </c>
      <c r="AF52" s="22">
        <f t="shared" si="52"/>
        <v>124.063</v>
      </c>
      <c r="AG52" s="22">
        <f t="shared" si="52"/>
        <v>16.58233333</v>
      </c>
      <c r="AH52" s="22">
        <f t="shared" si="52"/>
        <v>69.14866667</v>
      </c>
      <c r="AI52" s="22">
        <f t="shared" si="52"/>
        <v>21.469</v>
      </c>
      <c r="AJ52" s="22"/>
      <c r="AK52" s="22"/>
      <c r="AL52" s="22"/>
      <c r="AM52" s="22"/>
    </row>
    <row r="53">
      <c r="A53" s="13" t="s">
        <v>20</v>
      </c>
      <c r="B53" s="26">
        <v>45607.0</v>
      </c>
      <c r="C53" s="13" t="s">
        <v>24</v>
      </c>
      <c r="D53" s="13">
        <v>1.4</v>
      </c>
      <c r="E53" s="13" t="s">
        <v>22</v>
      </c>
      <c r="F53" s="13">
        <v>3.0</v>
      </c>
      <c r="G53" s="13" t="s">
        <v>26</v>
      </c>
      <c r="H53" s="23">
        <v>17.4093</v>
      </c>
      <c r="I53" s="23">
        <v>523.2124</v>
      </c>
      <c r="J53" s="23">
        <v>5.405</v>
      </c>
      <c r="K53" s="23">
        <v>0.056</v>
      </c>
      <c r="L53" s="23">
        <v>164.126</v>
      </c>
      <c r="M53" s="23">
        <v>18.867</v>
      </c>
      <c r="N53" s="23">
        <v>128.532</v>
      </c>
      <c r="O53" s="23">
        <v>18.306</v>
      </c>
      <c r="P53" s="23">
        <v>75.397</v>
      </c>
      <c r="Q53" s="23">
        <v>20.913</v>
      </c>
      <c r="R53" s="23">
        <v>163.454</v>
      </c>
      <c r="S53" s="23">
        <v>19.746</v>
      </c>
      <c r="T53" s="23">
        <v>128.275</v>
      </c>
      <c r="U53" s="23">
        <v>18.788</v>
      </c>
      <c r="V53" s="23">
        <v>75.697</v>
      </c>
      <c r="W53" s="23">
        <v>21.3</v>
      </c>
      <c r="X53" s="23">
        <v>163.503</v>
      </c>
      <c r="Y53" s="23">
        <v>19.477</v>
      </c>
      <c r="Z53" s="23">
        <v>128.203</v>
      </c>
      <c r="AA53" s="23">
        <v>18.489</v>
      </c>
      <c r="AB53" s="23">
        <v>75.487</v>
      </c>
      <c r="AC53" s="23">
        <v>20.862</v>
      </c>
      <c r="AD53" s="22">
        <f t="shared" ref="AD53:AI53" si="53">AVERAGE(L53,R53,X53)</f>
        <v>163.6943333</v>
      </c>
      <c r="AE53" s="22">
        <f t="shared" si="53"/>
        <v>19.36333333</v>
      </c>
      <c r="AF53" s="22">
        <f t="shared" si="53"/>
        <v>128.3366667</v>
      </c>
      <c r="AG53" s="22">
        <f t="shared" si="53"/>
        <v>18.52766667</v>
      </c>
      <c r="AH53" s="22">
        <f t="shared" si="53"/>
        <v>75.527</v>
      </c>
      <c r="AI53" s="22">
        <f t="shared" si="53"/>
        <v>21.025</v>
      </c>
      <c r="AJ53" s="22"/>
      <c r="AK53" s="22"/>
      <c r="AL53" s="22"/>
      <c r="AM53" s="22"/>
    </row>
    <row r="54">
      <c r="A54" s="13" t="s">
        <v>20</v>
      </c>
      <c r="B54" s="26">
        <v>45607.0</v>
      </c>
      <c r="C54" s="13" t="s">
        <v>24</v>
      </c>
      <c r="D54" s="13">
        <v>2.1</v>
      </c>
      <c r="E54" s="13" t="s">
        <v>22</v>
      </c>
      <c r="F54" s="13">
        <v>3.0</v>
      </c>
      <c r="G54" s="13" t="s">
        <v>26</v>
      </c>
      <c r="H54" s="23">
        <v>11.1693</v>
      </c>
      <c r="I54" s="23">
        <v>537.6054</v>
      </c>
      <c r="J54" s="23">
        <v>3.927</v>
      </c>
      <c r="K54" s="23">
        <v>0.045</v>
      </c>
      <c r="L54" s="23">
        <v>134.874</v>
      </c>
      <c r="M54" s="23">
        <v>25.925</v>
      </c>
      <c r="N54" s="23">
        <v>117.392</v>
      </c>
      <c r="O54" s="23">
        <v>24.471</v>
      </c>
      <c r="P54" s="23">
        <v>71.981</v>
      </c>
      <c r="Q54" s="23">
        <v>23.762</v>
      </c>
      <c r="R54" s="23">
        <v>134.895</v>
      </c>
      <c r="S54" s="23">
        <v>26.199</v>
      </c>
      <c r="T54" s="23">
        <v>117.271</v>
      </c>
      <c r="U54" s="23">
        <v>24.525</v>
      </c>
      <c r="V54" s="23">
        <v>72.388</v>
      </c>
      <c r="W54" s="23">
        <v>23.65</v>
      </c>
      <c r="X54" s="23">
        <v>134.262</v>
      </c>
      <c r="Y54" s="23">
        <v>26.252</v>
      </c>
      <c r="Z54" s="23">
        <v>116.704</v>
      </c>
      <c r="AA54" s="23">
        <v>24.501</v>
      </c>
      <c r="AB54" s="23">
        <v>71.91</v>
      </c>
      <c r="AC54" s="23">
        <v>23.519</v>
      </c>
      <c r="AD54" s="22">
        <f t="shared" ref="AD54:AI54" si="54">AVERAGE(L54,R54,X54)</f>
        <v>134.677</v>
      </c>
      <c r="AE54" s="22">
        <f t="shared" si="54"/>
        <v>26.12533333</v>
      </c>
      <c r="AF54" s="22">
        <f t="shared" si="54"/>
        <v>117.1223333</v>
      </c>
      <c r="AG54" s="22">
        <f t="shared" si="54"/>
        <v>24.499</v>
      </c>
      <c r="AH54" s="22">
        <f t="shared" si="54"/>
        <v>72.093</v>
      </c>
      <c r="AI54" s="22">
        <f t="shared" si="54"/>
        <v>23.64366667</v>
      </c>
      <c r="AJ54" s="22"/>
      <c r="AK54" s="22"/>
      <c r="AL54" s="22"/>
      <c r="AM54" s="22"/>
    </row>
    <row r="55">
      <c r="A55" s="13" t="s">
        <v>20</v>
      </c>
      <c r="B55" s="26">
        <v>45607.0</v>
      </c>
      <c r="C55" s="13" t="s">
        <v>24</v>
      </c>
      <c r="D55" s="13">
        <v>2.2</v>
      </c>
      <c r="E55" s="13" t="s">
        <v>22</v>
      </c>
      <c r="F55" s="13">
        <v>3.0</v>
      </c>
      <c r="G55" s="13" t="s">
        <v>26</v>
      </c>
      <c r="H55" s="23">
        <v>15.193</v>
      </c>
      <c r="I55" s="23">
        <v>580.8607</v>
      </c>
      <c r="J55" s="23">
        <v>3.409</v>
      </c>
      <c r="K55" s="23">
        <v>0.022</v>
      </c>
      <c r="L55" s="23">
        <v>136.332</v>
      </c>
      <c r="M55" s="23">
        <v>19.415</v>
      </c>
      <c r="N55" s="23">
        <v>114.773</v>
      </c>
      <c r="O55" s="23">
        <v>21.292</v>
      </c>
      <c r="P55" s="23">
        <v>66.406</v>
      </c>
      <c r="Q55" s="23">
        <v>21.958</v>
      </c>
      <c r="R55" s="23">
        <v>136.27</v>
      </c>
      <c r="S55" s="23">
        <v>19.712</v>
      </c>
      <c r="T55" s="23">
        <v>114.707</v>
      </c>
      <c r="U55" s="23">
        <v>21.532</v>
      </c>
      <c r="V55" s="23">
        <v>66.424</v>
      </c>
      <c r="W55" s="23">
        <v>22.135</v>
      </c>
      <c r="X55" s="23">
        <v>136.141</v>
      </c>
      <c r="Y55" s="23">
        <v>19.146</v>
      </c>
      <c r="Z55" s="23">
        <v>114.514</v>
      </c>
      <c r="AA55" s="23">
        <v>20.988</v>
      </c>
      <c r="AB55" s="23">
        <v>66.087</v>
      </c>
      <c r="AC55" s="23">
        <v>21.31</v>
      </c>
      <c r="AD55" s="22">
        <f t="shared" ref="AD55:AI55" si="55">AVERAGE(L55,R55,X55)</f>
        <v>136.2476667</v>
      </c>
      <c r="AE55" s="22">
        <f t="shared" si="55"/>
        <v>19.42433333</v>
      </c>
      <c r="AF55" s="22">
        <f t="shared" si="55"/>
        <v>114.6646667</v>
      </c>
      <c r="AG55" s="22">
        <f t="shared" si="55"/>
        <v>21.27066667</v>
      </c>
      <c r="AH55" s="22">
        <f t="shared" si="55"/>
        <v>66.30566667</v>
      </c>
      <c r="AI55" s="22">
        <f t="shared" si="55"/>
        <v>21.801</v>
      </c>
      <c r="AJ55" s="22"/>
      <c r="AK55" s="22"/>
      <c r="AL55" s="22"/>
      <c r="AM55" s="22"/>
    </row>
    <row r="56">
      <c r="A56" s="13" t="s">
        <v>20</v>
      </c>
      <c r="B56" s="26">
        <v>45607.0</v>
      </c>
      <c r="C56" s="13" t="s">
        <v>24</v>
      </c>
      <c r="D56" s="13">
        <v>2.3</v>
      </c>
      <c r="E56" s="13" t="s">
        <v>22</v>
      </c>
      <c r="F56" s="13">
        <v>3.0</v>
      </c>
      <c r="G56" s="13" t="s">
        <v>26</v>
      </c>
      <c r="H56" s="23">
        <v>16.1325</v>
      </c>
      <c r="I56" s="23">
        <v>538.812</v>
      </c>
      <c r="J56" s="23">
        <v>3.447</v>
      </c>
      <c r="K56" s="23">
        <v>0.017</v>
      </c>
      <c r="L56" s="23">
        <v>135.099</v>
      </c>
      <c r="M56" s="23">
        <v>21.754</v>
      </c>
      <c r="N56" s="23">
        <v>107.991</v>
      </c>
      <c r="O56" s="23">
        <v>21.402</v>
      </c>
      <c r="P56" s="23">
        <v>59.348</v>
      </c>
      <c r="Q56" s="23">
        <v>21.693</v>
      </c>
      <c r="R56" s="23">
        <v>135.898</v>
      </c>
      <c r="S56" s="23">
        <v>20.947</v>
      </c>
      <c r="T56" s="23">
        <v>108.59</v>
      </c>
      <c r="U56" s="23">
        <v>20.903</v>
      </c>
      <c r="V56" s="23">
        <v>59.845</v>
      </c>
      <c r="W56" s="23">
        <v>21.393</v>
      </c>
      <c r="X56" s="23">
        <v>135.163</v>
      </c>
      <c r="Y56" s="23">
        <v>21.791</v>
      </c>
      <c r="Z56" s="23">
        <v>108.013</v>
      </c>
      <c r="AA56" s="23">
        <v>21.446</v>
      </c>
      <c r="AB56" s="23">
        <v>59.48</v>
      </c>
      <c r="AC56" s="23">
        <v>21.64</v>
      </c>
      <c r="AD56" s="22">
        <f t="shared" ref="AD56:AI56" si="56">AVERAGE(L56,R56,X56)</f>
        <v>135.3866667</v>
      </c>
      <c r="AE56" s="22">
        <f t="shared" si="56"/>
        <v>21.49733333</v>
      </c>
      <c r="AF56" s="22">
        <f t="shared" si="56"/>
        <v>108.198</v>
      </c>
      <c r="AG56" s="22">
        <f t="shared" si="56"/>
        <v>21.25033333</v>
      </c>
      <c r="AH56" s="22">
        <f t="shared" si="56"/>
        <v>59.55766667</v>
      </c>
      <c r="AI56" s="22">
        <f t="shared" si="56"/>
        <v>21.57533333</v>
      </c>
      <c r="AJ56" s="22"/>
      <c r="AK56" s="22"/>
      <c r="AL56" s="22"/>
      <c r="AM56" s="22"/>
    </row>
    <row r="57">
      <c r="A57" s="13" t="s">
        <v>20</v>
      </c>
      <c r="B57" s="26">
        <v>45607.0</v>
      </c>
      <c r="C57" s="13" t="s">
        <v>24</v>
      </c>
      <c r="D57" s="13">
        <v>2.4</v>
      </c>
      <c r="E57" s="13" t="s">
        <v>22</v>
      </c>
      <c r="F57" s="13">
        <v>3.0</v>
      </c>
      <c r="G57" s="13" t="s">
        <v>26</v>
      </c>
      <c r="H57" s="23">
        <v>15.0927</v>
      </c>
      <c r="I57" s="23">
        <v>532.9094</v>
      </c>
      <c r="J57" s="23">
        <v>3.095</v>
      </c>
      <c r="K57" s="23">
        <v>0.031</v>
      </c>
      <c r="L57" s="23">
        <v>135.609</v>
      </c>
      <c r="M57" s="23">
        <v>24.471</v>
      </c>
      <c r="N57" s="23">
        <v>112.342</v>
      </c>
      <c r="O57" s="23">
        <v>22.639</v>
      </c>
      <c r="P57" s="23">
        <v>65.819</v>
      </c>
      <c r="Q57" s="23">
        <v>21.52</v>
      </c>
      <c r="R57" s="23">
        <v>135.443</v>
      </c>
      <c r="S57" s="23">
        <v>24.326</v>
      </c>
      <c r="T57" s="23">
        <v>112.094</v>
      </c>
      <c r="U57" s="23">
        <v>22.319</v>
      </c>
      <c r="V57" s="23">
        <v>65.489</v>
      </c>
      <c r="W57" s="23">
        <v>20.959</v>
      </c>
      <c r="X57" s="23">
        <v>134.849</v>
      </c>
      <c r="Y57" s="23">
        <v>23.493</v>
      </c>
      <c r="Z57" s="23">
        <v>111.208</v>
      </c>
      <c r="AA57" s="23">
        <v>21.196</v>
      </c>
      <c r="AB57" s="23">
        <v>64.229</v>
      </c>
      <c r="AC57" s="23">
        <v>18.837</v>
      </c>
      <c r="AD57" s="22">
        <f t="shared" ref="AD57:AI57" si="57">AVERAGE(L57,R57,X57)</f>
        <v>135.3003333</v>
      </c>
      <c r="AE57" s="22">
        <f t="shared" si="57"/>
        <v>24.09666667</v>
      </c>
      <c r="AF57" s="22">
        <f t="shared" si="57"/>
        <v>111.8813333</v>
      </c>
      <c r="AG57" s="22">
        <f t="shared" si="57"/>
        <v>22.05133333</v>
      </c>
      <c r="AH57" s="22">
        <f t="shared" si="57"/>
        <v>65.179</v>
      </c>
      <c r="AI57" s="22">
        <f t="shared" si="57"/>
        <v>20.43866667</v>
      </c>
      <c r="AJ57" s="21"/>
      <c r="AK57" s="21"/>
      <c r="AL57" s="21"/>
      <c r="AM57" s="21"/>
    </row>
    <row r="58">
      <c r="A58" s="13" t="s">
        <v>20</v>
      </c>
      <c r="B58" s="26">
        <v>45607.0</v>
      </c>
      <c r="C58" s="13" t="s">
        <v>24</v>
      </c>
      <c r="D58" s="13">
        <v>3.1</v>
      </c>
      <c r="E58" s="13" t="s">
        <v>22</v>
      </c>
      <c r="F58" s="13">
        <v>3.0</v>
      </c>
      <c r="G58" s="13" t="s">
        <v>26</v>
      </c>
      <c r="H58" s="23">
        <v>16.6961</v>
      </c>
      <c r="I58" s="23">
        <v>564.0204</v>
      </c>
      <c r="J58" s="23">
        <v>4.933</v>
      </c>
      <c r="K58" s="23">
        <v>0.029</v>
      </c>
      <c r="L58" s="23">
        <v>138.218</v>
      </c>
      <c r="M58" s="23">
        <v>16.161</v>
      </c>
      <c r="N58" s="23">
        <v>104.071</v>
      </c>
      <c r="O58" s="23">
        <v>14.592</v>
      </c>
      <c r="P58" s="23">
        <v>53.247</v>
      </c>
      <c r="Q58" s="23">
        <v>12.983</v>
      </c>
      <c r="R58" s="23">
        <v>138.176</v>
      </c>
      <c r="S58" s="23">
        <v>16.594</v>
      </c>
      <c r="T58" s="23">
        <v>104.154</v>
      </c>
      <c r="U58" s="23">
        <v>15.045</v>
      </c>
      <c r="V58" s="23">
        <v>53.23</v>
      </c>
      <c r="W58" s="23">
        <v>13.122</v>
      </c>
      <c r="X58" s="23">
        <v>138.256</v>
      </c>
      <c r="Y58" s="23">
        <v>16.456</v>
      </c>
      <c r="Z58" s="23">
        <v>104.155</v>
      </c>
      <c r="AA58" s="23">
        <v>14.911</v>
      </c>
      <c r="AB58" s="23">
        <v>53.274</v>
      </c>
      <c r="AC58" s="23">
        <v>13.107</v>
      </c>
      <c r="AD58" s="22">
        <f t="shared" ref="AD58:AI58" si="58">AVERAGE(L58,R58,X58)</f>
        <v>138.2166667</v>
      </c>
      <c r="AE58" s="22">
        <f t="shared" si="58"/>
        <v>16.40366667</v>
      </c>
      <c r="AF58" s="22">
        <f t="shared" si="58"/>
        <v>104.1266667</v>
      </c>
      <c r="AG58" s="22">
        <f t="shared" si="58"/>
        <v>14.84933333</v>
      </c>
      <c r="AH58" s="22">
        <f t="shared" si="58"/>
        <v>53.25033333</v>
      </c>
      <c r="AI58" s="22">
        <f t="shared" si="58"/>
        <v>13.07066667</v>
      </c>
      <c r="AJ58" s="22"/>
      <c r="AK58" s="22"/>
      <c r="AL58" s="22"/>
      <c r="AM58" s="22"/>
    </row>
    <row r="59">
      <c r="A59" s="13" t="s">
        <v>20</v>
      </c>
      <c r="B59" s="26">
        <v>45607.0</v>
      </c>
      <c r="C59" s="13" t="s">
        <v>24</v>
      </c>
      <c r="D59" s="13">
        <v>3.2</v>
      </c>
      <c r="E59" s="13" t="s">
        <v>22</v>
      </c>
      <c r="F59" s="13">
        <v>3.0</v>
      </c>
      <c r="G59" s="13" t="s">
        <v>26</v>
      </c>
      <c r="H59" s="23">
        <v>14.4698</v>
      </c>
      <c r="I59" s="23">
        <v>534.6013</v>
      </c>
      <c r="J59" s="23">
        <v>5.175</v>
      </c>
      <c r="K59" s="23">
        <v>0.058</v>
      </c>
      <c r="L59" s="23">
        <v>140.198</v>
      </c>
      <c r="M59" s="23">
        <v>21.094</v>
      </c>
      <c r="N59" s="23">
        <v>105.546</v>
      </c>
      <c r="O59" s="23">
        <v>21.484</v>
      </c>
      <c r="P59" s="23">
        <v>54.653</v>
      </c>
      <c r="Q59" s="23">
        <v>21.86</v>
      </c>
      <c r="R59" s="23">
        <v>140.466</v>
      </c>
      <c r="S59" s="23">
        <v>20.551</v>
      </c>
      <c r="T59" s="23">
        <v>105.688</v>
      </c>
      <c r="U59" s="23">
        <v>21.191</v>
      </c>
      <c r="V59" s="23">
        <v>54.739</v>
      </c>
      <c r="W59" s="23">
        <v>21.635</v>
      </c>
      <c r="X59" s="23">
        <v>140.416</v>
      </c>
      <c r="Y59" s="23">
        <v>20.565</v>
      </c>
      <c r="Z59" s="23">
        <v>105.836</v>
      </c>
      <c r="AA59" s="23">
        <v>21.209</v>
      </c>
      <c r="AB59" s="23">
        <v>54.911</v>
      </c>
      <c r="AC59" s="23">
        <v>21.796</v>
      </c>
      <c r="AD59" s="22">
        <f t="shared" ref="AD59:AI59" si="59">AVERAGE(L59,R59,X59)</f>
        <v>140.36</v>
      </c>
      <c r="AE59" s="22">
        <f t="shared" si="59"/>
        <v>20.73666667</v>
      </c>
      <c r="AF59" s="22">
        <f t="shared" si="59"/>
        <v>105.69</v>
      </c>
      <c r="AG59" s="22">
        <f t="shared" si="59"/>
        <v>21.29466667</v>
      </c>
      <c r="AH59" s="22">
        <f t="shared" si="59"/>
        <v>54.76766667</v>
      </c>
      <c r="AI59" s="22">
        <f t="shared" si="59"/>
        <v>21.76366667</v>
      </c>
      <c r="AJ59" s="22"/>
      <c r="AK59" s="22"/>
      <c r="AL59" s="22"/>
      <c r="AM59" s="22"/>
    </row>
    <row r="60">
      <c r="A60" s="13" t="s">
        <v>20</v>
      </c>
      <c r="B60" s="26">
        <v>45607.0</v>
      </c>
      <c r="C60" s="13" t="s">
        <v>24</v>
      </c>
      <c r="D60" s="13">
        <v>3.3</v>
      </c>
      <c r="E60" s="13" t="s">
        <v>22</v>
      </c>
      <c r="F60" s="13">
        <v>3.0</v>
      </c>
      <c r="G60" s="13" t="s">
        <v>26</v>
      </c>
      <c r="H60" s="23">
        <v>15.8733</v>
      </c>
      <c r="I60" s="23">
        <v>546.0013</v>
      </c>
      <c r="J60" s="23">
        <v>5.18</v>
      </c>
      <c r="K60" s="23">
        <v>0.034</v>
      </c>
      <c r="L60" s="23">
        <v>136.641</v>
      </c>
      <c r="M60" s="23">
        <v>19.769</v>
      </c>
      <c r="N60" s="23">
        <v>100.636</v>
      </c>
      <c r="O60" s="23">
        <v>19.959</v>
      </c>
      <c r="P60" s="23">
        <v>48.132</v>
      </c>
      <c r="Q60" s="23">
        <v>20.629</v>
      </c>
      <c r="R60" s="23">
        <v>136.33</v>
      </c>
      <c r="S60" s="23">
        <v>20.044</v>
      </c>
      <c r="T60" s="23">
        <v>100.35</v>
      </c>
      <c r="U60" s="23">
        <v>20.116</v>
      </c>
      <c r="V60" s="23">
        <v>47.873</v>
      </c>
      <c r="W60" s="23">
        <v>20.588</v>
      </c>
      <c r="X60" s="23">
        <v>137.082</v>
      </c>
      <c r="Y60" s="23">
        <v>18.787</v>
      </c>
      <c r="Z60" s="23">
        <v>101.166</v>
      </c>
      <c r="AA60" s="23">
        <v>19.595</v>
      </c>
      <c r="AB60" s="23">
        <v>48.78</v>
      </c>
      <c r="AC60" s="23">
        <v>21.128</v>
      </c>
      <c r="AD60" s="22">
        <f t="shared" ref="AD60:AI60" si="60">AVERAGE(L60,R60,X60)</f>
        <v>136.6843333</v>
      </c>
      <c r="AE60" s="22">
        <f t="shared" si="60"/>
        <v>19.53333333</v>
      </c>
      <c r="AF60" s="22">
        <f t="shared" si="60"/>
        <v>100.7173333</v>
      </c>
      <c r="AG60" s="22">
        <f t="shared" si="60"/>
        <v>19.89</v>
      </c>
      <c r="AH60" s="22">
        <f t="shared" si="60"/>
        <v>48.26166667</v>
      </c>
      <c r="AI60" s="22">
        <f t="shared" si="60"/>
        <v>20.78166667</v>
      </c>
      <c r="AJ60" s="22"/>
      <c r="AK60" s="22"/>
      <c r="AL60" s="22"/>
      <c r="AM60" s="22"/>
    </row>
    <row r="61">
      <c r="A61" s="13" t="s">
        <v>20</v>
      </c>
      <c r="B61" s="26">
        <v>45607.0</v>
      </c>
      <c r="C61" s="13" t="s">
        <v>24</v>
      </c>
      <c r="D61" s="13">
        <v>3.4</v>
      </c>
      <c r="E61" s="13" t="s">
        <v>22</v>
      </c>
      <c r="F61" s="13">
        <v>3.0</v>
      </c>
      <c r="G61" s="13" t="s">
        <v>26</v>
      </c>
      <c r="H61" s="23">
        <v>22.1801</v>
      </c>
      <c r="I61" s="23">
        <v>529.2218</v>
      </c>
      <c r="J61" s="23">
        <v>6.657</v>
      </c>
      <c r="K61" s="23">
        <v>0.12</v>
      </c>
      <c r="L61" s="23">
        <v>137.224</v>
      </c>
      <c r="M61" s="23">
        <v>31.967</v>
      </c>
      <c r="N61" s="23">
        <v>142.214</v>
      </c>
      <c r="O61" s="23">
        <v>30.233</v>
      </c>
      <c r="P61" s="23">
        <v>97.698</v>
      </c>
      <c r="Q61" s="23">
        <v>26.68</v>
      </c>
      <c r="R61" s="23">
        <v>172.255</v>
      </c>
      <c r="S61" s="23">
        <v>32.595</v>
      </c>
      <c r="T61" s="23">
        <v>141.449</v>
      </c>
      <c r="U61" s="23">
        <v>30.664</v>
      </c>
      <c r="V61" s="23">
        <v>97.259</v>
      </c>
      <c r="W61" s="23">
        <v>26.907</v>
      </c>
      <c r="X61" s="23">
        <v>172.004</v>
      </c>
      <c r="Y61" s="23">
        <v>32.776</v>
      </c>
      <c r="Z61" s="23">
        <v>141.304</v>
      </c>
      <c r="AA61" s="23">
        <v>30.701</v>
      </c>
      <c r="AB61" s="23">
        <v>97.226</v>
      </c>
      <c r="AC61" s="23">
        <v>26.849</v>
      </c>
      <c r="AD61" s="22">
        <f t="shared" ref="AD61:AI61" si="61">AVERAGE(L61,R61,X61)</f>
        <v>160.4943333</v>
      </c>
      <c r="AE61" s="22">
        <f t="shared" si="61"/>
        <v>32.446</v>
      </c>
      <c r="AF61" s="22">
        <f t="shared" si="61"/>
        <v>141.6556667</v>
      </c>
      <c r="AG61" s="22">
        <f t="shared" si="61"/>
        <v>30.53266667</v>
      </c>
      <c r="AH61" s="22">
        <f t="shared" si="61"/>
        <v>97.39433333</v>
      </c>
      <c r="AI61" s="22">
        <f t="shared" si="61"/>
        <v>26.812</v>
      </c>
      <c r="AJ61" s="22"/>
      <c r="AK61" s="22"/>
      <c r="AL61" s="22"/>
      <c r="AM61" s="22"/>
    </row>
    <row r="62">
      <c r="A62" s="13" t="s">
        <v>20</v>
      </c>
      <c r="B62" s="26">
        <v>45607.0</v>
      </c>
      <c r="C62" s="13" t="s">
        <v>25</v>
      </c>
      <c r="D62" s="13">
        <v>1.1</v>
      </c>
      <c r="E62" s="13" t="s">
        <v>22</v>
      </c>
      <c r="F62" s="13">
        <v>3.0</v>
      </c>
      <c r="G62" s="13" t="s">
        <v>26</v>
      </c>
      <c r="H62" s="23">
        <v>17.6316</v>
      </c>
      <c r="I62" s="23">
        <v>574.8614</v>
      </c>
      <c r="J62" s="23">
        <v>3.709</v>
      </c>
      <c r="K62" s="23">
        <v>0.011</v>
      </c>
      <c r="L62" s="23">
        <v>140.035</v>
      </c>
      <c r="M62" s="23">
        <v>31.883</v>
      </c>
      <c r="N62" s="23">
        <v>125.525</v>
      </c>
      <c r="O62" s="23">
        <v>32.384</v>
      </c>
      <c r="P62" s="23">
        <v>73.775</v>
      </c>
      <c r="Q62" s="23">
        <v>31.021</v>
      </c>
      <c r="R62" s="23">
        <v>138.142</v>
      </c>
      <c r="S62" s="23">
        <v>33.634</v>
      </c>
      <c r="T62" s="23">
        <v>123.749</v>
      </c>
      <c r="U62" s="23">
        <v>33.868</v>
      </c>
      <c r="V62" s="23">
        <v>72.9</v>
      </c>
      <c r="W62" s="23">
        <v>31.798</v>
      </c>
      <c r="X62" s="23">
        <v>137.558</v>
      </c>
      <c r="Y62" s="23">
        <v>34.406</v>
      </c>
      <c r="Z62" s="23">
        <v>123.182</v>
      </c>
      <c r="AA62" s="23">
        <v>34.5</v>
      </c>
      <c r="AB62" s="23">
        <v>71.79</v>
      </c>
      <c r="AC62" s="23">
        <v>31.781</v>
      </c>
      <c r="AD62" s="22">
        <f t="shared" ref="AD62:AI62" si="62">AVERAGE(L62,R62,X62)</f>
        <v>138.5783333</v>
      </c>
      <c r="AE62" s="22">
        <f t="shared" si="62"/>
        <v>33.30766667</v>
      </c>
      <c r="AF62" s="22">
        <f t="shared" si="62"/>
        <v>124.152</v>
      </c>
      <c r="AG62" s="22">
        <f t="shared" si="62"/>
        <v>33.584</v>
      </c>
      <c r="AH62" s="22">
        <f t="shared" si="62"/>
        <v>72.82166667</v>
      </c>
      <c r="AI62" s="22">
        <f t="shared" si="62"/>
        <v>31.53333333</v>
      </c>
      <c r="AJ62" s="22"/>
      <c r="AK62" s="22"/>
      <c r="AL62" s="22"/>
      <c r="AM62" s="22"/>
    </row>
    <row r="63">
      <c r="A63" s="13" t="s">
        <v>20</v>
      </c>
      <c r="B63" s="26">
        <v>45607.0</v>
      </c>
      <c r="C63" s="13" t="s">
        <v>25</v>
      </c>
      <c r="D63" s="13">
        <v>1.2</v>
      </c>
      <c r="E63" s="13" t="s">
        <v>22</v>
      </c>
      <c r="F63" s="13">
        <v>3.0</v>
      </c>
      <c r="G63" s="13" t="s">
        <v>26</v>
      </c>
      <c r="H63" s="23">
        <v>14.4651</v>
      </c>
      <c r="I63" s="23">
        <v>597.6048</v>
      </c>
      <c r="J63" s="23">
        <v>4.587</v>
      </c>
      <c r="K63" s="23">
        <v>0.084</v>
      </c>
      <c r="L63" s="23">
        <v>113.614</v>
      </c>
      <c r="M63" s="23">
        <v>38.93</v>
      </c>
      <c r="N63" s="23">
        <v>97.859</v>
      </c>
      <c r="O63" s="23">
        <v>39.646</v>
      </c>
      <c r="P63" s="23">
        <v>57.588</v>
      </c>
      <c r="Q63" s="23">
        <v>34.589</v>
      </c>
      <c r="R63" s="23">
        <v>113.818</v>
      </c>
      <c r="S63" s="23">
        <v>39.224</v>
      </c>
      <c r="T63" s="23">
        <v>97.96</v>
      </c>
      <c r="U63" s="23">
        <v>40.054</v>
      </c>
      <c r="V63" s="23">
        <v>57.988</v>
      </c>
      <c r="W63" s="23">
        <v>35.661</v>
      </c>
      <c r="X63" s="23">
        <v>113.64</v>
      </c>
      <c r="Y63" s="23">
        <v>39.138</v>
      </c>
      <c r="Z63" s="23">
        <v>97.794</v>
      </c>
      <c r="AA63" s="23">
        <v>39.897</v>
      </c>
      <c r="AB63" s="23">
        <v>57.773</v>
      </c>
      <c r="AC63" s="23">
        <v>35.091</v>
      </c>
      <c r="AD63" s="22">
        <f t="shared" ref="AD63:AI63" si="63">AVERAGE(L63,R63,X63)</f>
        <v>113.6906667</v>
      </c>
      <c r="AE63" s="22">
        <f t="shared" si="63"/>
        <v>39.09733333</v>
      </c>
      <c r="AF63" s="22">
        <f t="shared" si="63"/>
        <v>97.871</v>
      </c>
      <c r="AG63" s="22">
        <f t="shared" si="63"/>
        <v>39.86566667</v>
      </c>
      <c r="AH63" s="22">
        <f t="shared" si="63"/>
        <v>57.783</v>
      </c>
      <c r="AI63" s="22">
        <f t="shared" si="63"/>
        <v>35.11366667</v>
      </c>
      <c r="AJ63" s="22"/>
      <c r="AK63" s="22"/>
      <c r="AL63" s="22"/>
      <c r="AM63" s="22"/>
    </row>
    <row r="64">
      <c r="A64" s="13" t="s">
        <v>20</v>
      </c>
      <c r="B64" s="26">
        <v>45607.0</v>
      </c>
      <c r="C64" s="13" t="s">
        <v>25</v>
      </c>
      <c r="D64" s="13">
        <v>1.3</v>
      </c>
      <c r="E64" s="13" t="s">
        <v>22</v>
      </c>
      <c r="F64" s="13">
        <v>3.0</v>
      </c>
      <c r="G64" s="13" t="s">
        <v>26</v>
      </c>
      <c r="H64" s="23">
        <v>16.775</v>
      </c>
      <c r="I64" s="23">
        <v>576.02</v>
      </c>
      <c r="J64" s="23">
        <v>3.726</v>
      </c>
      <c r="K64" s="23">
        <v>0.033</v>
      </c>
      <c r="L64" s="23">
        <v>109.441</v>
      </c>
      <c r="M64" s="23">
        <v>34.987</v>
      </c>
      <c r="N64" s="23">
        <v>93.318</v>
      </c>
      <c r="O64" s="23">
        <v>34.776</v>
      </c>
      <c r="P64" s="23">
        <v>52.215</v>
      </c>
      <c r="Q64" s="23">
        <v>27.858</v>
      </c>
      <c r="R64" s="23">
        <v>109.406</v>
      </c>
      <c r="S64" s="23">
        <v>34.947</v>
      </c>
      <c r="T64" s="23">
        <v>93.36</v>
      </c>
      <c r="U64" s="23">
        <v>34.727</v>
      </c>
      <c r="V64" s="23">
        <v>52.411</v>
      </c>
      <c r="W64" s="23">
        <v>27.689</v>
      </c>
      <c r="X64" s="23">
        <v>109.522</v>
      </c>
      <c r="Y64" s="23">
        <v>35.215</v>
      </c>
      <c r="Z64" s="23">
        <v>93.529</v>
      </c>
      <c r="AA64" s="23">
        <v>34.998</v>
      </c>
      <c r="AB64" s="23">
        <v>52.691</v>
      </c>
      <c r="AC64" s="23">
        <v>28.33</v>
      </c>
      <c r="AD64" s="22">
        <f t="shared" ref="AD64:AI64" si="64">AVERAGE(L64,R64,X64)</f>
        <v>109.4563333</v>
      </c>
      <c r="AE64" s="22">
        <f t="shared" si="64"/>
        <v>35.04966667</v>
      </c>
      <c r="AF64" s="22">
        <f t="shared" si="64"/>
        <v>93.40233333</v>
      </c>
      <c r="AG64" s="22">
        <f t="shared" si="64"/>
        <v>34.83366667</v>
      </c>
      <c r="AH64" s="22">
        <f t="shared" si="64"/>
        <v>52.439</v>
      </c>
      <c r="AI64" s="22">
        <f t="shared" si="64"/>
        <v>27.959</v>
      </c>
      <c r="AJ64" s="22"/>
      <c r="AK64" s="22"/>
      <c r="AL64" s="22"/>
      <c r="AM64" s="22"/>
    </row>
    <row r="65">
      <c r="A65" s="13" t="s">
        <v>20</v>
      </c>
      <c r="B65" s="26">
        <v>45607.0</v>
      </c>
      <c r="C65" s="13" t="s">
        <v>25</v>
      </c>
      <c r="D65" s="13">
        <v>1.4</v>
      </c>
      <c r="E65" s="13" t="s">
        <v>22</v>
      </c>
      <c r="F65" s="13">
        <v>3.0</v>
      </c>
      <c r="G65" s="13" t="s">
        <v>26</v>
      </c>
      <c r="H65" s="23">
        <v>20.4944</v>
      </c>
      <c r="I65" s="23">
        <v>529.2218</v>
      </c>
      <c r="J65" s="23">
        <v>5.845</v>
      </c>
      <c r="K65" s="23">
        <v>0.06</v>
      </c>
      <c r="L65" s="23">
        <v>148.727</v>
      </c>
      <c r="M65" s="23">
        <v>26.922</v>
      </c>
      <c r="N65" s="23">
        <v>131.305</v>
      </c>
      <c r="O65" s="23">
        <v>26.788</v>
      </c>
      <c r="P65" s="23">
        <v>98.323</v>
      </c>
      <c r="Q65" s="23">
        <v>25.296</v>
      </c>
      <c r="R65" s="23">
        <v>149.08</v>
      </c>
      <c r="S65" s="23">
        <v>26.463</v>
      </c>
      <c r="T65" s="23">
        <v>131.635</v>
      </c>
      <c r="U65" s="23">
        <v>26.364</v>
      </c>
      <c r="V65" s="23">
        <v>98.616</v>
      </c>
      <c r="W65" s="23">
        <v>24.898</v>
      </c>
      <c r="X65" s="23">
        <v>150.231</v>
      </c>
      <c r="Y65" s="23">
        <v>25.17</v>
      </c>
      <c r="Z65" s="23">
        <v>132.704</v>
      </c>
      <c r="AA65" s="23">
        <v>25.389</v>
      </c>
      <c r="AB65" s="23">
        <v>99.588</v>
      </c>
      <c r="AC65" s="23">
        <v>24.132</v>
      </c>
      <c r="AD65" s="22">
        <f t="shared" ref="AD65:AI65" si="65">AVERAGE(L65,R65,X65)</f>
        <v>149.346</v>
      </c>
      <c r="AE65" s="22">
        <f t="shared" si="65"/>
        <v>26.185</v>
      </c>
      <c r="AF65" s="22">
        <f t="shared" si="65"/>
        <v>131.8813333</v>
      </c>
      <c r="AG65" s="22">
        <f t="shared" si="65"/>
        <v>26.18033333</v>
      </c>
      <c r="AH65" s="22">
        <f t="shared" si="65"/>
        <v>98.84233333</v>
      </c>
      <c r="AI65" s="22">
        <f t="shared" si="65"/>
        <v>24.77533333</v>
      </c>
      <c r="AJ65" s="22"/>
      <c r="AK65" s="22"/>
      <c r="AL65" s="22"/>
      <c r="AM65" s="22"/>
    </row>
    <row r="66">
      <c r="A66" s="13" t="s">
        <v>20</v>
      </c>
      <c r="B66" s="26">
        <v>45607.0</v>
      </c>
      <c r="C66" s="13" t="s">
        <v>25</v>
      </c>
      <c r="D66" s="13">
        <v>2.1</v>
      </c>
      <c r="E66" s="13" t="s">
        <v>22</v>
      </c>
      <c r="F66" s="13">
        <v>3.0</v>
      </c>
      <c r="G66" s="13" t="s">
        <v>26</v>
      </c>
      <c r="H66" s="23">
        <v>19.7462</v>
      </c>
      <c r="I66" s="23">
        <v>530.4054</v>
      </c>
      <c r="J66" s="23">
        <v>5.598</v>
      </c>
      <c r="K66" s="23">
        <v>0.04</v>
      </c>
      <c r="L66" s="23">
        <v>140.097</v>
      </c>
      <c r="M66" s="23">
        <v>22.321</v>
      </c>
      <c r="N66" s="23">
        <v>123.791</v>
      </c>
      <c r="O66" s="23">
        <v>22.244</v>
      </c>
      <c r="P66" s="23">
        <v>81.389</v>
      </c>
      <c r="Q66" s="23">
        <v>20.168</v>
      </c>
      <c r="R66" s="23">
        <v>139.921</v>
      </c>
      <c r="S66" s="23">
        <v>22.756</v>
      </c>
      <c r="T66" s="23">
        <v>123.616</v>
      </c>
      <c r="U66" s="23">
        <v>22.534</v>
      </c>
      <c r="V66" s="23">
        <v>81.146</v>
      </c>
      <c r="W66" s="23">
        <v>20.162</v>
      </c>
      <c r="X66" s="23">
        <v>138.882</v>
      </c>
      <c r="Y66" s="23">
        <v>23.868</v>
      </c>
      <c r="Z66" s="23">
        <v>122.746</v>
      </c>
      <c r="AA66" s="23">
        <v>23.368</v>
      </c>
      <c r="AB66" s="23">
        <v>80.736</v>
      </c>
      <c r="AC66" s="23">
        <v>20.561</v>
      </c>
      <c r="AD66" s="22">
        <f t="shared" ref="AD66:AI66" si="66">AVERAGE(L66,R66,X66)</f>
        <v>139.6333333</v>
      </c>
      <c r="AE66" s="22">
        <f t="shared" si="66"/>
        <v>22.98166667</v>
      </c>
      <c r="AF66" s="22">
        <f t="shared" si="66"/>
        <v>123.3843333</v>
      </c>
      <c r="AG66" s="22">
        <f t="shared" si="66"/>
        <v>22.71533333</v>
      </c>
      <c r="AH66" s="22">
        <f t="shared" si="66"/>
        <v>81.09033333</v>
      </c>
      <c r="AI66" s="22">
        <f t="shared" si="66"/>
        <v>20.297</v>
      </c>
      <c r="AJ66" s="22"/>
      <c r="AK66" s="22"/>
      <c r="AL66" s="22"/>
      <c r="AM66" s="22"/>
    </row>
    <row r="67">
      <c r="A67" s="13" t="s">
        <v>20</v>
      </c>
      <c r="B67" s="26">
        <v>45607.0</v>
      </c>
      <c r="C67" s="13" t="s">
        <v>25</v>
      </c>
      <c r="D67" s="13">
        <v>2.2</v>
      </c>
      <c r="E67" s="13" t="s">
        <v>22</v>
      </c>
      <c r="F67" s="13">
        <v>3.0</v>
      </c>
      <c r="G67" s="13" t="s">
        <v>26</v>
      </c>
      <c r="H67" s="23">
        <v>23.1203</v>
      </c>
      <c r="I67" s="23">
        <v>565.2051</v>
      </c>
      <c r="J67" s="23">
        <v>6.49</v>
      </c>
      <c r="K67" s="23">
        <v>0.055</v>
      </c>
      <c r="L67" s="23">
        <v>138.884</v>
      </c>
      <c r="M67" s="23">
        <v>38.312</v>
      </c>
      <c r="N67" s="23">
        <v>122.095</v>
      </c>
      <c r="O67" s="23">
        <v>38.059</v>
      </c>
      <c r="P67" s="23">
        <v>77.033</v>
      </c>
      <c r="Q67" s="23">
        <v>34.807</v>
      </c>
      <c r="R67" s="23">
        <v>138.757</v>
      </c>
      <c r="S67" s="23">
        <v>38.515</v>
      </c>
      <c r="T67" s="23">
        <v>121.917</v>
      </c>
      <c r="U67" s="23">
        <v>38.246</v>
      </c>
      <c r="V67" s="23">
        <v>76.966</v>
      </c>
      <c r="W67" s="23">
        <v>34.774</v>
      </c>
      <c r="X67" s="23">
        <v>139.245</v>
      </c>
      <c r="Y67" s="23">
        <v>38.215</v>
      </c>
      <c r="Z67" s="23">
        <v>122.365</v>
      </c>
      <c r="AA67" s="23">
        <v>38.026</v>
      </c>
      <c r="AB67" s="23">
        <v>77.271</v>
      </c>
      <c r="AC67" s="23">
        <v>34.703</v>
      </c>
      <c r="AD67" s="22">
        <f t="shared" ref="AD67:AI67" si="67">AVERAGE(L67,R67,X67)</f>
        <v>138.962</v>
      </c>
      <c r="AE67" s="22">
        <f t="shared" si="67"/>
        <v>38.34733333</v>
      </c>
      <c r="AF67" s="22">
        <f t="shared" si="67"/>
        <v>122.1256667</v>
      </c>
      <c r="AG67" s="22">
        <f t="shared" si="67"/>
        <v>38.11033333</v>
      </c>
      <c r="AH67" s="22">
        <f t="shared" si="67"/>
        <v>77.09</v>
      </c>
      <c r="AI67" s="22">
        <f t="shared" si="67"/>
        <v>34.76133333</v>
      </c>
      <c r="AJ67" s="22"/>
      <c r="AK67" s="22"/>
      <c r="AL67" s="22"/>
      <c r="AM67" s="22"/>
    </row>
    <row r="68">
      <c r="A68" s="13" t="s">
        <v>20</v>
      </c>
      <c r="B68" s="26">
        <v>45607.0</v>
      </c>
      <c r="C68" s="13" t="s">
        <v>25</v>
      </c>
      <c r="D68" s="13">
        <v>2.3</v>
      </c>
      <c r="E68" s="13" t="s">
        <v>22</v>
      </c>
      <c r="F68" s="13">
        <v>3.0</v>
      </c>
      <c r="G68" s="13" t="s">
        <v>26</v>
      </c>
      <c r="H68" s="23">
        <v>16.4772</v>
      </c>
      <c r="I68" s="23">
        <v>436.0929</v>
      </c>
      <c r="J68" s="23">
        <v>7.961</v>
      </c>
      <c r="K68" s="23">
        <v>0.01</v>
      </c>
      <c r="L68" s="23">
        <v>152.842</v>
      </c>
      <c r="M68" s="23">
        <v>26.267</v>
      </c>
      <c r="N68" s="23">
        <v>132.794</v>
      </c>
      <c r="O68" s="23">
        <v>27.422</v>
      </c>
      <c r="P68" s="23">
        <v>79.277</v>
      </c>
      <c r="Q68" s="23">
        <v>27.234</v>
      </c>
      <c r="R68" s="23">
        <v>153.02</v>
      </c>
      <c r="S68" s="23">
        <v>26.023</v>
      </c>
      <c r="T68" s="23">
        <v>132.909</v>
      </c>
      <c r="U68" s="23">
        <v>27.242</v>
      </c>
      <c r="V68" s="23">
        <v>79.25</v>
      </c>
      <c r="W68" s="23">
        <v>27.059</v>
      </c>
      <c r="X68" s="23">
        <v>153.035</v>
      </c>
      <c r="Y68" s="23">
        <v>25.904</v>
      </c>
      <c r="Z68" s="23">
        <v>132.907</v>
      </c>
      <c r="AA68" s="23">
        <v>27.157</v>
      </c>
      <c r="AB68" s="23">
        <v>79.213</v>
      </c>
      <c r="AC68" s="23">
        <v>27.007</v>
      </c>
      <c r="AD68" s="22">
        <f t="shared" ref="AD68:AI68" si="68">AVERAGE(L68,R68,X68)</f>
        <v>152.9656667</v>
      </c>
      <c r="AE68" s="22">
        <f t="shared" si="68"/>
        <v>26.06466667</v>
      </c>
      <c r="AF68" s="22">
        <f t="shared" si="68"/>
        <v>132.87</v>
      </c>
      <c r="AG68" s="22">
        <f t="shared" si="68"/>
        <v>27.27366667</v>
      </c>
      <c r="AH68" s="22">
        <f t="shared" si="68"/>
        <v>79.24666667</v>
      </c>
      <c r="AI68" s="22">
        <f t="shared" si="68"/>
        <v>27.1</v>
      </c>
      <c r="AJ68" s="22"/>
      <c r="AK68" s="22"/>
      <c r="AL68" s="22"/>
      <c r="AM68" s="22"/>
    </row>
    <row r="69">
      <c r="A69" s="13" t="s">
        <v>20</v>
      </c>
      <c r="B69" s="26">
        <v>45607.0</v>
      </c>
      <c r="C69" s="13" t="s">
        <v>25</v>
      </c>
      <c r="D69" s="13">
        <v>2.4</v>
      </c>
      <c r="E69" s="13" t="s">
        <v>22</v>
      </c>
      <c r="F69" s="13">
        <v>3.0</v>
      </c>
      <c r="G69" s="13" t="s">
        <v>26</v>
      </c>
      <c r="H69" s="23">
        <v>18.617</v>
      </c>
      <c r="I69" s="23">
        <v>550.9307</v>
      </c>
      <c r="J69" s="23">
        <v>4.511</v>
      </c>
      <c r="K69" s="23">
        <v>0.062</v>
      </c>
      <c r="L69" s="23">
        <v>146.19</v>
      </c>
      <c r="M69" s="23">
        <v>25.606</v>
      </c>
      <c r="N69" s="23">
        <v>128.44</v>
      </c>
      <c r="O69" s="23">
        <v>25.984</v>
      </c>
      <c r="P69" s="23">
        <v>97.166</v>
      </c>
      <c r="Q69" s="23">
        <v>25.741</v>
      </c>
      <c r="R69" s="23">
        <v>146.449</v>
      </c>
      <c r="S69" s="23">
        <v>25.009</v>
      </c>
      <c r="T69" s="23">
        <v>128.641</v>
      </c>
      <c r="U69" s="23">
        <v>25.48</v>
      </c>
      <c r="V69" s="23">
        <v>97.332</v>
      </c>
      <c r="W69" s="23">
        <v>25.26</v>
      </c>
      <c r="X69" s="23">
        <v>146.963</v>
      </c>
      <c r="Y69" s="23">
        <v>24.565</v>
      </c>
      <c r="Z69" s="23">
        <v>129.155</v>
      </c>
      <c r="AA69" s="23">
        <v>25.109</v>
      </c>
      <c r="AB69" s="23">
        <v>97.847</v>
      </c>
      <c r="AC69" s="23">
        <v>24.82</v>
      </c>
      <c r="AD69" s="22">
        <f t="shared" ref="AD69:AI69" si="69">AVERAGE(L69,R69,X69)</f>
        <v>146.534</v>
      </c>
      <c r="AE69" s="22">
        <f t="shared" si="69"/>
        <v>25.06</v>
      </c>
      <c r="AF69" s="22">
        <f t="shared" si="69"/>
        <v>128.7453333</v>
      </c>
      <c r="AG69" s="22">
        <f t="shared" si="69"/>
        <v>25.52433333</v>
      </c>
      <c r="AH69" s="22">
        <f t="shared" si="69"/>
        <v>97.44833333</v>
      </c>
      <c r="AI69" s="22">
        <f t="shared" si="69"/>
        <v>25.27366667</v>
      </c>
      <c r="AJ69" s="22"/>
      <c r="AK69" s="22"/>
      <c r="AL69" s="22"/>
      <c r="AM69" s="22"/>
    </row>
    <row r="70">
      <c r="A70" s="13" t="s">
        <v>20</v>
      </c>
      <c r="B70" s="26">
        <v>45607.0</v>
      </c>
      <c r="C70" s="13" t="s">
        <v>25</v>
      </c>
      <c r="D70" s="13">
        <v>3.1</v>
      </c>
      <c r="E70" s="13" t="s">
        <v>22</v>
      </c>
      <c r="F70" s="13">
        <v>3.0</v>
      </c>
      <c r="G70" s="13" t="s">
        <v>26</v>
      </c>
      <c r="H70" s="23">
        <v>18.3751</v>
      </c>
      <c r="I70" s="23">
        <v>585.6111</v>
      </c>
      <c r="J70" s="23">
        <v>3.76</v>
      </c>
      <c r="K70" s="23">
        <v>0.042</v>
      </c>
      <c r="L70" s="23">
        <v>129.572</v>
      </c>
      <c r="M70" s="23">
        <v>27.588</v>
      </c>
      <c r="N70" s="23">
        <v>114.62</v>
      </c>
      <c r="O70" s="23">
        <v>28.226</v>
      </c>
      <c r="P70" s="23">
        <v>76.527</v>
      </c>
      <c r="Q70" s="23">
        <v>26.708</v>
      </c>
      <c r="R70" s="23">
        <v>129.766</v>
      </c>
      <c r="S70" s="23">
        <v>27.49</v>
      </c>
      <c r="T70" s="23">
        <v>114.738</v>
      </c>
      <c r="U70" s="23">
        <v>28.214</v>
      </c>
      <c r="V70" s="23">
        <v>76.441</v>
      </c>
      <c r="W70" s="23">
        <v>26.813</v>
      </c>
      <c r="X70" s="23">
        <v>129.665</v>
      </c>
      <c r="Y70" s="23">
        <v>27.55</v>
      </c>
      <c r="Z70" s="23">
        <v>114.679</v>
      </c>
      <c r="AA70" s="23">
        <v>28.203</v>
      </c>
      <c r="AB70" s="23">
        <v>76.608</v>
      </c>
      <c r="AC70" s="23">
        <v>26.663</v>
      </c>
      <c r="AD70" s="22">
        <f t="shared" ref="AD70:AI70" si="70">AVERAGE(L70,R70,X70)</f>
        <v>129.6676667</v>
      </c>
      <c r="AE70" s="22">
        <f t="shared" si="70"/>
        <v>27.54266667</v>
      </c>
      <c r="AF70" s="22">
        <f t="shared" si="70"/>
        <v>114.679</v>
      </c>
      <c r="AG70" s="22">
        <f t="shared" si="70"/>
        <v>28.21433333</v>
      </c>
      <c r="AH70" s="22">
        <f t="shared" si="70"/>
        <v>76.52533333</v>
      </c>
      <c r="AI70" s="22">
        <f t="shared" si="70"/>
        <v>26.728</v>
      </c>
      <c r="AJ70" s="22"/>
      <c r="AK70" s="22"/>
      <c r="AL70" s="22"/>
      <c r="AM70" s="22"/>
    </row>
    <row r="71">
      <c r="A71" s="13" t="s">
        <v>20</v>
      </c>
      <c r="B71" s="26">
        <v>45607.0</v>
      </c>
      <c r="C71" s="13" t="s">
        <v>25</v>
      </c>
      <c r="D71" s="13">
        <v>3.2</v>
      </c>
      <c r="E71" s="13" t="s">
        <v>22</v>
      </c>
      <c r="F71" s="13">
        <v>3.0</v>
      </c>
      <c r="G71" s="13" t="s">
        <v>26</v>
      </c>
      <c r="H71" s="23">
        <v>18.5689</v>
      </c>
      <c r="I71" s="23">
        <v>568.8051</v>
      </c>
      <c r="J71" s="23">
        <v>4.201</v>
      </c>
      <c r="K71" s="23">
        <v>0.016</v>
      </c>
      <c r="L71" s="23">
        <v>140.86</v>
      </c>
      <c r="M71" s="23">
        <v>31.833</v>
      </c>
      <c r="N71" s="23">
        <v>122.631</v>
      </c>
      <c r="O71" s="23">
        <v>33.17</v>
      </c>
      <c r="P71" s="23">
        <v>74.591</v>
      </c>
      <c r="Q71" s="23">
        <v>33.257</v>
      </c>
      <c r="R71" s="23">
        <v>141.067</v>
      </c>
      <c r="S71" s="23">
        <v>31.633</v>
      </c>
      <c r="T71" s="23">
        <v>122.814</v>
      </c>
      <c r="U71" s="23">
        <v>33.016</v>
      </c>
      <c r="V71" s="23">
        <v>74.626</v>
      </c>
      <c r="W71" s="23">
        <v>33.256</v>
      </c>
      <c r="X71" s="23">
        <v>141.007</v>
      </c>
      <c r="Y71" s="23">
        <v>31.93</v>
      </c>
      <c r="Z71" s="23">
        <v>122.768</v>
      </c>
      <c r="AA71" s="23">
        <v>33.259</v>
      </c>
      <c r="AB71" s="23">
        <v>74.678</v>
      </c>
      <c r="AC71" s="23">
        <v>33.349</v>
      </c>
      <c r="AD71" s="22">
        <f t="shared" ref="AD71:AI71" si="71">AVERAGE(L71,R71,X71)</f>
        <v>140.978</v>
      </c>
      <c r="AE71" s="22">
        <f t="shared" si="71"/>
        <v>31.79866667</v>
      </c>
      <c r="AF71" s="22">
        <f t="shared" si="71"/>
        <v>122.7376667</v>
      </c>
      <c r="AG71" s="22">
        <f t="shared" si="71"/>
        <v>33.14833333</v>
      </c>
      <c r="AH71" s="22">
        <f t="shared" si="71"/>
        <v>74.63166667</v>
      </c>
      <c r="AI71" s="22">
        <f t="shared" si="71"/>
        <v>33.28733333</v>
      </c>
      <c r="AJ71" s="22"/>
      <c r="AK71" s="22"/>
      <c r="AL71" s="22"/>
      <c r="AM71" s="22"/>
    </row>
    <row r="72">
      <c r="A72" s="13" t="s">
        <v>20</v>
      </c>
      <c r="B72" s="26">
        <v>45607.0</v>
      </c>
      <c r="C72" s="13" t="s">
        <v>25</v>
      </c>
      <c r="D72" s="13">
        <v>3.3</v>
      </c>
      <c r="E72" s="13" t="s">
        <v>22</v>
      </c>
      <c r="F72" s="13">
        <v>3.0</v>
      </c>
      <c r="G72" s="13" t="s">
        <v>26</v>
      </c>
      <c r="H72" s="23">
        <v>15.3565</v>
      </c>
      <c r="I72" s="23">
        <v>535.2484</v>
      </c>
      <c r="J72" s="23">
        <v>4.418</v>
      </c>
      <c r="K72" s="23">
        <v>0.058</v>
      </c>
      <c r="L72" s="23">
        <v>146.472</v>
      </c>
      <c r="M72" s="23">
        <v>25.443</v>
      </c>
      <c r="N72" s="23">
        <v>124.816</v>
      </c>
      <c r="O72" s="23">
        <v>27.292</v>
      </c>
      <c r="P72" s="23">
        <v>70.909</v>
      </c>
      <c r="Q72" s="23">
        <v>28.935</v>
      </c>
      <c r="R72" s="23">
        <v>146.448</v>
      </c>
      <c r="S72" s="23">
        <v>25.469</v>
      </c>
      <c r="T72" s="23">
        <v>124.816</v>
      </c>
      <c r="U72" s="23">
        <v>27.298</v>
      </c>
      <c r="V72" s="23">
        <v>70.919</v>
      </c>
      <c r="W72" s="23">
        <v>28.977</v>
      </c>
      <c r="X72" s="23">
        <v>146.033</v>
      </c>
      <c r="Y72" s="23">
        <v>26.024</v>
      </c>
      <c r="Z72" s="23">
        <v>124.459</v>
      </c>
      <c r="AA72" s="23">
        <v>27.708</v>
      </c>
      <c r="AB72" s="23">
        <v>70.744</v>
      </c>
      <c r="AC72" s="23">
        <v>29.062</v>
      </c>
      <c r="AD72" s="22">
        <f t="shared" ref="AD72:AI72" si="72">AVERAGE(L72,R72,X72)</f>
        <v>146.3176667</v>
      </c>
      <c r="AE72" s="22">
        <f t="shared" si="72"/>
        <v>25.64533333</v>
      </c>
      <c r="AF72" s="22">
        <f t="shared" si="72"/>
        <v>124.697</v>
      </c>
      <c r="AG72" s="22">
        <f t="shared" si="72"/>
        <v>27.43266667</v>
      </c>
      <c r="AH72" s="22">
        <f t="shared" si="72"/>
        <v>70.85733333</v>
      </c>
      <c r="AI72" s="22">
        <f t="shared" si="72"/>
        <v>28.99133333</v>
      </c>
      <c r="AJ72" s="22"/>
      <c r="AK72" s="22"/>
      <c r="AL72" s="22"/>
      <c r="AM72" s="22"/>
    </row>
    <row r="73">
      <c r="A73" s="13" t="s">
        <v>20</v>
      </c>
      <c r="B73" s="26">
        <v>45607.0</v>
      </c>
      <c r="C73" s="13" t="s">
        <v>25</v>
      </c>
      <c r="D73" s="13">
        <v>3.4</v>
      </c>
      <c r="E73" s="13" t="s">
        <v>22</v>
      </c>
      <c r="F73" s="13">
        <v>3.0</v>
      </c>
      <c r="G73" s="13" t="s">
        <v>26</v>
      </c>
      <c r="H73" s="23">
        <v>18.308</v>
      </c>
      <c r="I73" s="23">
        <v>525.6123</v>
      </c>
      <c r="J73" s="23">
        <v>5.585</v>
      </c>
      <c r="K73" s="23">
        <v>0.074</v>
      </c>
      <c r="L73" s="23">
        <v>139.266</v>
      </c>
      <c r="M73" s="23">
        <v>24.793</v>
      </c>
      <c r="N73" s="23">
        <v>119.576</v>
      </c>
      <c r="O73" s="23">
        <v>25.432</v>
      </c>
      <c r="P73" s="23">
        <v>86.35</v>
      </c>
      <c r="Q73" s="23">
        <v>24.093</v>
      </c>
      <c r="R73" s="23">
        <v>138.824</v>
      </c>
      <c r="S73" s="23">
        <v>24.811</v>
      </c>
      <c r="T73" s="23">
        <v>119.352</v>
      </c>
      <c r="U73" s="23">
        <v>25.296</v>
      </c>
      <c r="V73" s="23">
        <v>86.183</v>
      </c>
      <c r="W73" s="23">
        <v>24.103</v>
      </c>
      <c r="X73" s="23">
        <v>138.664</v>
      </c>
      <c r="Y73" s="23">
        <v>24.947</v>
      </c>
      <c r="Z73" s="23">
        <v>119.255</v>
      </c>
      <c r="AA73" s="23">
        <v>25.345</v>
      </c>
      <c r="AB73" s="23">
        <v>86.028</v>
      </c>
      <c r="AC73" s="23">
        <v>24.132</v>
      </c>
      <c r="AD73" s="22">
        <f t="shared" ref="AD73:AI73" si="73">AVERAGE(L73,R73,X73)</f>
        <v>138.918</v>
      </c>
      <c r="AE73" s="22">
        <f t="shared" si="73"/>
        <v>24.85033333</v>
      </c>
      <c r="AF73" s="22">
        <f t="shared" si="73"/>
        <v>119.3943333</v>
      </c>
      <c r="AG73" s="22">
        <f t="shared" si="73"/>
        <v>25.35766667</v>
      </c>
      <c r="AH73" s="22">
        <f t="shared" si="73"/>
        <v>86.187</v>
      </c>
      <c r="AI73" s="22">
        <f t="shared" si="73"/>
        <v>24.10933333</v>
      </c>
      <c r="AJ73" s="22"/>
      <c r="AK73" s="22"/>
      <c r="AL73" s="22"/>
      <c r="AM73" s="22"/>
    </row>
    <row r="74">
      <c r="A74" s="13" t="s">
        <v>20</v>
      </c>
      <c r="B74" s="26">
        <v>45607.0</v>
      </c>
      <c r="C74" s="13" t="s">
        <v>21</v>
      </c>
      <c r="D74" s="13">
        <v>4.1</v>
      </c>
      <c r="E74" s="13" t="s">
        <v>27</v>
      </c>
      <c r="F74" s="13">
        <v>2.0</v>
      </c>
      <c r="G74" s="13" t="s">
        <v>23</v>
      </c>
      <c r="H74" s="23">
        <v>8.347</v>
      </c>
      <c r="I74" s="23">
        <v>522.0345</v>
      </c>
      <c r="J74" s="23">
        <v>1.408</v>
      </c>
      <c r="K74" s="23">
        <v>0.03</v>
      </c>
      <c r="L74" s="23">
        <v>144.398</v>
      </c>
      <c r="M74" s="23">
        <v>30.914</v>
      </c>
      <c r="N74" s="23">
        <v>120.99</v>
      </c>
      <c r="O74" s="23">
        <v>29.62</v>
      </c>
      <c r="P74" s="23">
        <v>74.19</v>
      </c>
      <c r="Q74" s="23">
        <v>26.294</v>
      </c>
      <c r="R74" s="23">
        <v>147.55</v>
      </c>
      <c r="S74" s="23">
        <v>28.259</v>
      </c>
      <c r="T74" s="23">
        <v>123.902</v>
      </c>
      <c r="U74" s="23">
        <v>27.447</v>
      </c>
      <c r="V74" s="23">
        <v>76.515</v>
      </c>
      <c r="W74" s="23">
        <v>24.981</v>
      </c>
      <c r="X74" s="23">
        <v>147.707</v>
      </c>
      <c r="Y74" s="23">
        <v>27.99</v>
      </c>
      <c r="Z74" s="23">
        <v>124.024</v>
      </c>
      <c r="AA74" s="23">
        <v>27.261</v>
      </c>
      <c r="AB74" s="23">
        <v>76.606</v>
      </c>
      <c r="AC74" s="23">
        <v>24.874</v>
      </c>
      <c r="AD74" s="22">
        <f t="shared" ref="AD74:AI74" si="74">AVERAGE(L74,R74,X74)</f>
        <v>146.5516667</v>
      </c>
      <c r="AE74" s="22">
        <f t="shared" si="74"/>
        <v>29.05433333</v>
      </c>
      <c r="AF74" s="22">
        <f t="shared" si="74"/>
        <v>122.972</v>
      </c>
      <c r="AG74" s="22">
        <f t="shared" si="74"/>
        <v>28.10933333</v>
      </c>
      <c r="AH74" s="22">
        <f t="shared" si="74"/>
        <v>75.77033333</v>
      </c>
      <c r="AI74" s="22">
        <f t="shared" si="74"/>
        <v>25.383</v>
      </c>
      <c r="AJ74" s="22"/>
      <c r="AK74" s="22"/>
      <c r="AL74" s="22"/>
      <c r="AM74" s="22"/>
    </row>
    <row r="75">
      <c r="A75" s="13" t="s">
        <v>20</v>
      </c>
      <c r="B75" s="26">
        <v>45607.0</v>
      </c>
      <c r="C75" s="13" t="s">
        <v>21</v>
      </c>
      <c r="D75" s="13">
        <v>4.2</v>
      </c>
      <c r="E75" s="13" t="s">
        <v>27</v>
      </c>
      <c r="F75" s="13">
        <v>2.0</v>
      </c>
      <c r="G75" s="13" t="s">
        <v>23</v>
      </c>
      <c r="H75" s="23">
        <v>8.6</v>
      </c>
      <c r="I75" s="23">
        <v>537.6214</v>
      </c>
      <c r="J75" s="23">
        <v>1.551</v>
      </c>
      <c r="K75" s="23">
        <v>0.028</v>
      </c>
      <c r="L75" s="23">
        <v>148.428</v>
      </c>
      <c r="M75" s="23">
        <v>31.741</v>
      </c>
      <c r="N75" s="23">
        <v>121.815</v>
      </c>
      <c r="O75" s="23">
        <v>31.006</v>
      </c>
      <c r="P75" s="23">
        <v>73.994</v>
      </c>
      <c r="Q75" s="23">
        <v>28.889</v>
      </c>
      <c r="R75" s="23">
        <v>147.767</v>
      </c>
      <c r="S75" s="23">
        <v>32.169</v>
      </c>
      <c r="T75" s="23">
        <v>121.128</v>
      </c>
      <c r="U75" s="23">
        <v>31.286</v>
      </c>
      <c r="V75" s="23">
        <v>73.339</v>
      </c>
      <c r="W75" s="23">
        <v>28.853</v>
      </c>
      <c r="X75" s="23">
        <v>148.078</v>
      </c>
      <c r="Y75" s="23">
        <v>31.567</v>
      </c>
      <c r="Z75" s="23">
        <v>121.458</v>
      </c>
      <c r="AA75" s="23">
        <v>30.859</v>
      </c>
      <c r="AB75" s="23">
        <v>73.715</v>
      </c>
      <c r="AC75" s="23">
        <v>28.751</v>
      </c>
      <c r="AD75" s="22">
        <f t="shared" ref="AD75:AI75" si="75">AVERAGE(L75,R75,X75)</f>
        <v>148.091</v>
      </c>
      <c r="AE75" s="22">
        <f t="shared" si="75"/>
        <v>31.82566667</v>
      </c>
      <c r="AF75" s="22">
        <f t="shared" si="75"/>
        <v>121.467</v>
      </c>
      <c r="AG75" s="22">
        <f t="shared" si="75"/>
        <v>31.05033333</v>
      </c>
      <c r="AH75" s="22">
        <f t="shared" si="75"/>
        <v>73.68266667</v>
      </c>
      <c r="AI75" s="22">
        <f t="shared" si="75"/>
        <v>28.831</v>
      </c>
      <c r="AJ75" s="22"/>
      <c r="AK75" s="22"/>
      <c r="AL75" s="22"/>
      <c r="AM75" s="22"/>
    </row>
    <row r="76">
      <c r="A76" s="13" t="s">
        <v>20</v>
      </c>
      <c r="B76" s="26">
        <v>45607.0</v>
      </c>
      <c r="C76" s="13" t="s">
        <v>21</v>
      </c>
      <c r="D76" s="13">
        <v>4.3</v>
      </c>
      <c r="E76" s="13" t="s">
        <v>27</v>
      </c>
      <c r="F76" s="13">
        <v>2.0</v>
      </c>
      <c r="G76" s="13" t="s">
        <v>23</v>
      </c>
      <c r="H76" s="23">
        <v>8.324</v>
      </c>
      <c r="I76" s="23">
        <v>517.2682</v>
      </c>
      <c r="J76" s="23">
        <v>1.951</v>
      </c>
      <c r="K76" s="23">
        <v>0.034</v>
      </c>
      <c r="L76" s="23">
        <v>157.291</v>
      </c>
      <c r="M76" s="23">
        <v>25.49</v>
      </c>
      <c r="N76" s="23">
        <v>129.946</v>
      </c>
      <c r="O76" s="23">
        <v>24.686</v>
      </c>
      <c r="P76" s="23">
        <v>77.437</v>
      </c>
      <c r="Q76" s="23">
        <v>21.986</v>
      </c>
      <c r="R76" s="23">
        <v>159.044</v>
      </c>
      <c r="S76" s="23">
        <v>23.581</v>
      </c>
      <c r="T76" s="23">
        <v>131.428</v>
      </c>
      <c r="U76" s="23">
        <v>23.172</v>
      </c>
      <c r="V76" s="23">
        <v>78.346</v>
      </c>
      <c r="W76" s="23">
        <v>21.133</v>
      </c>
      <c r="X76" s="23">
        <v>157.538</v>
      </c>
      <c r="Y76" s="23">
        <v>25.476</v>
      </c>
      <c r="Z76" s="23">
        <v>130.112</v>
      </c>
      <c r="AA76" s="23">
        <v>24.677</v>
      </c>
      <c r="AB76" s="23">
        <v>77.365</v>
      </c>
      <c r="AC76" s="23">
        <v>22.039</v>
      </c>
      <c r="AD76" s="22">
        <f t="shared" ref="AD76:AI76" si="76">AVERAGE(L76,R76,X76)</f>
        <v>157.9576667</v>
      </c>
      <c r="AE76" s="22">
        <f t="shared" si="76"/>
        <v>24.849</v>
      </c>
      <c r="AF76" s="22">
        <f t="shared" si="76"/>
        <v>130.4953333</v>
      </c>
      <c r="AG76" s="22">
        <f t="shared" si="76"/>
        <v>24.17833333</v>
      </c>
      <c r="AH76" s="22">
        <f t="shared" si="76"/>
        <v>77.716</v>
      </c>
      <c r="AI76" s="22">
        <f t="shared" si="76"/>
        <v>21.71933333</v>
      </c>
      <c r="AJ76" s="22"/>
      <c r="AK76" s="22"/>
      <c r="AL76" s="22"/>
      <c r="AM76" s="22"/>
    </row>
    <row r="77">
      <c r="A77" s="13" t="s">
        <v>20</v>
      </c>
      <c r="B77" s="26">
        <v>45607.0</v>
      </c>
      <c r="C77" s="13" t="s">
        <v>21</v>
      </c>
      <c r="D77" s="13">
        <v>4.4</v>
      </c>
      <c r="E77" s="13" t="s">
        <v>27</v>
      </c>
      <c r="F77" s="13">
        <v>2.0</v>
      </c>
      <c r="G77" s="13" t="s">
        <v>23</v>
      </c>
      <c r="H77" s="23">
        <v>7.6093</v>
      </c>
      <c r="I77" s="23">
        <v>546.0013</v>
      </c>
      <c r="J77" s="23">
        <v>1.256</v>
      </c>
      <c r="K77" s="23">
        <v>0.025</v>
      </c>
      <c r="L77" s="23">
        <v>181.334</v>
      </c>
      <c r="M77" s="23">
        <v>29.941</v>
      </c>
      <c r="N77" s="23">
        <v>163.051</v>
      </c>
      <c r="O77" s="23">
        <v>33.318</v>
      </c>
      <c r="P77" s="23">
        <v>140.192</v>
      </c>
      <c r="Q77" s="23">
        <v>40.454</v>
      </c>
      <c r="R77" s="23">
        <v>183.73</v>
      </c>
      <c r="S77" s="23">
        <v>27.487</v>
      </c>
      <c r="T77" s="23">
        <v>165.597</v>
      </c>
      <c r="U77" s="23">
        <v>30.885</v>
      </c>
      <c r="V77" s="23">
        <v>142.904</v>
      </c>
      <c r="W77" s="23">
        <v>38.312</v>
      </c>
      <c r="X77" s="23">
        <v>183.391</v>
      </c>
      <c r="Y77" s="23">
        <v>27.671</v>
      </c>
      <c r="Z77" s="23">
        <v>165.193</v>
      </c>
      <c r="AA77" s="23">
        <v>31.981</v>
      </c>
      <c r="AB77" s="23">
        <v>142.403</v>
      </c>
      <c r="AC77" s="23">
        <v>38.388</v>
      </c>
      <c r="AD77" s="22">
        <f t="shared" ref="AD77:AI77" si="77">AVERAGE(L77,R77,X77)</f>
        <v>182.8183333</v>
      </c>
      <c r="AE77" s="22">
        <f t="shared" si="77"/>
        <v>28.36633333</v>
      </c>
      <c r="AF77" s="22">
        <f t="shared" si="77"/>
        <v>164.6136667</v>
      </c>
      <c r="AG77" s="22">
        <f t="shared" si="77"/>
        <v>32.06133333</v>
      </c>
      <c r="AH77" s="22">
        <f t="shared" si="77"/>
        <v>141.833</v>
      </c>
      <c r="AI77" s="22">
        <f t="shared" si="77"/>
        <v>39.05133333</v>
      </c>
      <c r="AJ77" s="22"/>
      <c r="AK77" s="22"/>
      <c r="AL77" s="22"/>
      <c r="AM77" s="22"/>
    </row>
    <row r="78">
      <c r="A78" s="13" t="s">
        <v>20</v>
      </c>
      <c r="B78" s="26">
        <v>45607.0</v>
      </c>
      <c r="C78" s="13" t="s">
        <v>21</v>
      </c>
      <c r="D78" s="13">
        <v>5.1</v>
      </c>
      <c r="E78" s="13" t="s">
        <v>27</v>
      </c>
      <c r="F78" s="13">
        <v>2.0</v>
      </c>
      <c r="G78" s="13" t="s">
        <v>23</v>
      </c>
      <c r="H78" s="23">
        <v>8.985</v>
      </c>
      <c r="I78" s="23">
        <v>514.8503</v>
      </c>
      <c r="J78" s="23">
        <v>1.819</v>
      </c>
      <c r="K78" s="23">
        <v>0.013</v>
      </c>
      <c r="L78" s="23">
        <v>96.411</v>
      </c>
      <c r="M78" s="23">
        <v>37.734</v>
      </c>
      <c r="N78" s="23">
        <v>69.244</v>
      </c>
      <c r="O78" s="23">
        <v>35.813</v>
      </c>
      <c r="P78" s="23">
        <v>39.17</v>
      </c>
      <c r="Q78" s="23">
        <v>22.978</v>
      </c>
      <c r="R78" s="23">
        <v>96.345</v>
      </c>
      <c r="S78" s="23">
        <v>27.593</v>
      </c>
      <c r="T78" s="23">
        <v>29.112</v>
      </c>
      <c r="U78" s="23">
        <v>35.496</v>
      </c>
      <c r="V78" s="23">
        <v>38.825</v>
      </c>
      <c r="W78" s="23">
        <v>22.321</v>
      </c>
      <c r="X78" s="23">
        <v>96.371</v>
      </c>
      <c r="Y78" s="23">
        <v>37.391</v>
      </c>
      <c r="Z78" s="23">
        <v>69.139</v>
      </c>
      <c r="AA78" s="23">
        <v>35.363</v>
      </c>
      <c r="AB78" s="23">
        <v>38.793</v>
      </c>
      <c r="AC78" s="23">
        <v>22.203</v>
      </c>
      <c r="AD78" s="22">
        <f t="shared" ref="AD78:AI78" si="78">AVERAGE(L78,R78,X78)</f>
        <v>96.37566667</v>
      </c>
      <c r="AE78" s="22">
        <f t="shared" si="78"/>
        <v>34.23933333</v>
      </c>
      <c r="AF78" s="22">
        <f t="shared" si="78"/>
        <v>55.83166667</v>
      </c>
      <c r="AG78" s="22">
        <f t="shared" si="78"/>
        <v>35.55733333</v>
      </c>
      <c r="AH78" s="22">
        <f t="shared" si="78"/>
        <v>38.92933333</v>
      </c>
      <c r="AI78" s="22">
        <f t="shared" si="78"/>
        <v>22.50066667</v>
      </c>
      <c r="AJ78" s="22"/>
      <c r="AK78" s="22"/>
      <c r="AL78" s="22"/>
      <c r="AM78" s="22"/>
    </row>
    <row r="79">
      <c r="A79" s="13" t="s">
        <v>20</v>
      </c>
      <c r="B79" s="26">
        <v>45607.0</v>
      </c>
      <c r="C79" s="13" t="s">
        <v>21</v>
      </c>
      <c r="D79" s="13">
        <v>5.2</v>
      </c>
      <c r="E79" s="13" t="s">
        <v>27</v>
      </c>
      <c r="F79" s="13">
        <v>2.0</v>
      </c>
      <c r="G79" s="13" t="s">
        <v>23</v>
      </c>
      <c r="H79" s="23">
        <v>9.514</v>
      </c>
      <c r="I79" s="23">
        <v>532.8338</v>
      </c>
      <c r="J79" s="23">
        <v>2.475</v>
      </c>
      <c r="K79" s="23">
        <v>0.024</v>
      </c>
      <c r="L79" s="23">
        <v>97.754</v>
      </c>
      <c r="M79" s="23">
        <v>33.777</v>
      </c>
      <c r="N79" s="23">
        <v>70.455</v>
      </c>
      <c r="O79" s="23">
        <v>34.027</v>
      </c>
      <c r="P79" s="23">
        <v>43.84</v>
      </c>
      <c r="Q79" s="23">
        <v>24.296</v>
      </c>
      <c r="R79" s="23">
        <v>97.544</v>
      </c>
      <c r="S79" s="23">
        <v>33.434</v>
      </c>
      <c r="T79" s="23">
        <v>70.255</v>
      </c>
      <c r="U79" s="23">
        <v>33.589</v>
      </c>
      <c r="V79" s="23">
        <v>43.472</v>
      </c>
      <c r="W79" s="23">
        <v>23.602</v>
      </c>
      <c r="X79" s="23">
        <v>97.862</v>
      </c>
      <c r="Y79" s="23">
        <v>33.537</v>
      </c>
      <c r="Z79" s="23">
        <v>70.874</v>
      </c>
      <c r="AA79" s="23">
        <v>34.018</v>
      </c>
      <c r="AB79" s="23">
        <v>44.101</v>
      </c>
      <c r="AC79" s="23">
        <v>24.56</v>
      </c>
      <c r="AD79" s="22">
        <f t="shared" ref="AD79:AI79" si="79">AVERAGE(L79,R79,X79)</f>
        <v>97.72</v>
      </c>
      <c r="AE79" s="22">
        <f t="shared" si="79"/>
        <v>33.58266667</v>
      </c>
      <c r="AF79" s="22">
        <f t="shared" si="79"/>
        <v>70.528</v>
      </c>
      <c r="AG79" s="22">
        <f t="shared" si="79"/>
        <v>33.878</v>
      </c>
      <c r="AH79" s="22">
        <f t="shared" si="79"/>
        <v>43.80433333</v>
      </c>
      <c r="AI79" s="22">
        <f t="shared" si="79"/>
        <v>24.15266667</v>
      </c>
      <c r="AJ79" s="22"/>
      <c r="AK79" s="22"/>
      <c r="AL79" s="22"/>
      <c r="AM79" s="22"/>
    </row>
    <row r="80">
      <c r="A80" s="13" t="s">
        <v>20</v>
      </c>
      <c r="B80" s="26">
        <v>45607.0</v>
      </c>
      <c r="C80" s="13" t="s">
        <v>21</v>
      </c>
      <c r="D80" s="13">
        <v>5.3</v>
      </c>
      <c r="E80" s="13" t="s">
        <v>27</v>
      </c>
      <c r="F80" s="13">
        <v>2.0</v>
      </c>
      <c r="G80" s="13" t="s">
        <v>23</v>
      </c>
      <c r="H80" s="23">
        <v>9.808</v>
      </c>
      <c r="I80" s="23">
        <v>514.005</v>
      </c>
      <c r="J80" s="23">
        <v>2.311</v>
      </c>
      <c r="K80" s="23">
        <v>0.027</v>
      </c>
      <c r="L80" s="23">
        <v>106.182</v>
      </c>
      <c r="M80" s="23">
        <v>28.275</v>
      </c>
      <c r="N80" s="23">
        <v>76.392</v>
      </c>
      <c r="O80" s="23">
        <v>29.924</v>
      </c>
      <c r="P80" s="23">
        <v>43.825</v>
      </c>
      <c r="Q80" s="23">
        <v>21.73</v>
      </c>
      <c r="R80" s="23">
        <v>106.027</v>
      </c>
      <c r="S80" s="23">
        <v>28.293</v>
      </c>
      <c r="T80" s="23">
        <v>76.658</v>
      </c>
      <c r="U80" s="23">
        <v>30.003</v>
      </c>
      <c r="V80" s="23">
        <v>44.117</v>
      </c>
      <c r="W80" s="23">
        <v>22.242</v>
      </c>
      <c r="X80" s="23">
        <v>106.425</v>
      </c>
      <c r="Y80" s="23">
        <v>28.278</v>
      </c>
      <c r="Z80" s="23">
        <v>77.23</v>
      </c>
      <c r="AA80" s="23">
        <v>30.317</v>
      </c>
      <c r="AB80" s="23">
        <v>44.832</v>
      </c>
      <c r="AC80" s="23">
        <v>23.056</v>
      </c>
      <c r="AD80" s="22">
        <f t="shared" ref="AD80:AI80" si="80">AVERAGE(L80,R80,X80)</f>
        <v>106.2113333</v>
      </c>
      <c r="AE80" s="22">
        <f t="shared" si="80"/>
        <v>28.282</v>
      </c>
      <c r="AF80" s="22">
        <f t="shared" si="80"/>
        <v>76.76</v>
      </c>
      <c r="AG80" s="22">
        <f t="shared" si="80"/>
        <v>30.08133333</v>
      </c>
      <c r="AH80" s="22">
        <f t="shared" si="80"/>
        <v>44.258</v>
      </c>
      <c r="AI80" s="22">
        <f t="shared" si="80"/>
        <v>22.34266667</v>
      </c>
      <c r="AJ80" s="22"/>
      <c r="AK80" s="22"/>
      <c r="AL80" s="22"/>
      <c r="AM80" s="22"/>
    </row>
    <row r="81">
      <c r="A81" s="13" t="s">
        <v>20</v>
      </c>
      <c r="B81" s="26">
        <v>45607.0</v>
      </c>
      <c r="C81" s="13" t="s">
        <v>21</v>
      </c>
      <c r="D81" s="13">
        <v>5.4</v>
      </c>
      <c r="E81" s="13" t="s">
        <v>27</v>
      </c>
      <c r="F81" s="13">
        <v>2.0</v>
      </c>
      <c r="G81" s="13" t="s">
        <v>23</v>
      </c>
      <c r="H81" s="23">
        <v>8.9352</v>
      </c>
      <c r="I81" s="23">
        <v>555.6013</v>
      </c>
      <c r="J81" s="23">
        <v>1.719</v>
      </c>
      <c r="K81" s="23">
        <v>0.021</v>
      </c>
      <c r="L81" s="23">
        <v>124.316</v>
      </c>
      <c r="M81" s="23">
        <v>26.017</v>
      </c>
      <c r="N81" s="23">
        <v>93.473</v>
      </c>
      <c r="O81" s="23">
        <v>28.632</v>
      </c>
      <c r="P81" s="23">
        <v>65.235</v>
      </c>
      <c r="Q81" s="23">
        <v>24.312</v>
      </c>
      <c r="R81" s="23">
        <v>125.166</v>
      </c>
      <c r="S81" s="23">
        <v>25.582</v>
      </c>
      <c r="T81" s="23">
        <v>93.743</v>
      </c>
      <c r="U81" s="23">
        <v>28.667</v>
      </c>
      <c r="V81" s="23">
        <v>66.061</v>
      </c>
      <c r="W81" s="23">
        <v>34.3</v>
      </c>
      <c r="X81" s="23">
        <v>124.591</v>
      </c>
      <c r="Y81" s="23">
        <v>25.928</v>
      </c>
      <c r="Z81" s="23">
        <v>93.714</v>
      </c>
      <c r="AA81" s="23">
        <v>28.7</v>
      </c>
      <c r="AB81" s="23">
        <v>65.329</v>
      </c>
      <c r="AC81" s="23">
        <v>34.445</v>
      </c>
      <c r="AD81" s="22">
        <f t="shared" ref="AD81:AI81" si="81">AVERAGE(L81,R81,X81)</f>
        <v>124.691</v>
      </c>
      <c r="AE81" s="22">
        <f t="shared" si="81"/>
        <v>25.84233333</v>
      </c>
      <c r="AF81" s="22">
        <f t="shared" si="81"/>
        <v>93.64333333</v>
      </c>
      <c r="AG81" s="22">
        <f t="shared" si="81"/>
        <v>28.66633333</v>
      </c>
      <c r="AH81" s="22">
        <f t="shared" si="81"/>
        <v>65.54166667</v>
      </c>
      <c r="AI81" s="22">
        <f t="shared" si="81"/>
        <v>31.019</v>
      </c>
      <c r="AJ81" s="22"/>
      <c r="AK81" s="22"/>
      <c r="AL81" s="22"/>
      <c r="AM81" s="22"/>
    </row>
    <row r="82">
      <c r="A82" s="13" t="s">
        <v>20</v>
      </c>
      <c r="B82" s="26">
        <v>45607.0</v>
      </c>
      <c r="C82" s="13" t="s">
        <v>21</v>
      </c>
      <c r="D82" s="13">
        <v>6.1</v>
      </c>
      <c r="E82" s="13" t="s">
        <v>27</v>
      </c>
      <c r="F82" s="13">
        <v>2.0</v>
      </c>
      <c r="G82" s="13" t="s">
        <v>23</v>
      </c>
      <c r="H82" s="23">
        <v>8.958</v>
      </c>
      <c r="I82" s="23">
        <v>573.6013</v>
      </c>
      <c r="J82" s="23">
        <v>2.076</v>
      </c>
      <c r="K82" s="23">
        <v>0.075</v>
      </c>
      <c r="L82" s="23">
        <v>119.008</v>
      </c>
      <c r="M82" s="23">
        <v>31.54</v>
      </c>
      <c r="N82" s="23">
        <v>86.662</v>
      </c>
      <c r="O82" s="23">
        <v>28.734</v>
      </c>
      <c r="P82" s="23">
        <v>43.438</v>
      </c>
      <c r="Q82" s="23">
        <v>19.744</v>
      </c>
      <c r="R82" s="23">
        <v>119.593</v>
      </c>
      <c r="S82" s="23">
        <v>31.455</v>
      </c>
      <c r="T82" s="23">
        <v>86.986</v>
      </c>
      <c r="U82" s="23">
        <v>28.901</v>
      </c>
      <c r="V82" s="23">
        <v>43.516</v>
      </c>
      <c r="W82" s="23">
        <v>19.846</v>
      </c>
      <c r="X82" s="23">
        <v>118.896</v>
      </c>
      <c r="Y82" s="23">
        <v>32.027</v>
      </c>
      <c r="Z82" s="23">
        <v>86.378</v>
      </c>
      <c r="AA82" s="23">
        <v>29.146</v>
      </c>
      <c r="AB82" s="23">
        <v>43.231</v>
      </c>
      <c r="AC82" s="23">
        <v>19.887</v>
      </c>
      <c r="AD82" s="22">
        <f t="shared" ref="AD82:AI82" si="82">AVERAGE(L82,R82,X82)</f>
        <v>119.1656667</v>
      </c>
      <c r="AE82" s="22">
        <f t="shared" si="82"/>
        <v>31.674</v>
      </c>
      <c r="AF82" s="22">
        <f t="shared" si="82"/>
        <v>86.67533333</v>
      </c>
      <c r="AG82" s="22">
        <f t="shared" si="82"/>
        <v>28.927</v>
      </c>
      <c r="AH82" s="22">
        <f t="shared" si="82"/>
        <v>43.395</v>
      </c>
      <c r="AI82" s="22">
        <f t="shared" si="82"/>
        <v>19.82566667</v>
      </c>
      <c r="AJ82" s="22"/>
      <c r="AK82" s="22"/>
      <c r="AL82" s="22"/>
      <c r="AM82" s="22"/>
    </row>
    <row r="83">
      <c r="A83" s="13" t="s">
        <v>20</v>
      </c>
      <c r="B83" s="26">
        <v>45607.0</v>
      </c>
      <c r="C83" s="13" t="s">
        <v>21</v>
      </c>
      <c r="D83" s="13">
        <v>6.2</v>
      </c>
      <c r="E83" s="13" t="s">
        <v>27</v>
      </c>
      <c r="F83" s="13">
        <v>2.0</v>
      </c>
      <c r="G83" s="13" t="s">
        <v>23</v>
      </c>
      <c r="H83" s="23">
        <v>7.962</v>
      </c>
      <c r="I83" s="23">
        <v>511.3408</v>
      </c>
      <c r="J83" s="23">
        <v>1.559</v>
      </c>
      <c r="K83" s="23">
        <v>0.004</v>
      </c>
      <c r="L83" s="23">
        <v>126.195</v>
      </c>
      <c r="M83" s="23">
        <v>30.553</v>
      </c>
      <c r="N83" s="23">
        <v>99.208</v>
      </c>
      <c r="O83" s="23">
        <v>29.374</v>
      </c>
      <c r="P83" s="23">
        <v>50.402</v>
      </c>
      <c r="Q83" s="23">
        <v>21.518</v>
      </c>
      <c r="R83" s="23">
        <v>125.039</v>
      </c>
      <c r="S83" s="23">
        <v>31.382</v>
      </c>
      <c r="T83" s="23">
        <v>98.405</v>
      </c>
      <c r="U83" s="23">
        <v>29.956</v>
      </c>
      <c r="V83" s="23">
        <v>50.154</v>
      </c>
      <c r="W83" s="23">
        <v>22.05</v>
      </c>
      <c r="X83" s="23">
        <v>124.668</v>
      </c>
      <c r="Y83" s="23">
        <v>31.567</v>
      </c>
      <c r="Z83" s="23">
        <v>98.095</v>
      </c>
      <c r="AA83" s="23">
        <v>30.018</v>
      </c>
      <c r="AB83" s="23">
        <v>50.074</v>
      </c>
      <c r="AC83" s="23">
        <v>21.98</v>
      </c>
      <c r="AD83" s="22">
        <f t="shared" ref="AD83:AI83" si="83">AVERAGE(L83,R83,X83)</f>
        <v>125.3006667</v>
      </c>
      <c r="AE83" s="22">
        <f t="shared" si="83"/>
        <v>31.16733333</v>
      </c>
      <c r="AF83" s="22">
        <f t="shared" si="83"/>
        <v>98.56933333</v>
      </c>
      <c r="AG83" s="22">
        <f t="shared" si="83"/>
        <v>29.78266667</v>
      </c>
      <c r="AH83" s="22">
        <f t="shared" si="83"/>
        <v>50.21</v>
      </c>
      <c r="AI83" s="22">
        <f t="shared" si="83"/>
        <v>21.84933333</v>
      </c>
      <c r="AJ83" s="22"/>
      <c r="AK83" s="22"/>
      <c r="AL83" s="22"/>
      <c r="AM83" s="22"/>
    </row>
    <row r="84">
      <c r="A84" s="13" t="s">
        <v>20</v>
      </c>
      <c r="B84" s="26">
        <v>45607.0</v>
      </c>
      <c r="C84" s="13" t="s">
        <v>21</v>
      </c>
      <c r="D84" s="13">
        <v>6.3</v>
      </c>
      <c r="E84" s="13" t="s">
        <v>27</v>
      </c>
      <c r="F84" s="13">
        <v>2.0</v>
      </c>
      <c r="G84" s="13" t="s">
        <v>23</v>
      </c>
      <c r="H84" s="23">
        <v>8.596</v>
      </c>
      <c r="I84" s="23">
        <v>520.8498</v>
      </c>
      <c r="J84" s="23">
        <v>1.574</v>
      </c>
      <c r="K84" s="23">
        <v>0.024</v>
      </c>
      <c r="L84" s="23">
        <v>151.516</v>
      </c>
      <c r="M84" s="23">
        <v>32.573</v>
      </c>
      <c r="N84" s="23">
        <v>120.215</v>
      </c>
      <c r="O84" s="23">
        <v>31.589</v>
      </c>
      <c r="P84" s="23">
        <v>65.151</v>
      </c>
      <c r="Q84" s="23">
        <v>28.966</v>
      </c>
      <c r="R84" s="23">
        <v>152.055</v>
      </c>
      <c r="S84" s="23">
        <v>32.956</v>
      </c>
      <c r="T84" s="23">
        <v>120.074</v>
      </c>
      <c r="U84" s="23">
        <v>31.99</v>
      </c>
      <c r="V84" s="23">
        <v>63.993</v>
      </c>
      <c r="W84" s="23">
        <v>28.226</v>
      </c>
      <c r="X84" s="23">
        <v>148.753</v>
      </c>
      <c r="Y84" s="23">
        <v>35.778</v>
      </c>
      <c r="Z84" s="23">
        <v>117.604</v>
      </c>
      <c r="AA84" s="23">
        <v>33.614</v>
      </c>
      <c r="AB84" s="23">
        <v>62.929</v>
      </c>
      <c r="AC84" s="23">
        <v>28.658</v>
      </c>
      <c r="AD84" s="22">
        <f t="shared" ref="AD84:AI84" si="84">AVERAGE(L84,R84,X84)</f>
        <v>150.7746667</v>
      </c>
      <c r="AE84" s="22">
        <f t="shared" si="84"/>
        <v>33.769</v>
      </c>
      <c r="AF84" s="22">
        <f t="shared" si="84"/>
        <v>119.2976667</v>
      </c>
      <c r="AG84" s="22">
        <f t="shared" si="84"/>
        <v>32.39766667</v>
      </c>
      <c r="AH84" s="22">
        <f t="shared" si="84"/>
        <v>64.02433333</v>
      </c>
      <c r="AI84" s="22">
        <f t="shared" si="84"/>
        <v>28.61666667</v>
      </c>
      <c r="AJ84" s="22"/>
      <c r="AK84" s="22"/>
      <c r="AL84" s="22"/>
      <c r="AM84" s="22"/>
    </row>
    <row r="85">
      <c r="A85" s="13" t="s">
        <v>20</v>
      </c>
      <c r="B85" s="26">
        <v>45607.0</v>
      </c>
      <c r="C85" s="13" t="s">
        <v>21</v>
      </c>
      <c r="D85" s="13">
        <v>6.4</v>
      </c>
      <c r="E85" s="13" t="s">
        <v>27</v>
      </c>
      <c r="F85" s="13">
        <v>2.0</v>
      </c>
      <c r="G85" s="13" t="s">
        <v>23</v>
      </c>
      <c r="H85" s="23">
        <v>8.0069</v>
      </c>
      <c r="I85" s="23">
        <v>560.463</v>
      </c>
      <c r="J85" s="23">
        <v>1.529</v>
      </c>
      <c r="K85" s="23">
        <v>0.022</v>
      </c>
      <c r="L85" s="23">
        <v>152.417</v>
      </c>
      <c r="M85" s="23">
        <v>35.613</v>
      </c>
      <c r="N85" s="23">
        <v>125.78</v>
      </c>
      <c r="O85" s="23">
        <v>36.796</v>
      </c>
      <c r="P85" s="23">
        <v>88.542</v>
      </c>
      <c r="Q85" s="23">
        <v>36.976</v>
      </c>
      <c r="R85" s="23">
        <v>154.287</v>
      </c>
      <c r="S85" s="23">
        <v>33.612</v>
      </c>
      <c r="T85" s="23">
        <v>127.487</v>
      </c>
      <c r="U85" s="23">
        <v>35.388</v>
      </c>
      <c r="V85" s="23">
        <v>90.037</v>
      </c>
      <c r="W85" s="23">
        <v>36.042</v>
      </c>
      <c r="X85" s="23">
        <v>153.622</v>
      </c>
      <c r="Y85" s="23">
        <v>34.063</v>
      </c>
      <c r="Z85" s="23">
        <v>126.938</v>
      </c>
      <c r="AA85" s="23">
        <v>35.674</v>
      </c>
      <c r="AB85" s="23">
        <v>89.627</v>
      </c>
      <c r="AC85" s="23">
        <v>36.144</v>
      </c>
      <c r="AD85" s="22">
        <f t="shared" ref="AD85:AI85" si="85">AVERAGE(L85,R85,X85)</f>
        <v>153.442</v>
      </c>
      <c r="AE85" s="22">
        <f t="shared" si="85"/>
        <v>34.42933333</v>
      </c>
      <c r="AF85" s="22">
        <f t="shared" si="85"/>
        <v>126.735</v>
      </c>
      <c r="AG85" s="22">
        <f t="shared" si="85"/>
        <v>35.95266667</v>
      </c>
      <c r="AH85" s="22">
        <f t="shared" si="85"/>
        <v>89.402</v>
      </c>
      <c r="AI85" s="22">
        <f t="shared" si="85"/>
        <v>36.38733333</v>
      </c>
      <c r="AJ85" s="22"/>
      <c r="AK85" s="22"/>
      <c r="AL85" s="22"/>
      <c r="AM85" s="22"/>
    </row>
    <row r="86">
      <c r="A86" s="13" t="s">
        <v>20</v>
      </c>
      <c r="B86" s="26">
        <v>45607.0</v>
      </c>
      <c r="C86" s="13" t="s">
        <v>24</v>
      </c>
      <c r="D86" s="13">
        <v>4.1</v>
      </c>
      <c r="E86" s="13" t="s">
        <v>27</v>
      </c>
      <c r="F86" s="13">
        <v>2.0</v>
      </c>
      <c r="G86" s="13" t="s">
        <v>23</v>
      </c>
      <c r="H86" s="23">
        <v>12.255</v>
      </c>
      <c r="I86" s="23">
        <v>498.0361</v>
      </c>
      <c r="J86" s="23">
        <v>5.55</v>
      </c>
      <c r="K86" s="23">
        <v>0.063</v>
      </c>
      <c r="L86" s="23">
        <v>161.638</v>
      </c>
      <c r="M86" s="23">
        <v>24.457</v>
      </c>
      <c r="N86" s="23">
        <v>121.062</v>
      </c>
      <c r="O86" s="23">
        <v>22.775</v>
      </c>
      <c r="P86" s="23">
        <v>54.625</v>
      </c>
      <c r="Q86" s="23">
        <v>17.854</v>
      </c>
      <c r="R86" s="23">
        <v>161.485</v>
      </c>
      <c r="S86" s="23">
        <v>24.615</v>
      </c>
      <c r="T86" s="23">
        <v>121.085</v>
      </c>
      <c r="U86" s="23">
        <v>22.903</v>
      </c>
      <c r="V86" s="23">
        <v>54.895</v>
      </c>
      <c r="W86" s="23">
        <v>18.57</v>
      </c>
      <c r="X86" s="23">
        <v>161.481</v>
      </c>
      <c r="Y86" s="23">
        <v>24.573</v>
      </c>
      <c r="Z86" s="23">
        <v>121.235</v>
      </c>
      <c r="AA86" s="23">
        <v>23.115</v>
      </c>
      <c r="AB86" s="23">
        <v>55.299</v>
      </c>
      <c r="AC86" s="23">
        <v>19.861</v>
      </c>
      <c r="AD86" s="22">
        <f t="shared" ref="AD86:AI86" si="86">AVERAGE(L86,R86,X86)</f>
        <v>161.5346667</v>
      </c>
      <c r="AE86" s="22">
        <f t="shared" si="86"/>
        <v>24.54833333</v>
      </c>
      <c r="AF86" s="22">
        <f t="shared" si="86"/>
        <v>121.1273333</v>
      </c>
      <c r="AG86" s="22">
        <f t="shared" si="86"/>
        <v>22.931</v>
      </c>
      <c r="AH86" s="22">
        <f t="shared" si="86"/>
        <v>54.93966667</v>
      </c>
      <c r="AI86" s="22">
        <f t="shared" si="86"/>
        <v>18.76166667</v>
      </c>
      <c r="AJ86" s="22"/>
      <c r="AK86" s="22"/>
      <c r="AL86" s="22"/>
      <c r="AM86" s="22"/>
    </row>
    <row r="87">
      <c r="A87" s="13" t="s">
        <v>20</v>
      </c>
      <c r="B87" s="26">
        <v>45607.0</v>
      </c>
      <c r="C87" s="13" t="s">
        <v>24</v>
      </c>
      <c r="D87" s="13">
        <v>4.2</v>
      </c>
      <c r="E87" s="13" t="s">
        <v>27</v>
      </c>
      <c r="F87" s="13">
        <v>2.0</v>
      </c>
      <c r="G87" s="13" t="s">
        <v>23</v>
      </c>
      <c r="H87" s="23">
        <v>13.025</v>
      </c>
      <c r="I87" s="23">
        <v>536.5342</v>
      </c>
      <c r="J87" s="23">
        <v>5.844</v>
      </c>
      <c r="K87" s="23">
        <v>0.039</v>
      </c>
      <c r="L87" s="23">
        <v>167.032</v>
      </c>
      <c r="M87" s="23">
        <v>22.198</v>
      </c>
      <c r="N87" s="23">
        <v>129.991</v>
      </c>
      <c r="O87" s="23">
        <v>21.593</v>
      </c>
      <c r="P87" s="23">
        <v>67.942</v>
      </c>
      <c r="Q87" s="23">
        <v>21.717</v>
      </c>
      <c r="R87" s="23">
        <v>167.191</v>
      </c>
      <c r="S87" s="23">
        <v>22.239</v>
      </c>
      <c r="T87" s="23">
        <v>130.097</v>
      </c>
      <c r="U87" s="23">
        <v>21.568</v>
      </c>
      <c r="V87" s="23">
        <v>68.097</v>
      </c>
      <c r="W87" s="23">
        <v>21.566</v>
      </c>
      <c r="X87" s="23">
        <v>167.543</v>
      </c>
      <c r="Y87" s="23">
        <v>21.565</v>
      </c>
      <c r="Z87" s="23">
        <v>130.293</v>
      </c>
      <c r="AA87" s="23">
        <v>21.307</v>
      </c>
      <c r="AB87" s="23">
        <v>68.016</v>
      </c>
      <c r="AC87" s="23">
        <v>21.41</v>
      </c>
      <c r="AD87" s="22">
        <f t="shared" ref="AD87:AI87" si="87">AVERAGE(L87,R87,X87)</f>
        <v>167.2553333</v>
      </c>
      <c r="AE87" s="22">
        <f t="shared" si="87"/>
        <v>22.00066667</v>
      </c>
      <c r="AF87" s="22">
        <f t="shared" si="87"/>
        <v>130.127</v>
      </c>
      <c r="AG87" s="22">
        <f t="shared" si="87"/>
        <v>21.48933333</v>
      </c>
      <c r="AH87" s="22">
        <f t="shared" si="87"/>
        <v>68.01833333</v>
      </c>
      <c r="AI87" s="22">
        <f t="shared" si="87"/>
        <v>21.56433333</v>
      </c>
      <c r="AJ87" s="22"/>
      <c r="AK87" s="22"/>
      <c r="AL87" s="22"/>
      <c r="AM87" s="22"/>
    </row>
    <row r="88">
      <c r="A88" s="13" t="s">
        <v>20</v>
      </c>
      <c r="B88" s="26">
        <v>45607.0</v>
      </c>
      <c r="C88" s="13" t="s">
        <v>24</v>
      </c>
      <c r="D88" s="13">
        <v>4.3</v>
      </c>
      <c r="E88" s="13" t="s">
        <v>27</v>
      </c>
      <c r="F88" s="13">
        <v>2.0</v>
      </c>
      <c r="G88" s="13" t="s">
        <v>23</v>
      </c>
      <c r="H88" s="23">
        <v>13.296</v>
      </c>
      <c r="I88" s="23">
        <v>478.8376</v>
      </c>
      <c r="J88" s="23">
        <v>5.931</v>
      </c>
      <c r="K88" s="23">
        <v>0.056</v>
      </c>
      <c r="L88" s="23">
        <v>152.614</v>
      </c>
      <c r="M88" s="23">
        <v>21.893</v>
      </c>
      <c r="N88" s="23">
        <v>115.603</v>
      </c>
      <c r="O88" s="23">
        <v>19.49</v>
      </c>
      <c r="P88" s="23">
        <v>55.138</v>
      </c>
      <c r="Q88" s="23">
        <v>16.178</v>
      </c>
      <c r="R88" s="23">
        <v>153.947</v>
      </c>
      <c r="S88" s="23">
        <v>19.609</v>
      </c>
      <c r="T88" s="23">
        <v>116.443</v>
      </c>
      <c r="U88" s="23">
        <v>18.017</v>
      </c>
      <c r="V88" s="23">
        <v>55.14</v>
      </c>
      <c r="W88" s="23">
        <v>15.208</v>
      </c>
      <c r="X88" s="23">
        <v>153.488</v>
      </c>
      <c r="Y88" s="23">
        <v>20.832</v>
      </c>
      <c r="Z88" s="23">
        <v>116.229</v>
      </c>
      <c r="AA88" s="23">
        <v>19.062</v>
      </c>
      <c r="AB88" s="23">
        <v>55.457</v>
      </c>
      <c r="AC88" s="23">
        <v>16.385</v>
      </c>
      <c r="AD88" s="22">
        <f t="shared" ref="AD88:AI88" si="88">AVERAGE(L88,R88,X88)</f>
        <v>153.3496667</v>
      </c>
      <c r="AE88" s="22">
        <f t="shared" si="88"/>
        <v>20.778</v>
      </c>
      <c r="AF88" s="22">
        <f t="shared" si="88"/>
        <v>116.0916667</v>
      </c>
      <c r="AG88" s="22">
        <f t="shared" si="88"/>
        <v>18.85633333</v>
      </c>
      <c r="AH88" s="22">
        <f t="shared" si="88"/>
        <v>55.245</v>
      </c>
      <c r="AI88" s="22">
        <f t="shared" si="88"/>
        <v>15.92366667</v>
      </c>
      <c r="AJ88" s="22"/>
      <c r="AK88" s="22"/>
      <c r="AL88" s="22"/>
      <c r="AM88" s="22"/>
    </row>
    <row r="89">
      <c r="A89" s="13" t="s">
        <v>20</v>
      </c>
      <c r="B89" s="26">
        <v>45607.0</v>
      </c>
      <c r="C89" s="13" t="s">
        <v>24</v>
      </c>
      <c r="D89" s="13">
        <v>4.4</v>
      </c>
      <c r="E89" s="13" t="s">
        <v>27</v>
      </c>
      <c r="F89" s="13">
        <v>2.0</v>
      </c>
      <c r="G89" s="13" t="s">
        <v>23</v>
      </c>
      <c r="H89" s="23">
        <v>12.8728</v>
      </c>
      <c r="I89" s="23">
        <v>542.265</v>
      </c>
      <c r="J89" s="23">
        <v>5.59</v>
      </c>
      <c r="K89" s="23">
        <v>0.04</v>
      </c>
      <c r="L89" s="23">
        <v>164.763</v>
      </c>
      <c r="M89" s="23">
        <v>24.569</v>
      </c>
      <c r="N89" s="23">
        <v>129.494</v>
      </c>
      <c r="O89" s="23">
        <v>23.385</v>
      </c>
      <c r="P89" s="23">
        <v>77.371</v>
      </c>
      <c r="Q89" s="23">
        <v>18.668</v>
      </c>
      <c r="R89" s="23">
        <v>164.885</v>
      </c>
      <c r="S89" s="23">
        <v>24.04</v>
      </c>
      <c r="T89" s="23">
        <v>129.75</v>
      </c>
      <c r="U89" s="23">
        <v>22.923</v>
      </c>
      <c r="V89" s="23">
        <v>77.573</v>
      </c>
      <c r="W89" s="23">
        <v>18.502</v>
      </c>
      <c r="X89" s="23">
        <v>164.656</v>
      </c>
      <c r="Y89" s="23">
        <v>24.587</v>
      </c>
      <c r="Z89" s="23">
        <v>129.535</v>
      </c>
      <c r="AA89" s="23">
        <v>23.382</v>
      </c>
      <c r="AB89" s="23">
        <v>77.502</v>
      </c>
      <c r="AC89" s="23">
        <v>18.863</v>
      </c>
      <c r="AD89" s="22">
        <f t="shared" ref="AD89:AI89" si="89">AVERAGE(L89,R89,X89)</f>
        <v>164.768</v>
      </c>
      <c r="AE89" s="22">
        <f t="shared" si="89"/>
        <v>24.39866667</v>
      </c>
      <c r="AF89" s="22">
        <f t="shared" si="89"/>
        <v>129.593</v>
      </c>
      <c r="AG89" s="22">
        <f t="shared" si="89"/>
        <v>23.23</v>
      </c>
      <c r="AH89" s="22">
        <f t="shared" si="89"/>
        <v>77.482</v>
      </c>
      <c r="AI89" s="22">
        <f t="shared" si="89"/>
        <v>18.67766667</v>
      </c>
      <c r="AJ89" s="22"/>
      <c r="AK89" s="22"/>
      <c r="AL89" s="22"/>
      <c r="AM89" s="22"/>
    </row>
    <row r="90">
      <c r="A90" s="13" t="s">
        <v>20</v>
      </c>
      <c r="B90" s="26">
        <v>45607.0</v>
      </c>
      <c r="C90" s="13" t="s">
        <v>24</v>
      </c>
      <c r="D90" s="13">
        <v>5.1</v>
      </c>
      <c r="E90" s="13" t="s">
        <v>27</v>
      </c>
      <c r="F90" s="13">
        <v>2.0</v>
      </c>
      <c r="G90" s="13" t="s">
        <v>23</v>
      </c>
      <c r="H90" s="23">
        <v>9.965</v>
      </c>
      <c r="I90" s="23">
        <v>484.895</v>
      </c>
      <c r="J90" s="23">
        <v>4.559</v>
      </c>
      <c r="K90" s="23">
        <v>0.006</v>
      </c>
      <c r="L90" s="23">
        <v>149.644</v>
      </c>
      <c r="M90" s="23">
        <v>23.306</v>
      </c>
      <c r="N90" s="23">
        <v>116.903</v>
      </c>
      <c r="O90" s="23">
        <v>20.931</v>
      </c>
      <c r="P90" s="23">
        <v>44.399</v>
      </c>
      <c r="Q90" s="23">
        <v>17.707</v>
      </c>
      <c r="R90" s="23">
        <v>150.418</v>
      </c>
      <c r="S90" s="23">
        <v>21.852</v>
      </c>
      <c r="T90" s="23">
        <v>117.347</v>
      </c>
      <c r="U90" s="23">
        <v>19.56</v>
      </c>
      <c r="V90" s="23">
        <v>43.949</v>
      </c>
      <c r="W90" s="23">
        <v>15.592</v>
      </c>
      <c r="X90" s="23">
        <v>150.049</v>
      </c>
      <c r="Y90" s="23">
        <v>22.543</v>
      </c>
      <c r="Z90" s="23">
        <v>117.057</v>
      </c>
      <c r="AA90" s="23">
        <v>20.126</v>
      </c>
      <c r="AB90" s="23">
        <v>43.968</v>
      </c>
      <c r="AC90" s="23">
        <v>15.924</v>
      </c>
      <c r="AD90" s="22">
        <f t="shared" ref="AD90:AI90" si="90">AVERAGE(L90,R90,X90)</f>
        <v>150.037</v>
      </c>
      <c r="AE90" s="22">
        <f t="shared" si="90"/>
        <v>22.567</v>
      </c>
      <c r="AF90" s="22">
        <f t="shared" si="90"/>
        <v>117.1023333</v>
      </c>
      <c r="AG90" s="22">
        <f t="shared" si="90"/>
        <v>20.20566667</v>
      </c>
      <c r="AH90" s="22">
        <f t="shared" si="90"/>
        <v>44.10533333</v>
      </c>
      <c r="AI90" s="22">
        <f t="shared" si="90"/>
        <v>16.40766667</v>
      </c>
      <c r="AJ90" s="22"/>
      <c r="AK90" s="22"/>
      <c r="AL90" s="22"/>
      <c r="AM90" s="22"/>
    </row>
    <row r="91">
      <c r="A91" s="13" t="s">
        <v>20</v>
      </c>
      <c r="B91" s="26">
        <v>45607.0</v>
      </c>
      <c r="C91" s="13" t="s">
        <v>24</v>
      </c>
      <c r="D91" s="13">
        <v>5.2</v>
      </c>
      <c r="E91" s="13" t="s">
        <v>27</v>
      </c>
      <c r="F91" s="13">
        <v>2.0</v>
      </c>
      <c r="G91" s="13" t="s">
        <v>23</v>
      </c>
      <c r="H91" s="23">
        <v>9.021</v>
      </c>
      <c r="I91" s="23">
        <v>515.3217</v>
      </c>
      <c r="J91" s="23">
        <v>3.652</v>
      </c>
      <c r="K91" s="23">
        <v>0.022</v>
      </c>
      <c r="L91" s="23">
        <v>151.123</v>
      </c>
      <c r="M91" s="23">
        <v>24.229</v>
      </c>
      <c r="N91" s="23">
        <v>116.625</v>
      </c>
      <c r="O91" s="23">
        <v>23.248</v>
      </c>
      <c r="P91" s="23">
        <v>47.285</v>
      </c>
      <c r="Q91" s="23">
        <v>18.875</v>
      </c>
      <c r="R91" s="23">
        <v>151.097</v>
      </c>
      <c r="S91" s="23">
        <v>24.89</v>
      </c>
      <c r="T91" s="23">
        <v>116.476</v>
      </c>
      <c r="U91" s="23">
        <v>23.841</v>
      </c>
      <c r="V91" s="23">
        <v>47.131</v>
      </c>
      <c r="W91" s="23">
        <v>19.083</v>
      </c>
      <c r="X91" s="23">
        <v>150.749</v>
      </c>
      <c r="Y91" s="23">
        <v>24.948</v>
      </c>
      <c r="Z91" s="23">
        <v>116.261</v>
      </c>
      <c r="AA91" s="23">
        <v>23.738</v>
      </c>
      <c r="AB91" s="23">
        <v>47.064</v>
      </c>
      <c r="AC91" s="23">
        <v>18.691</v>
      </c>
      <c r="AD91" s="22">
        <f t="shared" ref="AD91:AI91" si="91">AVERAGE(L91,R91,X91)</f>
        <v>150.9896667</v>
      </c>
      <c r="AE91" s="22">
        <f t="shared" si="91"/>
        <v>24.689</v>
      </c>
      <c r="AF91" s="22">
        <f t="shared" si="91"/>
        <v>116.454</v>
      </c>
      <c r="AG91" s="22">
        <f t="shared" si="91"/>
        <v>23.609</v>
      </c>
      <c r="AH91" s="22">
        <f t="shared" si="91"/>
        <v>47.16</v>
      </c>
      <c r="AI91" s="22">
        <f t="shared" si="91"/>
        <v>18.883</v>
      </c>
      <c r="AJ91" s="22"/>
      <c r="AK91" s="22"/>
      <c r="AL91" s="22"/>
      <c r="AM91" s="22"/>
    </row>
    <row r="92">
      <c r="A92" s="13" t="s">
        <v>20</v>
      </c>
      <c r="B92" s="26">
        <v>45607.0</v>
      </c>
      <c r="C92" s="13" t="s">
        <v>24</v>
      </c>
      <c r="D92" s="13">
        <v>5.3</v>
      </c>
      <c r="E92" s="13" t="s">
        <v>27</v>
      </c>
      <c r="F92" s="13">
        <v>2.0</v>
      </c>
      <c r="G92" s="13" t="s">
        <v>23</v>
      </c>
      <c r="H92" s="23">
        <v>9.584</v>
      </c>
      <c r="I92" s="23">
        <v>523.2612</v>
      </c>
      <c r="J92" s="23">
        <v>3.613</v>
      </c>
      <c r="K92" s="23">
        <v>0.024</v>
      </c>
      <c r="L92" s="23">
        <v>156.414</v>
      </c>
      <c r="M92" s="23">
        <v>21.808</v>
      </c>
      <c r="N92" s="23">
        <v>122.742</v>
      </c>
      <c r="O92" s="23">
        <v>19.784</v>
      </c>
      <c r="P92" s="23">
        <v>50.362</v>
      </c>
      <c r="Q92" s="23">
        <v>19.295</v>
      </c>
      <c r="R92" s="23">
        <v>155.975</v>
      </c>
      <c r="S92" s="23">
        <v>22.416</v>
      </c>
      <c r="T92" s="23">
        <v>122.023</v>
      </c>
      <c r="U92" s="23">
        <v>19.823</v>
      </c>
      <c r="V92" s="23">
        <v>48.989</v>
      </c>
      <c r="W92" s="23">
        <v>16.169</v>
      </c>
      <c r="X92" s="23">
        <v>154.68</v>
      </c>
      <c r="Y92" s="23">
        <v>24.397</v>
      </c>
      <c r="Z92" s="23">
        <v>121.205</v>
      </c>
      <c r="AA92" s="23">
        <v>21.386</v>
      </c>
      <c r="AB92" s="23">
        <v>49.401</v>
      </c>
      <c r="AC92" s="23">
        <v>17.839</v>
      </c>
      <c r="AD92" s="22">
        <f t="shared" ref="AD92:AI92" si="92">AVERAGE(L92,R92,X92)</f>
        <v>155.6896667</v>
      </c>
      <c r="AE92" s="22">
        <f t="shared" si="92"/>
        <v>22.87366667</v>
      </c>
      <c r="AF92" s="22">
        <f t="shared" si="92"/>
        <v>121.99</v>
      </c>
      <c r="AG92" s="22">
        <f t="shared" si="92"/>
        <v>20.331</v>
      </c>
      <c r="AH92" s="22">
        <f t="shared" si="92"/>
        <v>49.584</v>
      </c>
      <c r="AI92" s="22">
        <f t="shared" si="92"/>
        <v>17.76766667</v>
      </c>
      <c r="AJ92" s="22"/>
      <c r="AK92" s="22"/>
      <c r="AL92" s="22"/>
      <c r="AM92" s="22"/>
    </row>
    <row r="93">
      <c r="A93" s="13" t="s">
        <v>20</v>
      </c>
      <c r="B93" s="26">
        <v>45607.0</v>
      </c>
      <c r="C93" s="13" t="s">
        <v>24</v>
      </c>
      <c r="D93" s="13">
        <v>5.4</v>
      </c>
      <c r="E93" s="13" t="s">
        <v>27</v>
      </c>
      <c r="F93" s="13">
        <v>2.0</v>
      </c>
      <c r="G93" s="13" t="s">
        <v>23</v>
      </c>
      <c r="H93" s="23">
        <v>9.7634</v>
      </c>
      <c r="I93" s="23">
        <v>548.821</v>
      </c>
      <c r="J93" s="23">
        <v>3.844</v>
      </c>
      <c r="K93" s="23">
        <v>0.017</v>
      </c>
      <c r="L93" s="23">
        <v>142.648</v>
      </c>
      <c r="M93" s="23">
        <v>28.803</v>
      </c>
      <c r="N93" s="23">
        <v>114.429</v>
      </c>
      <c r="O93" s="23">
        <v>26.337</v>
      </c>
      <c r="P93" s="23">
        <v>62.997</v>
      </c>
      <c r="Q93" s="23">
        <v>24.056</v>
      </c>
      <c r="R93" s="23">
        <v>142.529</v>
      </c>
      <c r="S93" s="23">
        <v>28.695</v>
      </c>
      <c r="T93" s="23">
        <v>114.499</v>
      </c>
      <c r="U93" s="23">
        <v>26.356</v>
      </c>
      <c r="V93" s="23">
        <v>63.422</v>
      </c>
      <c r="W93" s="23">
        <v>24.494</v>
      </c>
      <c r="X93" s="23">
        <v>143.228</v>
      </c>
      <c r="Y93" s="23">
        <v>28.453</v>
      </c>
      <c r="Z93" s="23">
        <v>114.979</v>
      </c>
      <c r="AA93" s="23">
        <v>26.117</v>
      </c>
      <c r="AB93" s="23">
        <v>63.401</v>
      </c>
      <c r="AC93" s="23">
        <v>24.158</v>
      </c>
      <c r="AD93" s="22">
        <f t="shared" ref="AD93:AI93" si="93">AVERAGE(L93,R93,X93)</f>
        <v>142.8016667</v>
      </c>
      <c r="AE93" s="22">
        <f t="shared" si="93"/>
        <v>28.65033333</v>
      </c>
      <c r="AF93" s="22">
        <f t="shared" si="93"/>
        <v>114.6356667</v>
      </c>
      <c r="AG93" s="22">
        <f t="shared" si="93"/>
        <v>26.27</v>
      </c>
      <c r="AH93" s="22">
        <f t="shared" si="93"/>
        <v>63.27333333</v>
      </c>
      <c r="AI93" s="22">
        <f t="shared" si="93"/>
        <v>24.236</v>
      </c>
      <c r="AJ93" s="22"/>
      <c r="AK93" s="22"/>
      <c r="AL93" s="22"/>
      <c r="AM93" s="22"/>
    </row>
    <row r="94">
      <c r="A94" s="13" t="s">
        <v>20</v>
      </c>
      <c r="B94" s="26">
        <v>45607.0</v>
      </c>
      <c r="C94" s="13" t="s">
        <v>24</v>
      </c>
      <c r="D94" s="13">
        <v>6.1</v>
      </c>
      <c r="E94" s="13" t="s">
        <v>27</v>
      </c>
      <c r="F94" s="13">
        <v>2.0</v>
      </c>
      <c r="G94" s="13" t="s">
        <v>23</v>
      </c>
      <c r="H94" s="23">
        <v>12.24</v>
      </c>
      <c r="I94" s="23">
        <v>564.8204</v>
      </c>
      <c r="J94" s="23">
        <v>5.746</v>
      </c>
      <c r="K94" s="23">
        <v>0.068</v>
      </c>
      <c r="L94" s="23">
        <v>143.464</v>
      </c>
      <c r="M94" s="23">
        <v>21.32</v>
      </c>
      <c r="N94" s="23">
        <v>107.697</v>
      </c>
      <c r="O94" s="23">
        <v>20.458</v>
      </c>
      <c r="P94" s="23">
        <v>46.71</v>
      </c>
      <c r="Q94" s="23">
        <v>19.155</v>
      </c>
      <c r="R94" s="23">
        <v>143.439</v>
      </c>
      <c r="S94" s="23">
        <v>21.542</v>
      </c>
      <c r="T94" s="23">
        <v>107.853</v>
      </c>
      <c r="U94" s="23">
        <v>20.714</v>
      </c>
      <c r="V94" s="23">
        <v>47.121</v>
      </c>
      <c r="W94" s="23">
        <v>20.073</v>
      </c>
      <c r="X94" s="23">
        <v>143.126</v>
      </c>
      <c r="Y94" s="23">
        <v>22.024</v>
      </c>
      <c r="Z94" s="23">
        <v>107.69</v>
      </c>
      <c r="AA94" s="23">
        <v>21.071</v>
      </c>
      <c r="AB94" s="23">
        <v>47.256</v>
      </c>
      <c r="AC94" s="23">
        <v>20.616</v>
      </c>
      <c r="AD94" s="22">
        <f t="shared" ref="AD94:AI94" si="94">AVERAGE(L94,R94,X94)</f>
        <v>143.343</v>
      </c>
      <c r="AE94" s="22">
        <f t="shared" si="94"/>
        <v>21.62866667</v>
      </c>
      <c r="AF94" s="22">
        <f t="shared" si="94"/>
        <v>107.7466667</v>
      </c>
      <c r="AG94" s="22">
        <f t="shared" si="94"/>
        <v>20.74766667</v>
      </c>
      <c r="AH94" s="22">
        <f t="shared" si="94"/>
        <v>47.029</v>
      </c>
      <c r="AI94" s="22">
        <f t="shared" si="94"/>
        <v>19.948</v>
      </c>
      <c r="AJ94" s="22"/>
      <c r="AK94" s="22"/>
      <c r="AL94" s="22"/>
      <c r="AM94" s="22"/>
    </row>
    <row r="95">
      <c r="A95" s="13" t="s">
        <v>20</v>
      </c>
      <c r="B95" s="26">
        <v>45607.0</v>
      </c>
      <c r="C95" s="13" t="s">
        <v>24</v>
      </c>
      <c r="D95" s="13">
        <v>6.2</v>
      </c>
      <c r="E95" s="13" t="s">
        <v>27</v>
      </c>
      <c r="F95" s="13">
        <v>2.0</v>
      </c>
      <c r="G95" s="13" t="s">
        <v>23</v>
      </c>
      <c r="H95" s="23">
        <v>11.751</v>
      </c>
      <c r="I95" s="23">
        <v>537.6214</v>
      </c>
      <c r="J95" s="23">
        <v>5.462</v>
      </c>
      <c r="K95" s="23">
        <v>0.062</v>
      </c>
      <c r="L95" s="23">
        <v>153.596</v>
      </c>
      <c r="M95" s="23">
        <v>17.971</v>
      </c>
      <c r="N95" s="23">
        <v>117.851</v>
      </c>
      <c r="O95" s="23">
        <v>14.947</v>
      </c>
      <c r="P95" s="23">
        <v>52.995</v>
      </c>
      <c r="Q95" s="23">
        <v>16.175</v>
      </c>
      <c r="R95" s="23">
        <v>154.65</v>
      </c>
      <c r="S95" s="23">
        <v>16.224</v>
      </c>
      <c r="T95" s="23">
        <v>118.42</v>
      </c>
      <c r="U95" s="23">
        <v>13.997</v>
      </c>
      <c r="V95" s="23">
        <v>52.527</v>
      </c>
      <c r="W95" s="23">
        <v>15.404</v>
      </c>
      <c r="X95" s="23">
        <v>154.561</v>
      </c>
      <c r="Y95" s="23">
        <v>15.937</v>
      </c>
      <c r="Z95" s="23">
        <v>118.424</v>
      </c>
      <c r="AA95" s="23">
        <v>13.68</v>
      </c>
      <c r="AB95" s="23">
        <v>52.755</v>
      </c>
      <c r="AC95" s="23">
        <v>15.498</v>
      </c>
      <c r="AD95" s="22">
        <f t="shared" ref="AD95:AI95" si="95">AVERAGE(L95,R95,X95)</f>
        <v>154.269</v>
      </c>
      <c r="AE95" s="22">
        <f t="shared" si="95"/>
        <v>16.71066667</v>
      </c>
      <c r="AF95" s="22">
        <f t="shared" si="95"/>
        <v>118.2316667</v>
      </c>
      <c r="AG95" s="22">
        <f t="shared" si="95"/>
        <v>14.208</v>
      </c>
      <c r="AH95" s="22">
        <f t="shared" si="95"/>
        <v>52.759</v>
      </c>
      <c r="AI95" s="22">
        <f t="shared" si="95"/>
        <v>15.69233333</v>
      </c>
      <c r="AJ95" s="22"/>
      <c r="AK95" s="22"/>
      <c r="AL95" s="22"/>
      <c r="AM95" s="22"/>
    </row>
    <row r="96">
      <c r="A96" s="13" t="s">
        <v>20</v>
      </c>
      <c r="B96" s="26">
        <v>45607.0</v>
      </c>
      <c r="C96" s="13" t="s">
        <v>24</v>
      </c>
      <c r="D96" s="13">
        <v>6.3</v>
      </c>
      <c r="E96" s="13" t="s">
        <v>27</v>
      </c>
      <c r="F96" s="13">
        <v>2.0</v>
      </c>
      <c r="G96" s="13" t="s">
        <v>23</v>
      </c>
      <c r="H96" s="23">
        <v>11.696</v>
      </c>
      <c r="I96" s="23">
        <v>481.6027</v>
      </c>
      <c r="J96" s="23">
        <v>5.633</v>
      </c>
      <c r="K96" s="23">
        <v>0.011</v>
      </c>
      <c r="L96" s="23">
        <v>151.588</v>
      </c>
      <c r="M96" s="23">
        <v>22.021</v>
      </c>
      <c r="N96" s="23">
        <v>113.561</v>
      </c>
      <c r="O96" s="23">
        <v>19.186</v>
      </c>
      <c r="P96" s="23">
        <v>47.669</v>
      </c>
      <c r="Q96" s="23">
        <v>19.761</v>
      </c>
      <c r="R96" s="23">
        <v>151.907</v>
      </c>
      <c r="S96" s="23">
        <v>20.698</v>
      </c>
      <c r="T96" s="23">
        <v>113.268</v>
      </c>
      <c r="U96" s="23">
        <v>17.74</v>
      </c>
      <c r="V96" s="23">
        <v>46.259</v>
      </c>
      <c r="W96" s="23">
        <v>15.613</v>
      </c>
      <c r="X96" s="23">
        <v>151.213</v>
      </c>
      <c r="Y96" s="23">
        <v>21.777</v>
      </c>
      <c r="Z96" s="23">
        <v>112.995</v>
      </c>
      <c r="AA96" s="23">
        <v>18.521</v>
      </c>
      <c r="AB96" s="23">
        <v>46.817</v>
      </c>
      <c r="AC96" s="23">
        <v>17.044</v>
      </c>
      <c r="AD96" s="22">
        <f t="shared" ref="AD96:AI96" si="96">AVERAGE(L96,R96,X96)</f>
        <v>151.5693333</v>
      </c>
      <c r="AE96" s="22">
        <f t="shared" si="96"/>
        <v>21.49866667</v>
      </c>
      <c r="AF96" s="22">
        <f t="shared" si="96"/>
        <v>113.2746667</v>
      </c>
      <c r="AG96" s="22">
        <f t="shared" si="96"/>
        <v>18.48233333</v>
      </c>
      <c r="AH96" s="22">
        <f t="shared" si="96"/>
        <v>46.915</v>
      </c>
      <c r="AI96" s="22">
        <f t="shared" si="96"/>
        <v>17.47266667</v>
      </c>
      <c r="AJ96" s="22"/>
      <c r="AK96" s="22"/>
      <c r="AL96" s="22"/>
      <c r="AM96" s="22"/>
    </row>
    <row r="97">
      <c r="A97" s="13" t="s">
        <v>20</v>
      </c>
      <c r="B97" s="26">
        <v>45607.0</v>
      </c>
      <c r="C97" s="13" t="s">
        <v>24</v>
      </c>
      <c r="D97" s="13">
        <v>6.4</v>
      </c>
      <c r="E97" s="13" t="s">
        <v>27</v>
      </c>
      <c r="F97" s="13">
        <v>2.0</v>
      </c>
      <c r="G97" s="13" t="s">
        <v>23</v>
      </c>
      <c r="H97" s="23">
        <v>11.0871</v>
      </c>
      <c r="I97" s="23">
        <v>532.8865</v>
      </c>
      <c r="J97" s="23">
        <v>4.88</v>
      </c>
      <c r="K97" s="23">
        <v>0.08</v>
      </c>
      <c r="L97" s="23">
        <v>164.084</v>
      </c>
      <c r="M97" s="23">
        <v>23.697</v>
      </c>
      <c r="N97" s="23">
        <v>130.392</v>
      </c>
      <c r="O97" s="23">
        <v>19.998</v>
      </c>
      <c r="P97" s="23">
        <v>82.245</v>
      </c>
      <c r="Q97" s="23">
        <v>19.869</v>
      </c>
      <c r="R97" s="23">
        <v>164.952</v>
      </c>
      <c r="S97" s="23">
        <v>22.123</v>
      </c>
      <c r="T97" s="23">
        <v>131.222</v>
      </c>
      <c r="U97" s="23">
        <v>18.999</v>
      </c>
      <c r="V97" s="23">
        <v>82.991</v>
      </c>
      <c r="W97" s="23">
        <v>19.782</v>
      </c>
      <c r="X97" s="23">
        <v>165.035</v>
      </c>
      <c r="Y97" s="23">
        <v>21.823</v>
      </c>
      <c r="Z97" s="23">
        <v>131.309</v>
      </c>
      <c r="AA97" s="23">
        <v>18.83</v>
      </c>
      <c r="AB97" s="23">
        <v>83.2</v>
      </c>
      <c r="AC97" s="23">
        <v>19.812</v>
      </c>
      <c r="AD97" s="22">
        <f t="shared" ref="AD97:AI97" si="97">AVERAGE(L97,R97,X97)</f>
        <v>164.6903333</v>
      </c>
      <c r="AE97" s="22">
        <f t="shared" si="97"/>
        <v>22.54766667</v>
      </c>
      <c r="AF97" s="22">
        <f t="shared" si="97"/>
        <v>130.9743333</v>
      </c>
      <c r="AG97" s="22">
        <f t="shared" si="97"/>
        <v>19.27566667</v>
      </c>
      <c r="AH97" s="22">
        <f t="shared" si="97"/>
        <v>82.812</v>
      </c>
      <c r="AI97" s="22">
        <f t="shared" si="97"/>
        <v>19.821</v>
      </c>
      <c r="AJ97" s="22"/>
      <c r="AK97" s="22"/>
      <c r="AL97" s="22"/>
      <c r="AM97" s="22"/>
    </row>
    <row r="98">
      <c r="A98" s="13" t="s">
        <v>20</v>
      </c>
      <c r="B98" s="26">
        <v>45607.0</v>
      </c>
      <c r="C98" s="13" t="s">
        <v>25</v>
      </c>
      <c r="D98" s="13">
        <v>4.1</v>
      </c>
      <c r="E98" s="13" t="s">
        <v>27</v>
      </c>
      <c r="F98" s="13">
        <v>2.0</v>
      </c>
      <c r="G98" s="13" t="s">
        <v>23</v>
      </c>
      <c r="H98" s="23">
        <v>11.956</v>
      </c>
      <c r="I98" s="23">
        <v>521.6098</v>
      </c>
      <c r="J98" s="23">
        <v>4.204</v>
      </c>
      <c r="K98" s="23">
        <v>0.064</v>
      </c>
      <c r="L98" s="23">
        <v>137.763</v>
      </c>
      <c r="M98" s="23">
        <v>23.569</v>
      </c>
      <c r="N98" s="23">
        <v>112.986</v>
      </c>
      <c r="O98" s="23">
        <v>22.949</v>
      </c>
      <c r="P98" s="23">
        <v>62.596</v>
      </c>
      <c r="Q98" s="23">
        <v>21.066</v>
      </c>
      <c r="R98" s="23">
        <v>137.752</v>
      </c>
      <c r="S98" s="23">
        <v>23.254</v>
      </c>
      <c r="T98" s="23">
        <v>113.019</v>
      </c>
      <c r="U98" s="23">
        <v>22.636</v>
      </c>
      <c r="V98" s="23">
        <v>62.727</v>
      </c>
      <c r="W98" s="23">
        <v>20.819</v>
      </c>
      <c r="X98" s="23">
        <v>137.223</v>
      </c>
      <c r="Y98" s="23">
        <v>24.092</v>
      </c>
      <c r="Z98" s="23">
        <v>112.704</v>
      </c>
      <c r="AA98" s="23">
        <v>23.36</v>
      </c>
      <c r="AB98" s="23">
        <v>62.902</v>
      </c>
      <c r="AC98" s="23">
        <v>21.71</v>
      </c>
      <c r="AD98" s="22">
        <f t="shared" ref="AD98:AI98" si="98">AVERAGE(L98,R98,X98)</f>
        <v>137.5793333</v>
      </c>
      <c r="AE98" s="22">
        <f t="shared" si="98"/>
        <v>23.63833333</v>
      </c>
      <c r="AF98" s="22">
        <f t="shared" si="98"/>
        <v>112.903</v>
      </c>
      <c r="AG98" s="22">
        <f t="shared" si="98"/>
        <v>22.98166667</v>
      </c>
      <c r="AH98" s="22">
        <f t="shared" si="98"/>
        <v>62.74166667</v>
      </c>
      <c r="AI98" s="22">
        <f t="shared" si="98"/>
        <v>21.19833333</v>
      </c>
      <c r="AJ98" s="22"/>
      <c r="AK98" s="22"/>
      <c r="AL98" s="22"/>
      <c r="AM98" s="22"/>
    </row>
    <row r="99">
      <c r="A99" s="13" t="s">
        <v>20</v>
      </c>
      <c r="B99" s="26">
        <v>45607.0</v>
      </c>
      <c r="C99" s="13" t="s">
        <v>25</v>
      </c>
      <c r="D99" s="13">
        <v>4.2</v>
      </c>
      <c r="E99" s="13" t="s">
        <v>27</v>
      </c>
      <c r="F99" s="13">
        <v>2.0</v>
      </c>
      <c r="G99" s="13" t="s">
        <v>23</v>
      </c>
      <c r="H99" s="23">
        <v>10.358</v>
      </c>
      <c r="I99" s="23">
        <v>521.6098</v>
      </c>
      <c r="J99" s="23">
        <v>3.355</v>
      </c>
      <c r="K99" s="23">
        <v>0.023</v>
      </c>
      <c r="L99" s="23">
        <v>128.014</v>
      </c>
      <c r="M99" s="23">
        <v>27.19</v>
      </c>
      <c r="N99" s="23">
        <v>105.54</v>
      </c>
      <c r="O99" s="23">
        <v>26.882</v>
      </c>
      <c r="P99" s="23">
        <v>55.842</v>
      </c>
      <c r="Q99" s="23">
        <v>21.571</v>
      </c>
      <c r="R99" s="23">
        <v>127.946</v>
      </c>
      <c r="S99" s="23">
        <v>27.183</v>
      </c>
      <c r="T99" s="23">
        <v>105.434</v>
      </c>
      <c r="U99" s="23">
        <v>26.88</v>
      </c>
      <c r="V99" s="23">
        <v>55.676</v>
      </c>
      <c r="W99" s="23">
        <v>21.42</v>
      </c>
      <c r="X99" s="23">
        <v>127.735</v>
      </c>
      <c r="Y99" s="23">
        <v>27.833</v>
      </c>
      <c r="Z99" s="23">
        <v>105.524</v>
      </c>
      <c r="AA99" s="23">
        <v>27.563</v>
      </c>
      <c r="AB99" s="23">
        <v>56.43</v>
      </c>
      <c r="AC99" s="23">
        <v>23.082</v>
      </c>
      <c r="AD99" s="22">
        <f t="shared" ref="AD99:AI99" si="99">AVERAGE(L99,R99,X99)</f>
        <v>127.8983333</v>
      </c>
      <c r="AE99" s="22">
        <f t="shared" si="99"/>
        <v>27.402</v>
      </c>
      <c r="AF99" s="22">
        <f t="shared" si="99"/>
        <v>105.4993333</v>
      </c>
      <c r="AG99" s="22">
        <f t="shared" si="99"/>
        <v>27.10833333</v>
      </c>
      <c r="AH99" s="22">
        <f t="shared" si="99"/>
        <v>55.98266667</v>
      </c>
      <c r="AI99" s="22">
        <f t="shared" si="99"/>
        <v>22.02433333</v>
      </c>
      <c r="AJ99" s="22"/>
      <c r="AK99" s="22"/>
      <c r="AL99" s="22"/>
      <c r="AM99" s="22"/>
    </row>
    <row r="100">
      <c r="A100" s="13" t="s">
        <v>20</v>
      </c>
      <c r="B100" s="26">
        <v>45607.0</v>
      </c>
      <c r="C100" s="13" t="s">
        <v>25</v>
      </c>
      <c r="D100" s="13">
        <v>4.3</v>
      </c>
      <c r="E100" s="13" t="s">
        <v>27</v>
      </c>
      <c r="F100" s="13">
        <v>2.0</v>
      </c>
      <c r="G100" s="13" t="s">
        <v>23</v>
      </c>
      <c r="H100" s="23">
        <v>12.419</v>
      </c>
      <c r="I100" s="23">
        <v>512.09</v>
      </c>
      <c r="J100" s="23">
        <v>4.317</v>
      </c>
      <c r="K100" s="23">
        <v>0.029</v>
      </c>
      <c r="L100" s="23">
        <v>127.558</v>
      </c>
      <c r="M100" s="23">
        <v>25.504</v>
      </c>
      <c r="N100" s="23">
        <v>106.021</v>
      </c>
      <c r="O100" s="23">
        <v>25.21</v>
      </c>
      <c r="P100" s="23">
        <v>59.077</v>
      </c>
      <c r="Q100" s="23">
        <v>20.728</v>
      </c>
      <c r="R100" s="23">
        <v>127.822</v>
      </c>
      <c r="S100" s="23">
        <v>24.907</v>
      </c>
      <c r="T100" s="23">
        <v>106.115</v>
      </c>
      <c r="U100" s="23">
        <v>24.589</v>
      </c>
      <c r="V100" s="23">
        <v>58.859</v>
      </c>
      <c r="W100" s="23">
        <v>19.642</v>
      </c>
      <c r="X100" s="23">
        <v>127.434</v>
      </c>
      <c r="Y100" s="23">
        <v>25.303</v>
      </c>
      <c r="Z100" s="23">
        <v>105.886</v>
      </c>
      <c r="AA100" s="23">
        <v>24.834</v>
      </c>
      <c r="AB100" s="23">
        <v>58.893</v>
      </c>
      <c r="AC100" s="23">
        <v>19.824</v>
      </c>
      <c r="AD100" s="22">
        <f t="shared" ref="AD100:AI100" si="100">AVERAGE(L100,R100,X100)</f>
        <v>127.6046667</v>
      </c>
      <c r="AE100" s="22">
        <f t="shared" si="100"/>
        <v>25.238</v>
      </c>
      <c r="AF100" s="22">
        <f t="shared" si="100"/>
        <v>106.0073333</v>
      </c>
      <c r="AG100" s="22">
        <f t="shared" si="100"/>
        <v>24.87766667</v>
      </c>
      <c r="AH100" s="22">
        <f t="shared" si="100"/>
        <v>58.943</v>
      </c>
      <c r="AI100" s="22">
        <f t="shared" si="100"/>
        <v>20.06466667</v>
      </c>
      <c r="AJ100" s="22"/>
      <c r="AK100" s="22"/>
      <c r="AL100" s="22"/>
      <c r="AM100" s="22"/>
    </row>
    <row r="101">
      <c r="A101" s="13" t="s">
        <v>20</v>
      </c>
      <c r="B101" s="26">
        <v>45607.0</v>
      </c>
      <c r="C101" s="13" t="s">
        <v>25</v>
      </c>
      <c r="D101" s="13">
        <v>4.4</v>
      </c>
      <c r="E101" s="13" t="s">
        <v>27</v>
      </c>
      <c r="F101" s="13">
        <v>2.0</v>
      </c>
      <c r="G101" s="13" t="s">
        <v>23</v>
      </c>
      <c r="H101" s="23">
        <v>11.1352</v>
      </c>
      <c r="I101" s="23">
        <v>512.0225</v>
      </c>
      <c r="J101" s="23">
        <v>4.077</v>
      </c>
      <c r="K101" s="23">
        <v>0.005</v>
      </c>
      <c r="L101" s="23">
        <v>130.618</v>
      </c>
      <c r="M101" s="23">
        <v>31.674</v>
      </c>
      <c r="N101" s="23">
        <v>115.07</v>
      </c>
      <c r="O101" s="23">
        <v>30.598</v>
      </c>
      <c r="P101" s="23">
        <v>83.555</v>
      </c>
      <c r="Q101" s="23">
        <v>26.694</v>
      </c>
      <c r="R101" s="23">
        <v>131.282</v>
      </c>
      <c r="S101" s="23">
        <v>31.067</v>
      </c>
      <c r="T101" s="23">
        <v>115.517</v>
      </c>
      <c r="U101" s="23">
        <v>30.04</v>
      </c>
      <c r="V101" s="23">
        <v>83.535</v>
      </c>
      <c r="W101" s="23">
        <v>26.209</v>
      </c>
      <c r="X101" s="23">
        <v>130.676</v>
      </c>
      <c r="Y101" s="23">
        <v>31.575</v>
      </c>
      <c r="Z101" s="23">
        <v>115.172</v>
      </c>
      <c r="AA101" s="23">
        <v>30.554</v>
      </c>
      <c r="AB101" s="23">
        <v>83.659</v>
      </c>
      <c r="AC101" s="23">
        <v>26.851</v>
      </c>
      <c r="AD101" s="22">
        <f t="shared" ref="AD101:AI101" si="101">AVERAGE(L101,R101,X101)</f>
        <v>130.8586667</v>
      </c>
      <c r="AE101" s="22">
        <f t="shared" si="101"/>
        <v>31.43866667</v>
      </c>
      <c r="AF101" s="22">
        <f t="shared" si="101"/>
        <v>115.253</v>
      </c>
      <c r="AG101" s="22">
        <f t="shared" si="101"/>
        <v>30.39733333</v>
      </c>
      <c r="AH101" s="22">
        <f t="shared" si="101"/>
        <v>83.583</v>
      </c>
      <c r="AI101" s="22">
        <f t="shared" si="101"/>
        <v>26.58466667</v>
      </c>
      <c r="AJ101" s="22"/>
      <c r="AK101" s="22"/>
      <c r="AL101" s="22"/>
      <c r="AM101" s="22"/>
    </row>
    <row r="102">
      <c r="A102" s="13" t="s">
        <v>20</v>
      </c>
      <c r="B102" s="26">
        <v>45607.0</v>
      </c>
      <c r="C102" s="13" t="s">
        <v>25</v>
      </c>
      <c r="D102" s="13">
        <v>5.1</v>
      </c>
      <c r="E102" s="13" t="s">
        <v>27</v>
      </c>
      <c r="F102" s="13">
        <v>2.0</v>
      </c>
      <c r="G102" s="13" t="s">
        <v>23</v>
      </c>
      <c r="H102" s="23">
        <v>9.584</v>
      </c>
      <c r="I102" s="23">
        <v>512.04</v>
      </c>
      <c r="J102" s="23">
        <v>3.243</v>
      </c>
      <c r="K102" s="23">
        <v>0.065</v>
      </c>
      <c r="L102" s="23">
        <v>122.5</v>
      </c>
      <c r="M102" s="23">
        <v>29.599</v>
      </c>
      <c r="N102" s="23">
        <v>97.24</v>
      </c>
      <c r="O102" s="23">
        <v>28.47</v>
      </c>
      <c r="P102" s="23">
        <v>48.432</v>
      </c>
      <c r="Q102" s="23">
        <v>21.535</v>
      </c>
      <c r="R102" s="23">
        <v>123.407</v>
      </c>
      <c r="S102" s="23">
        <v>29.386</v>
      </c>
      <c r="T102" s="23">
        <v>97.813</v>
      </c>
      <c r="U102" s="23">
        <v>28.504</v>
      </c>
      <c r="V102" s="23">
        <v>48.435</v>
      </c>
      <c r="W102" s="23">
        <v>21.453</v>
      </c>
      <c r="X102" s="23">
        <v>122.949</v>
      </c>
      <c r="Y102" s="23">
        <v>29.301</v>
      </c>
      <c r="Z102" s="23">
        <v>97.494</v>
      </c>
      <c r="AA102" s="23">
        <v>28.376</v>
      </c>
      <c r="AB102" s="23">
        <v>48.35</v>
      </c>
      <c r="AC102" s="23">
        <v>21.507</v>
      </c>
      <c r="AD102" s="22">
        <f t="shared" ref="AD102:AI102" si="102">AVERAGE(L102,R102,X102)</f>
        <v>122.952</v>
      </c>
      <c r="AE102" s="22">
        <f t="shared" si="102"/>
        <v>29.42866667</v>
      </c>
      <c r="AF102" s="22">
        <f t="shared" si="102"/>
        <v>97.51566667</v>
      </c>
      <c r="AG102" s="22">
        <f t="shared" si="102"/>
        <v>28.45</v>
      </c>
      <c r="AH102" s="22">
        <f t="shared" si="102"/>
        <v>48.40566667</v>
      </c>
      <c r="AI102" s="22">
        <f t="shared" si="102"/>
        <v>21.49833333</v>
      </c>
      <c r="AJ102" s="22"/>
      <c r="AK102" s="22"/>
      <c r="AL102" s="22"/>
      <c r="AM102" s="22"/>
    </row>
    <row r="103">
      <c r="A103" s="13" t="s">
        <v>20</v>
      </c>
      <c r="B103" s="26">
        <v>45607.0</v>
      </c>
      <c r="C103" s="13" t="s">
        <v>25</v>
      </c>
      <c r="D103" s="13">
        <v>5.2</v>
      </c>
      <c r="E103" s="13" t="s">
        <v>27</v>
      </c>
      <c r="F103" s="13">
        <v>2.0</v>
      </c>
      <c r="G103" s="13" t="s">
        <v>23</v>
      </c>
      <c r="H103" s="23">
        <v>9.334</v>
      </c>
      <c r="I103" s="23">
        <v>510.4627</v>
      </c>
      <c r="J103" s="23">
        <v>2.868</v>
      </c>
      <c r="K103" s="23">
        <v>0.04</v>
      </c>
      <c r="L103" s="23">
        <v>131.037</v>
      </c>
      <c r="M103" s="23">
        <v>23.741</v>
      </c>
      <c r="N103" s="23">
        <v>104.191</v>
      </c>
      <c r="O103" s="23">
        <v>23.956</v>
      </c>
      <c r="P103" s="23">
        <v>58.377</v>
      </c>
      <c r="Q103" s="23">
        <v>20.843</v>
      </c>
      <c r="R103" s="23">
        <v>131.953</v>
      </c>
      <c r="S103" s="23">
        <v>21.986</v>
      </c>
      <c r="T103" s="23">
        <v>106.621</v>
      </c>
      <c r="U103" s="23">
        <v>22.674</v>
      </c>
      <c r="V103" s="23">
        <v>57.958</v>
      </c>
      <c r="W103" s="23">
        <v>19.22</v>
      </c>
      <c r="X103" s="23">
        <v>131.455</v>
      </c>
      <c r="Y103" s="23">
        <v>22.995</v>
      </c>
      <c r="Z103" s="23">
        <v>106.346</v>
      </c>
      <c r="AA103" s="23">
        <v>23.468</v>
      </c>
      <c r="AB103" s="23">
        <v>58.07</v>
      </c>
      <c r="AC103" s="23">
        <v>20.229</v>
      </c>
      <c r="AD103" s="22">
        <f t="shared" ref="AD103:AI103" si="103">AVERAGE(L103,R103,X103)</f>
        <v>131.4816667</v>
      </c>
      <c r="AE103" s="22">
        <f t="shared" si="103"/>
        <v>22.90733333</v>
      </c>
      <c r="AF103" s="22">
        <f t="shared" si="103"/>
        <v>105.7193333</v>
      </c>
      <c r="AG103" s="22">
        <f t="shared" si="103"/>
        <v>23.366</v>
      </c>
      <c r="AH103" s="22">
        <f t="shared" si="103"/>
        <v>58.135</v>
      </c>
      <c r="AI103" s="22">
        <f t="shared" si="103"/>
        <v>20.09733333</v>
      </c>
      <c r="AJ103" s="22"/>
      <c r="AK103" s="22"/>
      <c r="AL103" s="22"/>
      <c r="AM103" s="22"/>
    </row>
    <row r="104">
      <c r="A104" s="13" t="s">
        <v>20</v>
      </c>
      <c r="B104" s="26">
        <v>45607.0</v>
      </c>
      <c r="C104" s="13" t="s">
        <v>25</v>
      </c>
      <c r="D104" s="13">
        <v>5.3</v>
      </c>
      <c r="E104" s="13" t="s">
        <v>27</v>
      </c>
      <c r="F104" s="13">
        <v>2.0</v>
      </c>
      <c r="G104" s="13" t="s">
        <v>23</v>
      </c>
      <c r="H104" s="23">
        <v>9.818</v>
      </c>
      <c r="I104" s="23">
        <v>521.6393</v>
      </c>
      <c r="J104" s="23">
        <v>2.793</v>
      </c>
      <c r="K104" s="23">
        <v>0.008</v>
      </c>
      <c r="L104" s="23">
        <v>147.806</v>
      </c>
      <c r="M104" s="23">
        <v>22.229</v>
      </c>
      <c r="N104" s="23">
        <v>123.247</v>
      </c>
      <c r="O104" s="23">
        <v>22.435</v>
      </c>
      <c r="P104" s="23">
        <v>66.964</v>
      </c>
      <c r="Q104" s="23">
        <v>20.428</v>
      </c>
      <c r="R104" s="23">
        <v>147.573</v>
      </c>
      <c r="S104" s="23">
        <v>22.35</v>
      </c>
      <c r="T104" s="23">
        <v>123.215</v>
      </c>
      <c r="U104" s="23">
        <v>22.521</v>
      </c>
      <c r="V104" s="23">
        <v>67.311</v>
      </c>
      <c r="W104" s="23">
        <v>20.94</v>
      </c>
      <c r="X104" s="23">
        <v>148.199</v>
      </c>
      <c r="Y104" s="23">
        <v>22.002</v>
      </c>
      <c r="Z104" s="23">
        <v>123.656</v>
      </c>
      <c r="AA104" s="23">
        <v>22.293</v>
      </c>
      <c r="AB104" s="23">
        <v>67.411</v>
      </c>
      <c r="AC104" s="23">
        <v>20.571</v>
      </c>
      <c r="AD104" s="22">
        <f t="shared" ref="AD104:AI104" si="104">AVERAGE(L104,R104,X104)</f>
        <v>147.8593333</v>
      </c>
      <c r="AE104" s="22">
        <f t="shared" si="104"/>
        <v>22.19366667</v>
      </c>
      <c r="AF104" s="22">
        <f t="shared" si="104"/>
        <v>123.3726667</v>
      </c>
      <c r="AG104" s="22">
        <f t="shared" si="104"/>
        <v>22.41633333</v>
      </c>
      <c r="AH104" s="22">
        <f t="shared" si="104"/>
        <v>67.22866667</v>
      </c>
      <c r="AI104" s="22">
        <f t="shared" si="104"/>
        <v>20.64633333</v>
      </c>
      <c r="AJ104" s="22"/>
      <c r="AK104" s="22"/>
      <c r="AL104" s="22"/>
      <c r="AM104" s="22"/>
    </row>
    <row r="105">
      <c r="A105" s="13" t="s">
        <v>20</v>
      </c>
      <c r="B105" s="26">
        <v>45607.0</v>
      </c>
      <c r="C105" s="13" t="s">
        <v>25</v>
      </c>
      <c r="D105" s="13">
        <v>5.4</v>
      </c>
      <c r="E105" s="13" t="s">
        <v>27</v>
      </c>
      <c r="F105" s="13">
        <v>2.0</v>
      </c>
      <c r="G105" s="13" t="s">
        <v>23</v>
      </c>
      <c r="H105" s="23">
        <v>10.6118</v>
      </c>
      <c r="I105" s="23">
        <v>544.0024</v>
      </c>
      <c r="J105" s="23">
        <v>3.282</v>
      </c>
      <c r="K105" s="23">
        <v>0.028</v>
      </c>
      <c r="L105" s="23">
        <v>143.647</v>
      </c>
      <c r="M105" s="23">
        <v>21.26</v>
      </c>
      <c r="N105" s="23">
        <v>123.476</v>
      </c>
      <c r="O105" s="23">
        <v>20.903</v>
      </c>
      <c r="P105" s="23">
        <v>91.687</v>
      </c>
      <c r="Q105" s="23">
        <v>19.604</v>
      </c>
      <c r="R105" s="23">
        <v>143.358</v>
      </c>
      <c r="S105" s="23">
        <v>21.691</v>
      </c>
      <c r="T105" s="23">
        <v>123.413</v>
      </c>
      <c r="U105" s="23">
        <v>21.26</v>
      </c>
      <c r="V105" s="23">
        <v>91.702</v>
      </c>
      <c r="W105" s="23">
        <v>19.941</v>
      </c>
      <c r="X105" s="23">
        <v>143.808</v>
      </c>
      <c r="Y105" s="23">
        <v>20.791</v>
      </c>
      <c r="Z105" s="23">
        <v>123.575</v>
      </c>
      <c r="AA105" s="23">
        <v>20.398</v>
      </c>
      <c r="AB105" s="23">
        <v>91.773</v>
      </c>
      <c r="AC105" s="23">
        <v>19.063</v>
      </c>
      <c r="AD105" s="22">
        <f t="shared" ref="AD105:AI105" si="105">AVERAGE(L105,R105,X105)</f>
        <v>143.6043333</v>
      </c>
      <c r="AE105" s="22">
        <f t="shared" si="105"/>
        <v>21.24733333</v>
      </c>
      <c r="AF105" s="22">
        <f t="shared" si="105"/>
        <v>123.488</v>
      </c>
      <c r="AG105" s="22">
        <f t="shared" si="105"/>
        <v>20.85366667</v>
      </c>
      <c r="AH105" s="22">
        <f t="shared" si="105"/>
        <v>91.72066667</v>
      </c>
      <c r="AI105" s="22">
        <f t="shared" si="105"/>
        <v>19.536</v>
      </c>
      <c r="AJ105" s="22"/>
      <c r="AK105" s="22"/>
      <c r="AL105" s="22"/>
      <c r="AM105" s="22"/>
    </row>
    <row r="106">
      <c r="A106" s="13" t="s">
        <v>20</v>
      </c>
      <c r="B106" s="26">
        <v>45607.0</v>
      </c>
      <c r="C106" s="13" t="s">
        <v>25</v>
      </c>
      <c r="D106" s="13">
        <v>6.1</v>
      </c>
      <c r="E106" s="13" t="s">
        <v>27</v>
      </c>
      <c r="F106" s="13">
        <v>2.0</v>
      </c>
      <c r="G106" s="13" t="s">
        <v>23</v>
      </c>
      <c r="H106" s="23">
        <v>10.422</v>
      </c>
      <c r="I106" s="23">
        <v>563.2568</v>
      </c>
      <c r="J106" s="23">
        <v>3.245</v>
      </c>
      <c r="K106" s="23">
        <v>0.019</v>
      </c>
      <c r="L106" s="23">
        <v>116.879</v>
      </c>
      <c r="M106" s="23">
        <v>21.039</v>
      </c>
      <c r="N106" s="23">
        <v>92.123</v>
      </c>
      <c r="O106" s="23">
        <v>21.488</v>
      </c>
      <c r="P106" s="23">
        <v>48.767</v>
      </c>
      <c r="Q106" s="23">
        <v>18.449</v>
      </c>
      <c r="R106" s="23">
        <v>117.376</v>
      </c>
      <c r="S106" s="23">
        <v>20.188</v>
      </c>
      <c r="T106" s="23">
        <v>92.393</v>
      </c>
      <c r="U106" s="23">
        <v>20.758</v>
      </c>
      <c r="V106" s="23">
        <v>48.666</v>
      </c>
      <c r="W106" s="23">
        <v>17.294</v>
      </c>
      <c r="X106" s="23">
        <v>117.031</v>
      </c>
      <c r="Y106" s="23">
        <v>20.343</v>
      </c>
      <c r="Z106" s="23">
        <v>92.024</v>
      </c>
      <c r="AA106" s="23">
        <v>20.707</v>
      </c>
      <c r="AB106" s="23">
        <v>48.27</v>
      </c>
      <c r="AC106" s="23">
        <v>16.745</v>
      </c>
      <c r="AD106" s="22">
        <f t="shared" ref="AD106:AI106" si="106">AVERAGE(L106,R106,X106)</f>
        <v>117.0953333</v>
      </c>
      <c r="AE106" s="22">
        <f t="shared" si="106"/>
        <v>20.52333333</v>
      </c>
      <c r="AF106" s="22">
        <f t="shared" si="106"/>
        <v>92.18</v>
      </c>
      <c r="AG106" s="22">
        <f t="shared" si="106"/>
        <v>20.98433333</v>
      </c>
      <c r="AH106" s="22">
        <f t="shared" si="106"/>
        <v>48.56766667</v>
      </c>
      <c r="AI106" s="22">
        <f t="shared" si="106"/>
        <v>17.496</v>
      </c>
      <c r="AJ106" s="22"/>
      <c r="AK106" s="22"/>
      <c r="AL106" s="22"/>
      <c r="AM106" s="22"/>
    </row>
    <row r="107">
      <c r="A107" s="13" t="s">
        <v>20</v>
      </c>
      <c r="B107" s="26">
        <v>45607.0</v>
      </c>
      <c r="C107" s="13" t="s">
        <v>25</v>
      </c>
      <c r="D107" s="13">
        <v>6.2</v>
      </c>
      <c r="E107" s="13" t="s">
        <v>27</v>
      </c>
      <c r="F107" s="13">
        <v>2.0</v>
      </c>
      <c r="G107" s="13" t="s">
        <v>23</v>
      </c>
      <c r="H107" s="23">
        <v>14.281</v>
      </c>
      <c r="I107" s="23">
        <v>500.823</v>
      </c>
      <c r="J107" s="23">
        <v>4.777</v>
      </c>
      <c r="K107" s="23">
        <v>0.021</v>
      </c>
      <c r="L107" s="23">
        <v>114.711</v>
      </c>
      <c r="M107" s="23">
        <v>36.273</v>
      </c>
      <c r="N107" s="23">
        <v>90.777</v>
      </c>
      <c r="O107" s="23">
        <v>33.537</v>
      </c>
      <c r="P107" s="23">
        <v>45.997</v>
      </c>
      <c r="Q107" s="23">
        <v>23.107</v>
      </c>
      <c r="R107" s="23">
        <v>114.806</v>
      </c>
      <c r="S107" s="23">
        <v>35.937</v>
      </c>
      <c r="T107" s="23">
        <v>90.64</v>
      </c>
      <c r="U107" s="23">
        <v>33.056</v>
      </c>
      <c r="V107" s="23">
        <v>45.316</v>
      </c>
      <c r="W107" s="23">
        <v>21.524</v>
      </c>
      <c r="X107" s="23">
        <v>114.741</v>
      </c>
      <c r="Y107" s="23">
        <v>36.06</v>
      </c>
      <c r="Z107" s="23">
        <v>90.699</v>
      </c>
      <c r="AA107" s="23">
        <v>33.217</v>
      </c>
      <c r="AB107" s="23">
        <v>45.709</v>
      </c>
      <c r="AC107" s="23">
        <v>22.204</v>
      </c>
      <c r="AD107" s="22">
        <f t="shared" ref="AD107:AI107" si="107">AVERAGE(L107,R107,X107)</f>
        <v>114.7526667</v>
      </c>
      <c r="AE107" s="22">
        <f t="shared" si="107"/>
        <v>36.09</v>
      </c>
      <c r="AF107" s="22">
        <f t="shared" si="107"/>
        <v>90.70533333</v>
      </c>
      <c r="AG107" s="22">
        <f t="shared" si="107"/>
        <v>33.27</v>
      </c>
      <c r="AH107" s="22">
        <f t="shared" si="107"/>
        <v>45.674</v>
      </c>
      <c r="AI107" s="22">
        <f t="shared" si="107"/>
        <v>22.27833333</v>
      </c>
      <c r="AJ107" s="22"/>
      <c r="AK107" s="22"/>
      <c r="AL107" s="22"/>
      <c r="AM107" s="22"/>
    </row>
    <row r="108">
      <c r="A108" s="13" t="s">
        <v>20</v>
      </c>
      <c r="B108" s="26">
        <v>45607.0</v>
      </c>
      <c r="C108" s="13" t="s">
        <v>25</v>
      </c>
      <c r="D108" s="13">
        <v>6.3</v>
      </c>
      <c r="E108" s="13" t="s">
        <v>27</v>
      </c>
      <c r="F108" s="13">
        <v>2.0</v>
      </c>
      <c r="G108" s="13" t="s">
        <v>23</v>
      </c>
      <c r="H108" s="23">
        <v>12.84</v>
      </c>
      <c r="I108" s="23">
        <v>486.5289</v>
      </c>
      <c r="J108" s="23">
        <v>4.002</v>
      </c>
      <c r="K108" s="23">
        <v>0.02</v>
      </c>
      <c r="L108" s="23">
        <v>124.136</v>
      </c>
      <c r="M108" s="23">
        <v>29.479</v>
      </c>
      <c r="N108" s="23">
        <v>97.636</v>
      </c>
      <c r="O108" s="23">
        <v>28.447</v>
      </c>
      <c r="P108" s="23">
        <v>49.353</v>
      </c>
      <c r="Q108" s="23">
        <v>20.459</v>
      </c>
      <c r="R108" s="23">
        <v>123.836</v>
      </c>
      <c r="S108" s="23">
        <v>30.051</v>
      </c>
      <c r="T108" s="23">
        <v>97.54</v>
      </c>
      <c r="U108" s="23">
        <v>28.916</v>
      </c>
      <c r="V108" s="23">
        <v>49.691</v>
      </c>
      <c r="W108" s="23">
        <v>21.429</v>
      </c>
      <c r="X108" s="23">
        <v>123.887</v>
      </c>
      <c r="Y108" s="23">
        <v>29.634</v>
      </c>
      <c r="Z108" s="23">
        <v>97.431</v>
      </c>
      <c r="AA108" s="23">
        <v>28.508</v>
      </c>
      <c r="AB108" s="23">
        <v>49.254</v>
      </c>
      <c r="AC108" s="23">
        <v>20.459</v>
      </c>
      <c r="AD108" s="22">
        <f t="shared" ref="AD108:AI108" si="108">AVERAGE(L108,R108,X108)</f>
        <v>123.953</v>
      </c>
      <c r="AE108" s="22">
        <f t="shared" si="108"/>
        <v>29.72133333</v>
      </c>
      <c r="AF108" s="22">
        <f t="shared" si="108"/>
        <v>97.53566667</v>
      </c>
      <c r="AG108" s="22">
        <f t="shared" si="108"/>
        <v>28.62366667</v>
      </c>
      <c r="AH108" s="22">
        <f t="shared" si="108"/>
        <v>49.43266667</v>
      </c>
      <c r="AI108" s="22">
        <f t="shared" si="108"/>
        <v>20.78233333</v>
      </c>
      <c r="AJ108" s="22"/>
      <c r="AK108" s="22"/>
      <c r="AL108" s="22"/>
      <c r="AM108" s="22"/>
    </row>
    <row r="109">
      <c r="A109" s="13" t="s">
        <v>20</v>
      </c>
      <c r="B109" s="26">
        <v>45607.0</v>
      </c>
      <c r="C109" s="13" t="s">
        <v>25</v>
      </c>
      <c r="D109" s="13">
        <v>6.4</v>
      </c>
      <c r="E109" s="13" t="s">
        <v>27</v>
      </c>
      <c r="F109" s="13">
        <v>2.0</v>
      </c>
      <c r="G109" s="13" t="s">
        <v>23</v>
      </c>
      <c r="H109" s="23">
        <v>13.9517</v>
      </c>
      <c r="I109" s="23">
        <v>553.7133</v>
      </c>
      <c r="J109" s="23">
        <v>4.824</v>
      </c>
      <c r="K109" s="23">
        <v>0.019</v>
      </c>
      <c r="L109" s="23">
        <v>140.851</v>
      </c>
      <c r="M109" s="23">
        <v>29.979</v>
      </c>
      <c r="N109" s="23">
        <v>120.784</v>
      </c>
      <c r="O109" s="23">
        <v>29.164</v>
      </c>
      <c r="P109" s="23">
        <v>84.709</v>
      </c>
      <c r="Q109" s="23">
        <v>23.987</v>
      </c>
      <c r="R109" s="23">
        <v>140.71</v>
      </c>
      <c r="S109" s="23">
        <v>30.075</v>
      </c>
      <c r="T109" s="23">
        <v>120.538</v>
      </c>
      <c r="U109" s="23">
        <v>29.141</v>
      </c>
      <c r="V109" s="23">
        <v>84.403</v>
      </c>
      <c r="W109" s="23">
        <v>23.834</v>
      </c>
      <c r="X109" s="23">
        <v>140.7</v>
      </c>
      <c r="Y109" s="23">
        <v>30.105</v>
      </c>
      <c r="Z109" s="23">
        <v>120.695</v>
      </c>
      <c r="AA109" s="23">
        <v>29.127</v>
      </c>
      <c r="AB109" s="23">
        <v>84.845</v>
      </c>
      <c r="AC109" s="23">
        <v>23.671</v>
      </c>
      <c r="AD109" s="22">
        <f t="shared" ref="AD109:AI109" si="109">AVERAGE(L109,R109,X109)</f>
        <v>140.7536667</v>
      </c>
      <c r="AE109" s="22">
        <f t="shared" si="109"/>
        <v>30.053</v>
      </c>
      <c r="AF109" s="22">
        <f t="shared" si="109"/>
        <v>120.6723333</v>
      </c>
      <c r="AG109" s="22">
        <f t="shared" si="109"/>
        <v>29.144</v>
      </c>
      <c r="AH109" s="22">
        <f t="shared" si="109"/>
        <v>84.65233333</v>
      </c>
      <c r="AI109" s="22">
        <f t="shared" si="109"/>
        <v>23.83066667</v>
      </c>
      <c r="AJ109" s="22"/>
      <c r="AK109" s="22"/>
      <c r="AL109" s="22"/>
      <c r="AM109" s="22"/>
    </row>
    <row r="110">
      <c r="A110" s="13" t="s">
        <v>20</v>
      </c>
      <c r="B110" s="26">
        <v>45646.0</v>
      </c>
      <c r="C110" s="13" t="s">
        <v>21</v>
      </c>
      <c r="D110" s="13">
        <v>4.1</v>
      </c>
      <c r="E110" s="13" t="s">
        <v>27</v>
      </c>
      <c r="F110" s="13">
        <v>2.0</v>
      </c>
      <c r="G110" s="13" t="s">
        <v>26</v>
      </c>
      <c r="H110" s="23">
        <v>8.2117</v>
      </c>
      <c r="I110" s="23">
        <v>615.6187</v>
      </c>
      <c r="J110" s="23">
        <v>1.82</v>
      </c>
      <c r="K110" s="23">
        <v>0.013</v>
      </c>
      <c r="L110" s="23">
        <v>130.85</v>
      </c>
      <c r="M110" s="23">
        <v>27.733</v>
      </c>
      <c r="N110" s="23">
        <v>114.107</v>
      </c>
      <c r="O110" s="23">
        <v>32.015</v>
      </c>
      <c r="P110" s="23">
        <v>62.74</v>
      </c>
      <c r="Q110" s="23">
        <v>32.476</v>
      </c>
      <c r="R110" s="23">
        <v>140.307</v>
      </c>
      <c r="S110" s="23">
        <v>27.259</v>
      </c>
      <c r="T110" s="23">
        <v>114.616</v>
      </c>
      <c r="U110" s="23">
        <v>31.62</v>
      </c>
      <c r="V110" s="23">
        <v>63.399</v>
      </c>
      <c r="W110" s="23">
        <v>32.352</v>
      </c>
      <c r="X110" s="23">
        <v>140.374</v>
      </c>
      <c r="Y110" s="23">
        <v>27.216</v>
      </c>
      <c r="Z110" s="23">
        <v>114.726</v>
      </c>
      <c r="AA110" s="23">
        <v>31.376</v>
      </c>
      <c r="AB110" s="23">
        <v>63.63</v>
      </c>
      <c r="AC110" s="23">
        <v>32.191</v>
      </c>
      <c r="AD110" s="22">
        <f t="shared" ref="AD110:AI110" si="110">AVERAGE(L110,R110,X110)</f>
        <v>137.177</v>
      </c>
      <c r="AE110" s="22">
        <f t="shared" si="110"/>
        <v>27.40266667</v>
      </c>
      <c r="AF110" s="22">
        <f t="shared" si="110"/>
        <v>114.483</v>
      </c>
      <c r="AG110" s="22">
        <f t="shared" si="110"/>
        <v>31.67033333</v>
      </c>
      <c r="AH110" s="22">
        <f t="shared" si="110"/>
        <v>63.25633333</v>
      </c>
      <c r="AI110" s="22">
        <f t="shared" si="110"/>
        <v>32.33966667</v>
      </c>
      <c r="AJ110" s="22"/>
      <c r="AK110" s="22"/>
      <c r="AL110" s="22"/>
      <c r="AM110" s="22"/>
    </row>
    <row r="111">
      <c r="A111" s="13" t="s">
        <v>20</v>
      </c>
      <c r="B111" s="26">
        <v>45646.0</v>
      </c>
      <c r="C111" s="13" t="s">
        <v>21</v>
      </c>
      <c r="D111" s="13">
        <v>4.2</v>
      </c>
      <c r="E111" s="13" t="s">
        <v>27</v>
      </c>
      <c r="F111" s="13">
        <v>2.0</v>
      </c>
      <c r="G111" s="13" t="s">
        <v>26</v>
      </c>
      <c r="H111" s="23">
        <v>8.6298</v>
      </c>
      <c r="I111" s="23">
        <v>572.4</v>
      </c>
      <c r="J111" s="23">
        <v>2.15</v>
      </c>
      <c r="K111" s="23">
        <v>0.017</v>
      </c>
      <c r="L111" s="23">
        <v>131.852</v>
      </c>
      <c r="M111" s="23">
        <v>20.526</v>
      </c>
      <c r="N111" s="23">
        <v>99.186</v>
      </c>
      <c r="O111" s="23">
        <v>22.434</v>
      </c>
      <c r="P111" s="23">
        <v>48.43</v>
      </c>
      <c r="Q111" s="23">
        <v>23.103</v>
      </c>
      <c r="R111" s="23">
        <v>131.761</v>
      </c>
      <c r="S111" s="23">
        <v>20.873</v>
      </c>
      <c r="T111" s="23">
        <v>99.167</v>
      </c>
      <c r="U111" s="23">
        <v>22.747</v>
      </c>
      <c r="V111" s="23">
        <v>48.558</v>
      </c>
      <c r="W111" s="23">
        <v>23.368</v>
      </c>
      <c r="X111" s="23">
        <v>132.115</v>
      </c>
      <c r="Y111" s="23">
        <v>20.315</v>
      </c>
      <c r="Z111" s="23">
        <v>99.414</v>
      </c>
      <c r="AA111" s="23">
        <v>22.423</v>
      </c>
      <c r="AB111" s="23">
        <v>48.638</v>
      </c>
      <c r="AC111" s="23">
        <v>23.349</v>
      </c>
      <c r="AD111" s="22">
        <f t="shared" ref="AD111:AI111" si="111">AVERAGE(L111,R111,X111)</f>
        <v>131.9093333</v>
      </c>
      <c r="AE111" s="22">
        <f t="shared" si="111"/>
        <v>20.57133333</v>
      </c>
      <c r="AF111" s="22">
        <f t="shared" si="111"/>
        <v>99.25566667</v>
      </c>
      <c r="AG111" s="22">
        <f t="shared" si="111"/>
        <v>22.53466667</v>
      </c>
      <c r="AH111" s="22">
        <f t="shared" si="111"/>
        <v>48.542</v>
      </c>
      <c r="AI111" s="22">
        <f t="shared" si="111"/>
        <v>23.27333333</v>
      </c>
      <c r="AJ111" s="22"/>
      <c r="AK111" s="22"/>
      <c r="AL111" s="22"/>
      <c r="AM111" s="22"/>
    </row>
    <row r="112">
      <c r="A112" s="13" t="s">
        <v>20</v>
      </c>
      <c r="B112" s="26">
        <v>45646.0</v>
      </c>
      <c r="C112" s="13" t="s">
        <v>21</v>
      </c>
      <c r="D112" s="13">
        <v>4.3</v>
      </c>
      <c r="E112" s="13" t="s">
        <v>27</v>
      </c>
      <c r="F112" s="13">
        <v>2.0</v>
      </c>
      <c r="G112" s="13" t="s">
        <v>26</v>
      </c>
      <c r="H112" s="23">
        <v>8.4614</v>
      </c>
      <c r="I112" s="23">
        <v>606.0582</v>
      </c>
      <c r="J112" s="23">
        <v>2.456</v>
      </c>
      <c r="K112" s="23">
        <v>0.015</v>
      </c>
      <c r="L112" s="23">
        <v>147.23</v>
      </c>
      <c r="M112" s="23">
        <v>28.506</v>
      </c>
      <c r="N112" s="23">
        <v>115.833</v>
      </c>
      <c r="O112" s="23">
        <v>27.166</v>
      </c>
      <c r="P112" s="23">
        <v>57.04</v>
      </c>
      <c r="Q112" s="23">
        <v>23.494</v>
      </c>
      <c r="R112" s="23">
        <v>147.372</v>
      </c>
      <c r="S112" s="23">
        <v>28.358</v>
      </c>
      <c r="T112" s="23">
        <v>115.932</v>
      </c>
      <c r="U112" s="23">
        <v>27.123</v>
      </c>
      <c r="V112" s="23">
        <v>57.104</v>
      </c>
      <c r="W112" s="23">
        <v>23.487</v>
      </c>
      <c r="X112" s="23">
        <v>147.569</v>
      </c>
      <c r="Y112" s="23">
        <v>28.337</v>
      </c>
      <c r="Z112" s="23">
        <v>115.949</v>
      </c>
      <c r="AA112" s="23">
        <v>26.938</v>
      </c>
      <c r="AB112" s="23">
        <v>56.773</v>
      </c>
      <c r="AC112" s="23">
        <v>22.775</v>
      </c>
      <c r="AD112" s="22">
        <f t="shared" ref="AD112:AI112" si="112">AVERAGE(L112,R112,X112)</f>
        <v>147.3903333</v>
      </c>
      <c r="AE112" s="22">
        <f t="shared" si="112"/>
        <v>28.40033333</v>
      </c>
      <c r="AF112" s="22">
        <f t="shared" si="112"/>
        <v>115.9046667</v>
      </c>
      <c r="AG112" s="22">
        <f t="shared" si="112"/>
        <v>27.07566667</v>
      </c>
      <c r="AH112" s="22">
        <f t="shared" si="112"/>
        <v>56.97233333</v>
      </c>
      <c r="AI112" s="22">
        <f t="shared" si="112"/>
        <v>23.252</v>
      </c>
      <c r="AJ112" s="22"/>
      <c r="AK112" s="22"/>
      <c r="AL112" s="22"/>
      <c r="AM112" s="22"/>
    </row>
    <row r="113">
      <c r="A113" s="13" t="s">
        <v>20</v>
      </c>
      <c r="B113" s="26">
        <v>45646.0</v>
      </c>
      <c r="C113" s="13" t="s">
        <v>21</v>
      </c>
      <c r="D113" s="13">
        <v>4.4</v>
      </c>
      <c r="E113" s="13" t="s">
        <v>27</v>
      </c>
      <c r="F113" s="13">
        <v>2.0</v>
      </c>
      <c r="G113" s="13" t="s">
        <v>26</v>
      </c>
      <c r="H113" s="23">
        <v>7.8591</v>
      </c>
      <c r="I113" s="23">
        <v>607.2</v>
      </c>
      <c r="J113" s="23">
        <v>1.429</v>
      </c>
      <c r="K113" s="23">
        <v>0.067</v>
      </c>
      <c r="L113" s="23">
        <v>154.848</v>
      </c>
      <c r="M113" s="23">
        <v>32.895</v>
      </c>
      <c r="N113" s="23">
        <v>132.17</v>
      </c>
      <c r="O113" s="23">
        <v>32.045</v>
      </c>
      <c r="P113" s="23">
        <v>82.121</v>
      </c>
      <c r="Q113" s="23">
        <v>32.129</v>
      </c>
      <c r="R113" s="23">
        <v>153.866</v>
      </c>
      <c r="S113" s="23">
        <v>33.486</v>
      </c>
      <c r="T113" s="23">
        <v>131.444</v>
      </c>
      <c r="U113" s="23">
        <v>32.502</v>
      </c>
      <c r="V113" s="23">
        <v>81.51</v>
      </c>
      <c r="W113" s="23">
        <v>32.52</v>
      </c>
      <c r="X113" s="23">
        <v>154.002</v>
      </c>
      <c r="Y113" s="23">
        <v>33.188</v>
      </c>
      <c r="Z113" s="23">
        <v>131.474</v>
      </c>
      <c r="AA113" s="23">
        <v>32.313</v>
      </c>
      <c r="AB113" s="23">
        <v>81.216</v>
      </c>
      <c r="AC113" s="23">
        <v>32.476</v>
      </c>
      <c r="AD113" s="22">
        <f t="shared" ref="AD113:AI113" si="113">AVERAGE(L113,R113,X113)</f>
        <v>154.2386667</v>
      </c>
      <c r="AE113" s="22">
        <f t="shared" si="113"/>
        <v>33.18966667</v>
      </c>
      <c r="AF113" s="22">
        <f t="shared" si="113"/>
        <v>131.696</v>
      </c>
      <c r="AG113" s="22">
        <f t="shared" si="113"/>
        <v>32.28666667</v>
      </c>
      <c r="AH113" s="22">
        <f t="shared" si="113"/>
        <v>81.61566667</v>
      </c>
      <c r="AI113" s="22">
        <f t="shared" si="113"/>
        <v>32.375</v>
      </c>
      <c r="AJ113" s="22"/>
      <c r="AK113" s="22"/>
      <c r="AL113" s="22"/>
      <c r="AM113" s="22"/>
    </row>
    <row r="114">
      <c r="A114" s="13" t="s">
        <v>20</v>
      </c>
      <c r="B114" s="26">
        <v>45646.0</v>
      </c>
      <c r="C114" s="13" t="s">
        <v>21</v>
      </c>
      <c r="D114" s="13">
        <v>5.1</v>
      </c>
      <c r="E114" s="13" t="s">
        <v>27</v>
      </c>
      <c r="F114" s="13">
        <v>2.0</v>
      </c>
      <c r="G114" s="13" t="s">
        <v>26</v>
      </c>
      <c r="H114" s="23">
        <v>9.0137</v>
      </c>
      <c r="I114" s="23">
        <v>554.4013</v>
      </c>
      <c r="J114" s="23">
        <v>2.439</v>
      </c>
      <c r="K114" s="23">
        <v>0.051</v>
      </c>
      <c r="L114" s="23">
        <v>129.78</v>
      </c>
      <c r="M114" s="23">
        <v>40.062</v>
      </c>
      <c r="N114" s="23">
        <v>101.051</v>
      </c>
      <c r="O114" s="23">
        <v>42.557</v>
      </c>
      <c r="P114" s="23">
        <v>52.092</v>
      </c>
      <c r="Q114" s="23">
        <v>33.322</v>
      </c>
      <c r="R114" s="23">
        <v>128.367</v>
      </c>
      <c r="S114" s="23">
        <v>41.175</v>
      </c>
      <c r="T114" s="23">
        <v>99.876</v>
      </c>
      <c r="U114" s="23">
        <v>43.068</v>
      </c>
      <c r="V114" s="23">
        <v>51.408</v>
      </c>
      <c r="W114" s="23">
        <v>32.857</v>
      </c>
      <c r="X114" s="23">
        <v>129.391</v>
      </c>
      <c r="Y114" s="23">
        <v>40.588</v>
      </c>
      <c r="Z114" s="23">
        <v>101.022</v>
      </c>
      <c r="AA114" s="23">
        <v>42.882</v>
      </c>
      <c r="AB114" s="23">
        <v>52.566</v>
      </c>
      <c r="AC114" s="23">
        <v>33.757</v>
      </c>
      <c r="AD114" s="22">
        <f t="shared" ref="AD114:AI114" si="114">AVERAGE(L114,R114,X114)</f>
        <v>129.1793333</v>
      </c>
      <c r="AE114" s="22">
        <f t="shared" si="114"/>
        <v>40.60833333</v>
      </c>
      <c r="AF114" s="22">
        <f t="shared" si="114"/>
        <v>100.6496667</v>
      </c>
      <c r="AG114" s="22">
        <f t="shared" si="114"/>
        <v>42.83566667</v>
      </c>
      <c r="AH114" s="22">
        <f t="shared" si="114"/>
        <v>52.022</v>
      </c>
      <c r="AI114" s="22">
        <f t="shared" si="114"/>
        <v>33.312</v>
      </c>
      <c r="AJ114" s="22"/>
      <c r="AK114" s="22"/>
      <c r="AL114" s="22"/>
      <c r="AM114" s="22"/>
    </row>
    <row r="115">
      <c r="A115" s="13" t="s">
        <v>20</v>
      </c>
      <c r="B115" s="26">
        <v>45646.0</v>
      </c>
      <c r="C115" s="13" t="s">
        <v>21</v>
      </c>
      <c r="D115" s="13">
        <v>5.2</v>
      </c>
      <c r="E115" s="13" t="s">
        <v>27</v>
      </c>
      <c r="F115" s="13">
        <v>2.0</v>
      </c>
      <c r="G115" s="13" t="s">
        <v>26</v>
      </c>
      <c r="H115" s="23">
        <v>9.5268</v>
      </c>
      <c r="I115" s="23">
        <v>601.2192</v>
      </c>
      <c r="J115" s="23">
        <v>2.089</v>
      </c>
      <c r="K115" s="23">
        <v>0.009</v>
      </c>
      <c r="L115" s="23">
        <v>104.04</v>
      </c>
      <c r="M115" s="23">
        <v>34.297</v>
      </c>
      <c r="N115" s="23">
        <v>78.958</v>
      </c>
      <c r="O115" s="23">
        <v>42.812</v>
      </c>
      <c r="P115" s="23">
        <v>40.818</v>
      </c>
      <c r="Q115" s="23">
        <v>32.895</v>
      </c>
      <c r="R115" s="23">
        <v>103.37</v>
      </c>
      <c r="S115" s="23">
        <v>34.394</v>
      </c>
      <c r="T115" s="23">
        <v>78.263</v>
      </c>
      <c r="U115" s="23">
        <v>42.512</v>
      </c>
      <c r="V115" s="23">
        <v>40.262</v>
      </c>
      <c r="W115" s="23">
        <v>32.101</v>
      </c>
      <c r="X115" s="23">
        <v>103.176</v>
      </c>
      <c r="Y115" s="23">
        <v>34.496</v>
      </c>
      <c r="Z115" s="23">
        <v>78.103</v>
      </c>
      <c r="AA115" s="23">
        <v>42.573</v>
      </c>
      <c r="AB115" s="23">
        <v>40.043</v>
      </c>
      <c r="AC115" s="23">
        <v>31.682</v>
      </c>
      <c r="AD115" s="22">
        <f t="shared" ref="AD115:AI115" si="115">AVERAGE(L115,R115,X115)</f>
        <v>103.5286667</v>
      </c>
      <c r="AE115" s="22">
        <f t="shared" si="115"/>
        <v>34.39566667</v>
      </c>
      <c r="AF115" s="22">
        <f t="shared" si="115"/>
        <v>78.44133333</v>
      </c>
      <c r="AG115" s="22">
        <f t="shared" si="115"/>
        <v>42.63233333</v>
      </c>
      <c r="AH115" s="22">
        <f t="shared" si="115"/>
        <v>40.37433333</v>
      </c>
      <c r="AI115" s="22">
        <f t="shared" si="115"/>
        <v>32.226</v>
      </c>
      <c r="AJ115" s="22"/>
      <c r="AK115" s="22"/>
      <c r="AL115" s="22"/>
      <c r="AM115" s="22"/>
    </row>
    <row r="116">
      <c r="A116" s="13" t="s">
        <v>20</v>
      </c>
      <c r="B116" s="26">
        <v>45646.0</v>
      </c>
      <c r="C116" s="13" t="s">
        <v>21</v>
      </c>
      <c r="D116" s="13">
        <v>5.3</v>
      </c>
      <c r="E116" s="13" t="s">
        <v>27</v>
      </c>
      <c r="F116" s="13">
        <v>2.0</v>
      </c>
      <c r="G116" s="13" t="s">
        <v>26</v>
      </c>
      <c r="H116" s="23">
        <v>9.9137</v>
      </c>
      <c r="I116" s="23">
        <v>574.8113</v>
      </c>
      <c r="J116" s="23">
        <v>2.71</v>
      </c>
      <c r="K116" s="23">
        <v>0.038</v>
      </c>
      <c r="L116" s="23">
        <v>114.444</v>
      </c>
      <c r="M116" s="23">
        <v>36.958</v>
      </c>
      <c r="N116" s="23">
        <v>83.945</v>
      </c>
      <c r="O116" s="23">
        <v>43.172</v>
      </c>
      <c r="P116" s="23">
        <v>40.611</v>
      </c>
      <c r="Q116" s="23">
        <v>29.759</v>
      </c>
      <c r="R116" s="23">
        <v>114.346</v>
      </c>
      <c r="S116" s="23">
        <v>36.998</v>
      </c>
      <c r="T116" s="23">
        <v>84.633</v>
      </c>
      <c r="U116" s="23">
        <v>43.259</v>
      </c>
      <c r="V116" s="23">
        <v>41.999</v>
      </c>
      <c r="W116" s="23">
        <v>31.279</v>
      </c>
      <c r="X116" s="23">
        <v>114.72</v>
      </c>
      <c r="Y116" s="23">
        <v>36.707</v>
      </c>
      <c r="Z116" s="23">
        <v>84.465</v>
      </c>
      <c r="AA116" s="23">
        <v>43.014</v>
      </c>
      <c r="AB116" s="23">
        <v>41.129</v>
      </c>
      <c r="AC116" s="23">
        <v>30.168</v>
      </c>
      <c r="AD116" s="22">
        <f t="shared" ref="AD116:AI116" si="116">AVERAGE(L116,R116,X116)</f>
        <v>114.5033333</v>
      </c>
      <c r="AE116" s="22">
        <f t="shared" si="116"/>
        <v>36.88766667</v>
      </c>
      <c r="AF116" s="22">
        <f t="shared" si="116"/>
        <v>84.34766667</v>
      </c>
      <c r="AG116" s="22">
        <f t="shared" si="116"/>
        <v>43.14833333</v>
      </c>
      <c r="AH116" s="22">
        <f t="shared" si="116"/>
        <v>41.24633333</v>
      </c>
      <c r="AI116" s="22">
        <f t="shared" si="116"/>
        <v>30.402</v>
      </c>
      <c r="AJ116" s="22"/>
      <c r="AK116" s="22"/>
      <c r="AL116" s="22"/>
      <c r="AM116" s="22"/>
    </row>
    <row r="117">
      <c r="A117" s="13" t="s">
        <v>20</v>
      </c>
      <c r="B117" s="26">
        <v>45646.0</v>
      </c>
      <c r="C117" s="13" t="s">
        <v>21</v>
      </c>
      <c r="D117" s="13">
        <v>5.4</v>
      </c>
      <c r="E117" s="13" t="s">
        <v>27</v>
      </c>
      <c r="F117" s="13">
        <v>2.0</v>
      </c>
      <c r="G117" s="13" t="s">
        <v>26</v>
      </c>
      <c r="H117" s="23">
        <v>9.2648</v>
      </c>
      <c r="I117" s="23">
        <v>531.6014</v>
      </c>
      <c r="J117" s="23">
        <v>2.341</v>
      </c>
      <c r="K117" s="23">
        <v>0.01</v>
      </c>
      <c r="L117" s="23">
        <v>104.489</v>
      </c>
      <c r="M117" s="23">
        <v>28.919</v>
      </c>
      <c r="N117" s="23">
        <v>78.524</v>
      </c>
      <c r="O117" s="23">
        <v>31.306</v>
      </c>
      <c r="P117" s="23">
        <v>56.229</v>
      </c>
      <c r="Q117" s="23">
        <v>29.643</v>
      </c>
      <c r="R117" s="23">
        <v>103.977</v>
      </c>
      <c r="S117" s="23">
        <v>28.63</v>
      </c>
      <c r="T117" s="23">
        <v>78.489</v>
      </c>
      <c r="U117" s="23">
        <v>30.827</v>
      </c>
      <c r="V117" s="23">
        <v>55.285</v>
      </c>
      <c r="W117" s="23">
        <v>29.252</v>
      </c>
      <c r="X117" s="23">
        <v>104.194</v>
      </c>
      <c r="Y117" s="23">
        <v>28.746</v>
      </c>
      <c r="Z117" s="23">
        <v>78.315</v>
      </c>
      <c r="AA117" s="23">
        <v>30.971</v>
      </c>
      <c r="AB117" s="23">
        <v>55.944</v>
      </c>
      <c r="AC117" s="23">
        <v>29.388</v>
      </c>
      <c r="AD117" s="22">
        <f t="shared" ref="AD117:AI117" si="117">AVERAGE(L117,R117,X117)</f>
        <v>104.22</v>
      </c>
      <c r="AE117" s="22">
        <f t="shared" si="117"/>
        <v>28.765</v>
      </c>
      <c r="AF117" s="22">
        <f t="shared" si="117"/>
        <v>78.44266667</v>
      </c>
      <c r="AG117" s="22">
        <f t="shared" si="117"/>
        <v>31.03466667</v>
      </c>
      <c r="AH117" s="22">
        <f t="shared" si="117"/>
        <v>55.81933333</v>
      </c>
      <c r="AI117" s="22">
        <f t="shared" si="117"/>
        <v>29.42766667</v>
      </c>
      <c r="AJ117" s="22"/>
      <c r="AK117" s="22"/>
      <c r="AL117" s="22"/>
      <c r="AM117" s="22"/>
    </row>
    <row r="118">
      <c r="A118" s="13" t="s">
        <v>20</v>
      </c>
      <c r="B118" s="26">
        <v>45646.0</v>
      </c>
      <c r="C118" s="13" t="s">
        <v>21</v>
      </c>
      <c r="D118" s="13">
        <v>6.1</v>
      </c>
      <c r="E118" s="13" t="s">
        <v>27</v>
      </c>
      <c r="F118" s="13">
        <v>2.0</v>
      </c>
      <c r="G118" s="13" t="s">
        <v>26</v>
      </c>
      <c r="H118" s="23">
        <v>8.9033</v>
      </c>
      <c r="I118" s="23">
        <v>540.0013</v>
      </c>
      <c r="J118" s="23">
        <v>2.479</v>
      </c>
      <c r="K118" s="23">
        <v>0.036</v>
      </c>
      <c r="L118" s="23">
        <v>130.628</v>
      </c>
      <c r="M118" s="23">
        <v>36.668</v>
      </c>
      <c r="N118" s="23">
        <v>96.594</v>
      </c>
      <c r="O118" s="23">
        <v>37.566</v>
      </c>
      <c r="P118" s="23">
        <v>47.708</v>
      </c>
      <c r="Q118" s="23">
        <v>29.093</v>
      </c>
      <c r="R118" s="23">
        <v>131.382</v>
      </c>
      <c r="S118" s="23">
        <v>36.209</v>
      </c>
      <c r="T118" s="23">
        <v>97.259</v>
      </c>
      <c r="U118" s="23">
        <v>37.334</v>
      </c>
      <c r="V118" s="23">
        <v>48.083</v>
      </c>
      <c r="W118" s="23">
        <v>29.075</v>
      </c>
      <c r="X118" s="23">
        <v>130.337</v>
      </c>
      <c r="Y118" s="23">
        <v>36.717</v>
      </c>
      <c r="Z118" s="23">
        <v>96.317</v>
      </c>
      <c r="AA118" s="23">
        <v>37.407</v>
      </c>
      <c r="AB118" s="23">
        <v>47.363</v>
      </c>
      <c r="AC118" s="23">
        <v>28.574</v>
      </c>
      <c r="AD118" s="22">
        <f t="shared" ref="AD118:AI118" si="118">AVERAGE(L118,R118,X118)</f>
        <v>130.7823333</v>
      </c>
      <c r="AE118" s="22">
        <f t="shared" si="118"/>
        <v>36.53133333</v>
      </c>
      <c r="AF118" s="22">
        <f t="shared" si="118"/>
        <v>96.72333333</v>
      </c>
      <c r="AG118" s="22">
        <f t="shared" si="118"/>
        <v>37.43566667</v>
      </c>
      <c r="AH118" s="22">
        <f t="shared" si="118"/>
        <v>47.718</v>
      </c>
      <c r="AI118" s="22">
        <f t="shared" si="118"/>
        <v>28.914</v>
      </c>
      <c r="AJ118" s="22"/>
      <c r="AK118" s="22"/>
      <c r="AL118" s="22"/>
      <c r="AM118" s="22"/>
    </row>
    <row r="119">
      <c r="A119" s="13" t="s">
        <v>20</v>
      </c>
      <c r="B119" s="26">
        <v>45646.0</v>
      </c>
      <c r="C119" s="13" t="s">
        <v>21</v>
      </c>
      <c r="D119" s="13">
        <v>6.2</v>
      </c>
      <c r="E119" s="13" t="s">
        <v>27</v>
      </c>
      <c r="F119" s="13">
        <v>2.0</v>
      </c>
      <c r="G119" s="13" t="s">
        <v>26</v>
      </c>
      <c r="H119" s="23">
        <v>8.0333</v>
      </c>
      <c r="I119" s="23">
        <v>612.0</v>
      </c>
      <c r="J119" s="23">
        <v>1.32</v>
      </c>
      <c r="K119" s="23">
        <v>0.015</v>
      </c>
      <c r="L119" s="23">
        <v>118.761</v>
      </c>
      <c r="M119" s="23">
        <v>27.588</v>
      </c>
      <c r="N119" s="23">
        <v>87.563</v>
      </c>
      <c r="O119" s="23">
        <v>30.292</v>
      </c>
      <c r="P119" s="23">
        <v>40.199</v>
      </c>
      <c r="Q119" s="23">
        <v>23.581</v>
      </c>
      <c r="R119" s="23">
        <v>118.055</v>
      </c>
      <c r="S119" s="23">
        <v>28.307</v>
      </c>
      <c r="T119" s="23">
        <v>87.382</v>
      </c>
      <c r="U119" s="23">
        <v>30.813</v>
      </c>
      <c r="V119" s="23">
        <v>40.758</v>
      </c>
      <c r="W119" s="23">
        <v>25.006</v>
      </c>
      <c r="X119" s="23">
        <v>119.113</v>
      </c>
      <c r="Y119" s="23">
        <v>27.29</v>
      </c>
      <c r="Z119" s="23">
        <v>87.889</v>
      </c>
      <c r="AA119" s="23">
        <v>30.328</v>
      </c>
      <c r="AB119" s="23">
        <v>40.472</v>
      </c>
      <c r="AC119" s="23">
        <v>24.013</v>
      </c>
      <c r="AD119" s="22">
        <f t="shared" ref="AD119:AI119" si="119">AVERAGE(L119,R119,X119)</f>
        <v>118.643</v>
      </c>
      <c r="AE119" s="22">
        <f t="shared" si="119"/>
        <v>27.72833333</v>
      </c>
      <c r="AF119" s="22">
        <f t="shared" si="119"/>
        <v>87.61133333</v>
      </c>
      <c r="AG119" s="22">
        <f t="shared" si="119"/>
        <v>30.47766667</v>
      </c>
      <c r="AH119" s="22">
        <f t="shared" si="119"/>
        <v>40.47633333</v>
      </c>
      <c r="AI119" s="22">
        <f t="shared" si="119"/>
        <v>24.2</v>
      </c>
      <c r="AJ119" s="22"/>
      <c r="AK119" s="22"/>
      <c r="AL119" s="22"/>
      <c r="AM119" s="22"/>
    </row>
    <row r="120">
      <c r="A120" s="13" t="s">
        <v>20</v>
      </c>
      <c r="B120" s="26">
        <v>45646.0</v>
      </c>
      <c r="C120" s="13" t="s">
        <v>21</v>
      </c>
      <c r="D120" s="13">
        <v>6.3</v>
      </c>
      <c r="E120" s="13" t="s">
        <v>27</v>
      </c>
      <c r="F120" s="13">
        <v>2.0</v>
      </c>
      <c r="G120" s="13" t="s">
        <v>26</v>
      </c>
      <c r="H120" s="23">
        <v>8.6567</v>
      </c>
      <c r="I120" s="23">
        <v>580.8198</v>
      </c>
      <c r="J120" s="23">
        <v>1.587</v>
      </c>
      <c r="K120" s="23">
        <v>0.01</v>
      </c>
      <c r="L120" s="23">
        <v>127.992</v>
      </c>
      <c r="M120" s="23">
        <v>31.421</v>
      </c>
      <c r="N120" s="23">
        <v>98.487</v>
      </c>
      <c r="O120" s="23">
        <v>34.256</v>
      </c>
      <c r="P120" s="23">
        <v>50.095</v>
      </c>
      <c r="Q120" s="23">
        <v>32.184</v>
      </c>
      <c r="R120" s="23">
        <v>127.968</v>
      </c>
      <c r="S120" s="23">
        <v>31.426</v>
      </c>
      <c r="T120" s="23">
        <v>97.849</v>
      </c>
      <c r="U120" s="23">
        <v>34.058</v>
      </c>
      <c r="V120" s="23">
        <v>48.684</v>
      </c>
      <c r="W120" s="23">
        <v>30.844</v>
      </c>
      <c r="X120" s="23">
        <v>129.111</v>
      </c>
      <c r="Y120" s="23">
        <v>30.309</v>
      </c>
      <c r="Z120" s="23">
        <v>98.572</v>
      </c>
      <c r="AA120" s="23">
        <v>33.438</v>
      </c>
      <c r="AB120" s="23">
        <v>48.729</v>
      </c>
      <c r="AC120" s="23">
        <v>30.345</v>
      </c>
      <c r="AD120" s="22">
        <f t="shared" ref="AD120:AI120" si="120">AVERAGE(L120,R120,X120)</f>
        <v>128.357</v>
      </c>
      <c r="AE120" s="22">
        <f t="shared" si="120"/>
        <v>31.052</v>
      </c>
      <c r="AF120" s="22">
        <f t="shared" si="120"/>
        <v>98.30266667</v>
      </c>
      <c r="AG120" s="22">
        <f t="shared" si="120"/>
        <v>33.91733333</v>
      </c>
      <c r="AH120" s="22">
        <f t="shared" si="120"/>
        <v>49.16933333</v>
      </c>
      <c r="AI120" s="22">
        <f t="shared" si="120"/>
        <v>31.12433333</v>
      </c>
      <c r="AJ120" s="22"/>
      <c r="AK120" s="22"/>
      <c r="AL120" s="22"/>
      <c r="AM120" s="22"/>
    </row>
    <row r="121">
      <c r="A121" s="13" t="s">
        <v>20</v>
      </c>
      <c r="B121" s="26">
        <v>45646.0</v>
      </c>
      <c r="C121" s="13" t="s">
        <v>21</v>
      </c>
      <c r="D121" s="13">
        <v>6.4</v>
      </c>
      <c r="E121" s="13" t="s">
        <v>27</v>
      </c>
      <c r="F121" s="13">
        <v>2.0</v>
      </c>
      <c r="G121" s="13" t="s">
        <v>26</v>
      </c>
      <c r="H121" s="23">
        <v>8.0967</v>
      </c>
      <c r="I121" s="23">
        <v>580.8198</v>
      </c>
      <c r="J121" s="23">
        <v>1.987</v>
      </c>
      <c r="K121" s="23">
        <v>0.034</v>
      </c>
      <c r="L121" s="23">
        <v>139.899</v>
      </c>
      <c r="M121" s="23">
        <v>34.05</v>
      </c>
      <c r="N121" s="23">
        <v>110.436</v>
      </c>
      <c r="O121" s="23">
        <v>32.372</v>
      </c>
      <c r="P121" s="23">
        <v>64.072</v>
      </c>
      <c r="Q121" s="23">
        <v>28.556</v>
      </c>
      <c r="R121" s="23">
        <v>139.75</v>
      </c>
      <c r="S121" s="23">
        <v>34.318</v>
      </c>
      <c r="T121" s="23">
        <v>110.272</v>
      </c>
      <c r="U121" s="23">
        <v>32.607</v>
      </c>
      <c r="V121" s="23">
        <v>63.967</v>
      </c>
      <c r="W121" s="23">
        <v>28.769</v>
      </c>
      <c r="X121" s="23">
        <v>140.08</v>
      </c>
      <c r="Y121" s="23">
        <v>33.981</v>
      </c>
      <c r="Z121" s="23">
        <v>110.569</v>
      </c>
      <c r="AA121" s="23">
        <v>32.303</v>
      </c>
      <c r="AB121" s="23">
        <v>64.113</v>
      </c>
      <c r="AC121" s="23">
        <v>28.598</v>
      </c>
      <c r="AD121" s="22">
        <f t="shared" ref="AD121:AI121" si="121">AVERAGE(L121,R121,X121)</f>
        <v>139.9096667</v>
      </c>
      <c r="AE121" s="22">
        <f t="shared" si="121"/>
        <v>34.11633333</v>
      </c>
      <c r="AF121" s="22">
        <f t="shared" si="121"/>
        <v>110.4256667</v>
      </c>
      <c r="AG121" s="22">
        <f t="shared" si="121"/>
        <v>32.42733333</v>
      </c>
      <c r="AH121" s="22">
        <f t="shared" si="121"/>
        <v>64.05066667</v>
      </c>
      <c r="AI121" s="22">
        <f t="shared" si="121"/>
        <v>28.641</v>
      </c>
      <c r="AJ121" s="22"/>
      <c r="AK121" s="22"/>
      <c r="AL121" s="22"/>
      <c r="AM121" s="22"/>
    </row>
    <row r="122">
      <c r="A122" s="13" t="s">
        <v>20</v>
      </c>
      <c r="B122" s="26">
        <v>45646.0</v>
      </c>
      <c r="C122" s="13" t="s">
        <v>24</v>
      </c>
      <c r="D122" s="13">
        <v>4.1</v>
      </c>
      <c r="E122" s="13" t="s">
        <v>27</v>
      </c>
      <c r="F122" s="13">
        <v>2.0</v>
      </c>
      <c r="G122" s="13" t="s">
        <v>26</v>
      </c>
      <c r="H122" s="23">
        <v>12.43</v>
      </c>
      <c r="I122" s="23">
        <v>584.4197</v>
      </c>
      <c r="J122" s="23">
        <v>5.546</v>
      </c>
      <c r="K122" s="23">
        <v>0.036</v>
      </c>
      <c r="L122" s="23">
        <v>167.357</v>
      </c>
      <c r="M122" s="23">
        <v>24.562</v>
      </c>
      <c r="N122" s="23">
        <v>143.807</v>
      </c>
      <c r="O122" s="23">
        <v>24.955</v>
      </c>
      <c r="P122" s="23">
        <v>101.327</v>
      </c>
      <c r="Q122" s="23">
        <v>25.397</v>
      </c>
      <c r="R122" s="23">
        <v>167.215</v>
      </c>
      <c r="S122" s="23">
        <v>24.78</v>
      </c>
      <c r="T122" s="23">
        <v>143.729</v>
      </c>
      <c r="U122" s="23">
        <v>24.753</v>
      </c>
      <c r="V122" s="23">
        <v>101.415</v>
      </c>
      <c r="W122" s="23">
        <v>25.355</v>
      </c>
      <c r="X122" s="23">
        <v>166.913</v>
      </c>
      <c r="Y122" s="23">
        <v>24.804</v>
      </c>
      <c r="Z122" s="23">
        <v>143.435</v>
      </c>
      <c r="AA122" s="23">
        <v>25.197</v>
      </c>
      <c r="AB122" s="23">
        <v>101.061</v>
      </c>
      <c r="AC122" s="23">
        <v>25.551</v>
      </c>
      <c r="AD122" s="22">
        <f t="shared" ref="AD122:AI122" si="122">AVERAGE(L122,R122,X122)</f>
        <v>167.1616667</v>
      </c>
      <c r="AE122" s="22">
        <f t="shared" si="122"/>
        <v>24.71533333</v>
      </c>
      <c r="AF122" s="22">
        <f t="shared" si="122"/>
        <v>143.657</v>
      </c>
      <c r="AG122" s="22">
        <f t="shared" si="122"/>
        <v>24.96833333</v>
      </c>
      <c r="AH122" s="22">
        <f t="shared" si="122"/>
        <v>101.2676667</v>
      </c>
      <c r="AI122" s="22">
        <f t="shared" si="122"/>
        <v>25.43433333</v>
      </c>
      <c r="AJ122" s="22"/>
      <c r="AK122" s="22"/>
      <c r="AL122" s="22"/>
      <c r="AM122" s="22"/>
    </row>
    <row r="123">
      <c r="A123" s="13" t="s">
        <v>20</v>
      </c>
      <c r="B123" s="26">
        <v>45646.0</v>
      </c>
      <c r="C123" s="13" t="s">
        <v>24</v>
      </c>
      <c r="D123" s="13">
        <v>4.2</v>
      </c>
      <c r="E123" s="13" t="s">
        <v>27</v>
      </c>
      <c r="F123" s="13">
        <v>2.0</v>
      </c>
      <c r="G123" s="13" t="s">
        <v>26</v>
      </c>
      <c r="H123" s="23">
        <v>13.0076</v>
      </c>
      <c r="I123" s="23">
        <v>590.4598</v>
      </c>
      <c r="J123" s="23">
        <v>5.498</v>
      </c>
      <c r="K123" s="23">
        <v>0.015</v>
      </c>
      <c r="L123" s="23">
        <v>163.87</v>
      </c>
      <c r="M123" s="23">
        <v>25.032</v>
      </c>
      <c r="N123" s="23">
        <v>137.058</v>
      </c>
      <c r="O123" s="23">
        <v>25.515</v>
      </c>
      <c r="P123" s="23">
        <v>92.269</v>
      </c>
      <c r="Q123" s="23">
        <v>25.769</v>
      </c>
      <c r="R123" s="23">
        <v>164.031</v>
      </c>
      <c r="S123" s="23">
        <v>24.85</v>
      </c>
      <c r="T123" s="23">
        <v>137.058</v>
      </c>
      <c r="U123" s="23">
        <v>25.563</v>
      </c>
      <c r="V123" s="23">
        <v>92.142</v>
      </c>
      <c r="W123" s="23">
        <v>25.849</v>
      </c>
      <c r="X123" s="23">
        <v>164.107</v>
      </c>
      <c r="Y123" s="23">
        <v>24.66</v>
      </c>
      <c r="Z123" s="23">
        <v>137.16</v>
      </c>
      <c r="AA123" s="23">
        <v>25.292</v>
      </c>
      <c r="AB123" s="23">
        <v>92.232</v>
      </c>
      <c r="AC123" s="23">
        <v>25.593</v>
      </c>
      <c r="AD123" s="22">
        <f t="shared" ref="AD123:AI123" si="123">AVERAGE(L123,R123,X123)</f>
        <v>164.0026667</v>
      </c>
      <c r="AE123" s="22">
        <f t="shared" si="123"/>
        <v>24.84733333</v>
      </c>
      <c r="AF123" s="22">
        <f t="shared" si="123"/>
        <v>137.092</v>
      </c>
      <c r="AG123" s="22">
        <f t="shared" si="123"/>
        <v>25.45666667</v>
      </c>
      <c r="AH123" s="22">
        <f t="shared" si="123"/>
        <v>92.21433333</v>
      </c>
      <c r="AI123" s="22">
        <f t="shared" si="123"/>
        <v>25.737</v>
      </c>
      <c r="AJ123" s="22"/>
      <c r="AK123" s="22"/>
      <c r="AL123" s="22"/>
      <c r="AM123" s="22"/>
    </row>
    <row r="124">
      <c r="A124" s="13" t="s">
        <v>20</v>
      </c>
      <c r="B124" s="26">
        <v>45646.0</v>
      </c>
      <c r="C124" s="13" t="s">
        <v>24</v>
      </c>
      <c r="D124" s="13">
        <v>4.3</v>
      </c>
      <c r="E124" s="13" t="s">
        <v>27</v>
      </c>
      <c r="F124" s="13">
        <v>2.0</v>
      </c>
      <c r="G124" s="13" t="s">
        <v>26</v>
      </c>
      <c r="H124" s="23">
        <v>13.5331</v>
      </c>
      <c r="I124" s="23">
        <v>544.4325</v>
      </c>
      <c r="J124" s="23">
        <v>5.794</v>
      </c>
      <c r="K124" s="23">
        <v>0.03</v>
      </c>
      <c r="L124" s="23">
        <v>147.056</v>
      </c>
      <c r="M124" s="23">
        <v>22.481</v>
      </c>
      <c r="N124" s="23">
        <v>118.454</v>
      </c>
      <c r="O124" s="23">
        <v>21.886</v>
      </c>
      <c r="P124" s="23">
        <v>70.837</v>
      </c>
      <c r="Q124" s="23">
        <v>20.602</v>
      </c>
      <c r="R124" s="23">
        <v>147.575</v>
      </c>
      <c r="S124" s="23">
        <v>21.616</v>
      </c>
      <c r="T124" s="23">
        <v>118.905</v>
      </c>
      <c r="U124" s="23">
        <v>21.265</v>
      </c>
      <c r="V124" s="23">
        <v>71.205</v>
      </c>
      <c r="W124" s="23">
        <v>20.425</v>
      </c>
      <c r="X124" s="23">
        <v>147.726</v>
      </c>
      <c r="Y124" s="23">
        <v>21.086</v>
      </c>
      <c r="Z124" s="23">
        <v>118.981</v>
      </c>
      <c r="AA124" s="23">
        <v>20.815</v>
      </c>
      <c r="AB124" s="23">
        <v>71.065</v>
      </c>
      <c r="AC124" s="23">
        <v>19.986</v>
      </c>
      <c r="AD124" s="22">
        <f t="shared" ref="AD124:AI124" si="124">AVERAGE(L124,R124,X124)</f>
        <v>147.4523333</v>
      </c>
      <c r="AE124" s="22">
        <f t="shared" si="124"/>
        <v>21.72766667</v>
      </c>
      <c r="AF124" s="22">
        <f t="shared" si="124"/>
        <v>118.78</v>
      </c>
      <c r="AG124" s="22">
        <f t="shared" si="124"/>
        <v>21.322</v>
      </c>
      <c r="AH124" s="22">
        <f t="shared" si="124"/>
        <v>71.03566667</v>
      </c>
      <c r="AI124" s="22">
        <f t="shared" si="124"/>
        <v>20.33766667</v>
      </c>
      <c r="AJ124" s="22"/>
      <c r="AK124" s="22"/>
      <c r="AL124" s="22"/>
      <c r="AM124" s="22"/>
    </row>
    <row r="125">
      <c r="A125" s="13" t="s">
        <v>20</v>
      </c>
      <c r="B125" s="26">
        <v>45646.0</v>
      </c>
      <c r="C125" s="13" t="s">
        <v>24</v>
      </c>
      <c r="D125" s="13">
        <v>4.4</v>
      </c>
      <c r="E125" s="13" t="s">
        <v>27</v>
      </c>
      <c r="F125" s="13">
        <v>2.0</v>
      </c>
      <c r="G125" s="13" t="s">
        <v>26</v>
      </c>
      <c r="H125" s="23">
        <v>13.1203</v>
      </c>
      <c r="I125" s="23">
        <v>571.2454</v>
      </c>
      <c r="J125" s="23">
        <v>6.003</v>
      </c>
      <c r="K125" s="23">
        <v>0.077</v>
      </c>
      <c r="L125" s="23">
        <v>155.318</v>
      </c>
      <c r="M125" s="23">
        <v>23.906</v>
      </c>
      <c r="N125" s="23">
        <v>111.001</v>
      </c>
      <c r="O125" s="23">
        <v>20.234</v>
      </c>
      <c r="P125" s="23">
        <v>45.078</v>
      </c>
      <c r="Q125" s="23">
        <v>17.367</v>
      </c>
      <c r="R125" s="23">
        <v>155.288</v>
      </c>
      <c r="S125" s="23">
        <v>24.054</v>
      </c>
      <c r="T125" s="23">
        <v>110.898</v>
      </c>
      <c r="U125" s="23">
        <v>20.39</v>
      </c>
      <c r="V125" s="23">
        <v>45.026</v>
      </c>
      <c r="W125" s="23">
        <v>17.357</v>
      </c>
      <c r="X125" s="23">
        <v>155.662</v>
      </c>
      <c r="Y125" s="23">
        <v>23.213</v>
      </c>
      <c r="Z125" s="23">
        <v>11.44</v>
      </c>
      <c r="AA125" s="23">
        <v>20.022</v>
      </c>
      <c r="AB125" s="23">
        <v>45.537</v>
      </c>
      <c r="AC125" s="23">
        <v>17.85</v>
      </c>
      <c r="AD125" s="22">
        <f t="shared" ref="AD125:AI125" si="125">AVERAGE(L125,R125,X125)</f>
        <v>155.4226667</v>
      </c>
      <c r="AE125" s="22">
        <f t="shared" si="125"/>
        <v>23.72433333</v>
      </c>
      <c r="AF125" s="22">
        <f t="shared" si="125"/>
        <v>77.77966667</v>
      </c>
      <c r="AG125" s="22">
        <f t="shared" si="125"/>
        <v>20.21533333</v>
      </c>
      <c r="AH125" s="22">
        <f t="shared" si="125"/>
        <v>45.21366667</v>
      </c>
      <c r="AI125" s="22">
        <f t="shared" si="125"/>
        <v>17.52466667</v>
      </c>
      <c r="AJ125" s="22"/>
      <c r="AK125" s="22"/>
      <c r="AL125" s="22"/>
      <c r="AM125" s="22"/>
    </row>
    <row r="126">
      <c r="A126" s="13" t="s">
        <v>20</v>
      </c>
      <c r="B126" s="26">
        <v>45646.0</v>
      </c>
      <c r="C126" s="13" t="s">
        <v>24</v>
      </c>
      <c r="D126" s="13">
        <v>5.1</v>
      </c>
      <c r="E126" s="13" t="s">
        <v>27</v>
      </c>
      <c r="F126" s="13">
        <v>2.0</v>
      </c>
      <c r="G126" s="13" t="s">
        <v>26</v>
      </c>
      <c r="H126" s="23">
        <v>10.0039</v>
      </c>
      <c r="I126" s="23">
        <v>586.811</v>
      </c>
      <c r="J126" s="23">
        <v>4.442</v>
      </c>
      <c r="K126" s="23">
        <v>0.024</v>
      </c>
      <c r="L126" s="23">
        <v>144.008</v>
      </c>
      <c r="M126" s="23">
        <v>25.61</v>
      </c>
      <c r="N126" s="23">
        <v>128.808</v>
      </c>
      <c r="O126" s="23">
        <v>27.365</v>
      </c>
      <c r="P126" s="23">
        <v>87.588</v>
      </c>
      <c r="Q126" s="23">
        <v>32.623</v>
      </c>
      <c r="R126" s="23">
        <v>143.161</v>
      </c>
      <c r="S126" s="23">
        <v>27.282</v>
      </c>
      <c r="T126" s="23">
        <v>128.07</v>
      </c>
      <c r="U126" s="23">
        <v>28.752</v>
      </c>
      <c r="V126" s="23">
        <v>87.202</v>
      </c>
      <c r="W126" s="23">
        <v>33.413</v>
      </c>
      <c r="X126" s="23">
        <v>144.086</v>
      </c>
      <c r="Y126" s="23">
        <v>25.71</v>
      </c>
      <c r="Z126" s="23">
        <v>128.893</v>
      </c>
      <c r="AA126" s="23">
        <v>27.504</v>
      </c>
      <c r="AB126" s="23">
        <v>87.74</v>
      </c>
      <c r="AC126" s="23">
        <v>32.817</v>
      </c>
      <c r="AD126" s="22">
        <f t="shared" ref="AD126:AI126" si="126">AVERAGE(L126,R126,X126)</f>
        <v>143.7516667</v>
      </c>
      <c r="AE126" s="22">
        <f t="shared" si="126"/>
        <v>26.20066667</v>
      </c>
      <c r="AF126" s="22">
        <f t="shared" si="126"/>
        <v>128.5903333</v>
      </c>
      <c r="AG126" s="22">
        <f t="shared" si="126"/>
        <v>27.87366667</v>
      </c>
      <c r="AH126" s="22">
        <f t="shared" si="126"/>
        <v>87.51</v>
      </c>
      <c r="AI126" s="22">
        <f t="shared" si="126"/>
        <v>32.951</v>
      </c>
      <c r="AJ126" s="22"/>
      <c r="AK126" s="22"/>
      <c r="AL126" s="22"/>
      <c r="AM126" s="22"/>
    </row>
    <row r="127">
      <c r="A127" s="13" t="s">
        <v>20</v>
      </c>
      <c r="B127" s="26">
        <v>45646.0</v>
      </c>
      <c r="C127" s="13" t="s">
        <v>24</v>
      </c>
      <c r="D127" s="13">
        <v>5.2</v>
      </c>
      <c r="E127" s="13" t="s">
        <v>27</v>
      </c>
      <c r="F127" s="13">
        <v>2.0</v>
      </c>
      <c r="G127" s="13" t="s">
        <v>26</v>
      </c>
      <c r="H127" s="23">
        <v>9.2831</v>
      </c>
      <c r="I127" s="23">
        <v>596.4592</v>
      </c>
      <c r="J127" s="23">
        <v>3.315</v>
      </c>
      <c r="K127" s="23">
        <v>0.017</v>
      </c>
      <c r="L127" s="23">
        <v>161.578</v>
      </c>
      <c r="M127" s="23">
        <v>22.659</v>
      </c>
      <c r="N127" s="23">
        <v>138.351</v>
      </c>
      <c r="O127" s="23">
        <v>22.851</v>
      </c>
      <c r="P127" s="23">
        <v>90.366</v>
      </c>
      <c r="Q127" s="23">
        <v>26.07</v>
      </c>
      <c r="R127" s="23">
        <v>162.121</v>
      </c>
      <c r="S127" s="23">
        <v>21.558</v>
      </c>
      <c r="T127" s="23">
        <v>138.586</v>
      </c>
      <c r="U127" s="23">
        <v>22.238</v>
      </c>
      <c r="V127" s="23">
        <v>89.997</v>
      </c>
      <c r="W127" s="23">
        <v>25.867</v>
      </c>
      <c r="X127" s="23">
        <v>161.539</v>
      </c>
      <c r="Y127" s="23">
        <v>22.725</v>
      </c>
      <c r="Z127" s="23">
        <v>138.104</v>
      </c>
      <c r="AA127" s="23">
        <v>23.028</v>
      </c>
      <c r="AB127" s="23">
        <v>89.655</v>
      </c>
      <c r="AC127" s="23">
        <v>26.122</v>
      </c>
      <c r="AD127" s="22">
        <f t="shared" ref="AD127:AI127" si="127">AVERAGE(L127,R127,X127)</f>
        <v>161.746</v>
      </c>
      <c r="AE127" s="22">
        <f t="shared" si="127"/>
        <v>22.314</v>
      </c>
      <c r="AF127" s="22">
        <f t="shared" si="127"/>
        <v>138.347</v>
      </c>
      <c r="AG127" s="22">
        <f t="shared" si="127"/>
        <v>22.70566667</v>
      </c>
      <c r="AH127" s="22">
        <f t="shared" si="127"/>
        <v>90.006</v>
      </c>
      <c r="AI127" s="22">
        <f t="shared" si="127"/>
        <v>26.01966667</v>
      </c>
      <c r="AJ127" s="22"/>
      <c r="AK127" s="22"/>
      <c r="AL127" s="22"/>
      <c r="AM127" s="22"/>
    </row>
    <row r="128">
      <c r="A128" s="13" t="s">
        <v>20</v>
      </c>
      <c r="B128" s="26">
        <v>45646.0</v>
      </c>
      <c r="C128" s="13" t="s">
        <v>24</v>
      </c>
      <c r="D128" s="13">
        <v>5.3</v>
      </c>
      <c r="E128" s="13" t="s">
        <v>27</v>
      </c>
      <c r="F128" s="13">
        <v>2.0</v>
      </c>
      <c r="G128" s="13" t="s">
        <v>26</v>
      </c>
      <c r="H128" s="23">
        <v>9.7118</v>
      </c>
      <c r="I128" s="23">
        <v>612.1694</v>
      </c>
      <c r="J128" s="23">
        <v>3.763</v>
      </c>
      <c r="K128" s="23">
        <v>0.019</v>
      </c>
      <c r="L128" s="23">
        <v>154.323</v>
      </c>
      <c r="M128" s="23">
        <v>29.414</v>
      </c>
      <c r="N128" s="23">
        <v>136.247</v>
      </c>
      <c r="O128" s="23">
        <v>28.539</v>
      </c>
      <c r="P128" s="23">
        <v>94.398</v>
      </c>
      <c r="Q128" s="23">
        <v>28.825</v>
      </c>
      <c r="R128" s="23">
        <v>153.99</v>
      </c>
      <c r="S128" s="23">
        <v>30.035</v>
      </c>
      <c r="T128" s="23">
        <v>136.006</v>
      </c>
      <c r="U128" s="23">
        <v>29.101</v>
      </c>
      <c r="V128" s="23">
        <v>94.427</v>
      </c>
      <c r="W128" s="23">
        <v>29.47</v>
      </c>
      <c r="X128" s="23">
        <v>153.814</v>
      </c>
      <c r="Y128" s="23">
        <v>30.137</v>
      </c>
      <c r="Z128" s="23">
        <v>35.89</v>
      </c>
      <c r="AA128" s="23">
        <v>29.129</v>
      </c>
      <c r="AB128" s="23">
        <v>94.247</v>
      </c>
      <c r="AC128" s="23">
        <v>29.273</v>
      </c>
      <c r="AD128" s="22">
        <f t="shared" ref="AD128:AI128" si="128">AVERAGE(L128,R128,X128)</f>
        <v>154.0423333</v>
      </c>
      <c r="AE128" s="22">
        <f t="shared" si="128"/>
        <v>29.862</v>
      </c>
      <c r="AF128" s="22">
        <f t="shared" si="128"/>
        <v>102.7143333</v>
      </c>
      <c r="AG128" s="22">
        <f t="shared" si="128"/>
        <v>28.923</v>
      </c>
      <c r="AH128" s="22">
        <f t="shared" si="128"/>
        <v>94.35733333</v>
      </c>
      <c r="AI128" s="22">
        <f t="shared" si="128"/>
        <v>29.18933333</v>
      </c>
      <c r="AJ128" s="22"/>
      <c r="AK128" s="22"/>
      <c r="AL128" s="22"/>
      <c r="AM128" s="22"/>
    </row>
    <row r="129">
      <c r="A129" s="13" t="s">
        <v>20</v>
      </c>
      <c r="B129" s="26">
        <v>45646.0</v>
      </c>
      <c r="C129" s="13" t="s">
        <v>24</v>
      </c>
      <c r="D129" s="13">
        <v>5.4</v>
      </c>
      <c r="E129" s="13" t="s">
        <v>27</v>
      </c>
      <c r="F129" s="13">
        <v>2.0</v>
      </c>
      <c r="G129" s="13" t="s">
        <v>26</v>
      </c>
      <c r="H129" s="23">
        <v>10.1092</v>
      </c>
      <c r="I129" s="23">
        <v>574.82</v>
      </c>
      <c r="J129" s="23">
        <v>3.956</v>
      </c>
      <c r="K129" s="23">
        <v>0.022</v>
      </c>
      <c r="L129" s="23">
        <v>125.84</v>
      </c>
      <c r="M129" s="23">
        <v>33.045</v>
      </c>
      <c r="N129" s="23">
        <v>89.036</v>
      </c>
      <c r="O129" s="23">
        <v>27.876</v>
      </c>
      <c r="P129" s="23">
        <v>32.661</v>
      </c>
      <c r="Q129" s="23">
        <v>20.337</v>
      </c>
      <c r="R129" s="23">
        <v>125.314</v>
      </c>
      <c r="S129" s="23">
        <v>33.608</v>
      </c>
      <c r="T129" s="23">
        <v>88.645</v>
      </c>
      <c r="U129" s="23">
        <v>28.158</v>
      </c>
      <c r="V129" s="23">
        <v>32.585</v>
      </c>
      <c r="W129" s="23">
        <v>20.413</v>
      </c>
      <c r="X129" s="23">
        <v>125.668</v>
      </c>
      <c r="Y129" s="23">
        <v>33.245</v>
      </c>
      <c r="Z129" s="23">
        <v>88.778</v>
      </c>
      <c r="AA129" s="23">
        <v>27.938</v>
      </c>
      <c r="AB129" s="23">
        <v>32.462</v>
      </c>
      <c r="AC129" s="23">
        <v>20.342</v>
      </c>
      <c r="AD129" s="22">
        <f t="shared" ref="AD129:AI129" si="129">AVERAGE(L129,R129,X129)</f>
        <v>125.6073333</v>
      </c>
      <c r="AE129" s="22">
        <f t="shared" si="129"/>
        <v>33.29933333</v>
      </c>
      <c r="AF129" s="22">
        <f t="shared" si="129"/>
        <v>88.81966667</v>
      </c>
      <c r="AG129" s="22">
        <f t="shared" si="129"/>
        <v>27.99066667</v>
      </c>
      <c r="AH129" s="22">
        <f t="shared" si="129"/>
        <v>32.56933333</v>
      </c>
      <c r="AI129" s="22">
        <f t="shared" si="129"/>
        <v>20.364</v>
      </c>
      <c r="AJ129" s="22"/>
      <c r="AK129" s="22"/>
      <c r="AL129" s="22"/>
      <c r="AM129" s="22"/>
    </row>
    <row r="130">
      <c r="A130" s="13" t="s">
        <v>20</v>
      </c>
      <c r="B130" s="26">
        <v>45646.0</v>
      </c>
      <c r="C130" s="13" t="s">
        <v>24</v>
      </c>
      <c r="D130" s="13">
        <v>6.1</v>
      </c>
      <c r="E130" s="13" t="s">
        <v>27</v>
      </c>
      <c r="F130" s="13">
        <v>2.0</v>
      </c>
      <c r="G130" s="13" t="s">
        <v>26</v>
      </c>
      <c r="H130" s="23">
        <v>12.5892</v>
      </c>
      <c r="I130" s="23">
        <v>555.6117</v>
      </c>
      <c r="J130" s="23">
        <v>5.705</v>
      </c>
      <c r="K130" s="23">
        <v>0.031</v>
      </c>
      <c r="L130" s="23">
        <v>153.731</v>
      </c>
      <c r="M130" s="23">
        <v>23.369</v>
      </c>
      <c r="N130" s="23">
        <v>134.185</v>
      </c>
      <c r="O130" s="23">
        <v>21.16</v>
      </c>
      <c r="P130" s="23">
        <v>97.793</v>
      </c>
      <c r="Q130" s="23">
        <v>19.545</v>
      </c>
      <c r="R130" s="23">
        <v>154.19</v>
      </c>
      <c r="S130" s="23">
        <v>22.46</v>
      </c>
      <c r="T130" s="23">
        <v>134.536</v>
      </c>
      <c r="U130" s="23">
        <v>20.371</v>
      </c>
      <c r="V130" s="23">
        <v>97.888</v>
      </c>
      <c r="W130" s="23">
        <v>19.05</v>
      </c>
      <c r="X130" s="23">
        <v>153.965</v>
      </c>
      <c r="Y130" s="23">
        <v>22.958</v>
      </c>
      <c r="Z130" s="23">
        <v>134.379</v>
      </c>
      <c r="AA130" s="23">
        <v>20.783</v>
      </c>
      <c r="AB130" s="23">
        <v>97.887</v>
      </c>
      <c r="AC130" s="23">
        <v>19.309</v>
      </c>
      <c r="AD130" s="22">
        <f t="shared" ref="AD130:AI130" si="130">AVERAGE(L130,R130,X130)</f>
        <v>153.962</v>
      </c>
      <c r="AE130" s="22">
        <f t="shared" si="130"/>
        <v>22.929</v>
      </c>
      <c r="AF130" s="22">
        <f t="shared" si="130"/>
        <v>134.3666667</v>
      </c>
      <c r="AG130" s="22">
        <f t="shared" si="130"/>
        <v>20.77133333</v>
      </c>
      <c r="AH130" s="22">
        <f t="shared" si="130"/>
        <v>97.856</v>
      </c>
      <c r="AI130" s="22">
        <f t="shared" si="130"/>
        <v>19.30133333</v>
      </c>
      <c r="AJ130" s="22"/>
      <c r="AK130" s="22"/>
      <c r="AL130" s="22"/>
      <c r="AM130" s="22"/>
    </row>
    <row r="131">
      <c r="A131" s="13" t="s">
        <v>20</v>
      </c>
      <c r="B131" s="26">
        <v>45646.0</v>
      </c>
      <c r="C131" s="13" t="s">
        <v>24</v>
      </c>
      <c r="D131" s="13">
        <v>6.2</v>
      </c>
      <c r="E131" s="13" t="s">
        <v>27</v>
      </c>
      <c r="F131" s="13">
        <v>2.0</v>
      </c>
      <c r="G131" s="13" t="s">
        <v>26</v>
      </c>
      <c r="H131" s="23">
        <v>12.2507</v>
      </c>
      <c r="I131" s="23">
        <v>559.3287</v>
      </c>
      <c r="J131" s="23">
        <v>5.495</v>
      </c>
      <c r="K131" s="23">
        <v>0.03</v>
      </c>
      <c r="L131" s="23">
        <v>148.894</v>
      </c>
      <c r="M131" s="23">
        <v>21.0035</v>
      </c>
      <c r="N131" s="23">
        <v>130.641</v>
      </c>
      <c r="O131" s="23">
        <v>19.137</v>
      </c>
      <c r="P131" s="23">
        <v>94.342</v>
      </c>
      <c r="Q131" s="23">
        <v>18.5</v>
      </c>
      <c r="R131" s="23">
        <v>148.569</v>
      </c>
      <c r="S131" s="23">
        <v>21.635</v>
      </c>
      <c r="T131" s="23">
        <v>130.443</v>
      </c>
      <c r="U131" s="23">
        <v>19.63</v>
      </c>
      <c r="V131" s="23">
        <v>94.372</v>
      </c>
      <c r="W131" s="23">
        <v>18.946</v>
      </c>
      <c r="X131" s="23">
        <v>149.041</v>
      </c>
      <c r="Y131" s="13">
        <v>20.648</v>
      </c>
      <c r="Z131" s="23">
        <v>130.734</v>
      </c>
      <c r="AA131" s="23">
        <v>18.788</v>
      </c>
      <c r="AB131" s="23">
        <v>94.368</v>
      </c>
      <c r="AC131" s="23">
        <v>18.096</v>
      </c>
      <c r="AD131" s="22">
        <f t="shared" ref="AD131:AD220" si="132">AVERAGE(L131,R131,X131)</f>
        <v>148.8346667</v>
      </c>
      <c r="AE131" s="22">
        <f>AVERAGE(M131,S131,W131)</f>
        <v>20.52816667</v>
      </c>
      <c r="AF131" s="22">
        <f t="shared" ref="AF131:AI131" si="131">AVERAGE(N131,T131,Z131)</f>
        <v>130.606</v>
      </c>
      <c r="AG131" s="22">
        <f t="shared" si="131"/>
        <v>19.185</v>
      </c>
      <c r="AH131" s="22">
        <f t="shared" si="131"/>
        <v>94.36066667</v>
      </c>
      <c r="AI131" s="22">
        <f t="shared" si="131"/>
        <v>18.514</v>
      </c>
      <c r="AJ131" s="22"/>
      <c r="AK131" s="22"/>
      <c r="AL131" s="22"/>
      <c r="AM131" s="22"/>
    </row>
    <row r="132">
      <c r="A132" s="13" t="s">
        <v>20</v>
      </c>
      <c r="B132" s="26">
        <v>45646.0</v>
      </c>
      <c r="C132" s="13" t="s">
        <v>24</v>
      </c>
      <c r="D132" s="13">
        <v>6.3</v>
      </c>
      <c r="E132" s="13" t="s">
        <v>27</v>
      </c>
      <c r="F132" s="13">
        <v>2.0</v>
      </c>
      <c r="G132" s="13" t="s">
        <v>26</v>
      </c>
      <c r="H132" s="23">
        <v>12.028</v>
      </c>
      <c r="I132" s="23">
        <v>597.6434</v>
      </c>
      <c r="J132" s="23">
        <v>5.406</v>
      </c>
      <c r="K132" s="23">
        <v>0.035</v>
      </c>
      <c r="L132" s="23">
        <v>158.674</v>
      </c>
      <c r="M132" s="23">
        <v>24.968</v>
      </c>
      <c r="N132" s="23">
        <v>138.372</v>
      </c>
      <c r="O132" s="23">
        <v>23.665</v>
      </c>
      <c r="P132" s="23">
        <v>100.966</v>
      </c>
      <c r="Q132" s="23">
        <v>23.384</v>
      </c>
      <c r="R132" s="23">
        <v>158.0</v>
      </c>
      <c r="S132" s="23">
        <v>26.634</v>
      </c>
      <c r="T132" s="23">
        <v>137.836</v>
      </c>
      <c r="U132" s="23">
        <v>25.07</v>
      </c>
      <c r="V132" s="23">
        <v>100.758</v>
      </c>
      <c r="W132" s="23">
        <v>24.211</v>
      </c>
      <c r="X132" s="23">
        <v>158.393</v>
      </c>
      <c r="Y132" s="23">
        <v>25.419</v>
      </c>
      <c r="Z132" s="23">
        <v>138.247</v>
      </c>
      <c r="AA132" s="23">
        <v>23.962</v>
      </c>
      <c r="AB132" s="23">
        <v>101.157</v>
      </c>
      <c r="AC132" s="23">
        <v>23.588</v>
      </c>
      <c r="AD132" s="22">
        <f t="shared" si="132"/>
        <v>158.3556667</v>
      </c>
      <c r="AE132" s="22">
        <f t="shared" ref="AE132:AI132" si="133">AVERAGE(M132,S132,Y132)</f>
        <v>25.67366667</v>
      </c>
      <c r="AF132" s="22">
        <f t="shared" si="133"/>
        <v>138.1516667</v>
      </c>
      <c r="AG132" s="22">
        <f t="shared" si="133"/>
        <v>24.23233333</v>
      </c>
      <c r="AH132" s="22">
        <f t="shared" si="133"/>
        <v>100.9603333</v>
      </c>
      <c r="AI132" s="22">
        <f t="shared" si="133"/>
        <v>23.72766667</v>
      </c>
      <c r="AJ132" s="22"/>
      <c r="AK132" s="22"/>
      <c r="AL132" s="22"/>
      <c r="AM132" s="22"/>
    </row>
    <row r="133">
      <c r="A133" s="13" t="s">
        <v>20</v>
      </c>
      <c r="B133" s="26">
        <v>45646.0</v>
      </c>
      <c r="C133" s="13" t="s">
        <v>24</v>
      </c>
      <c r="D133" s="13">
        <v>6.4</v>
      </c>
      <c r="E133" s="13" t="s">
        <v>27</v>
      </c>
      <c r="F133" s="13">
        <v>2.0</v>
      </c>
      <c r="G133" s="13" t="s">
        <v>26</v>
      </c>
      <c r="H133" s="23">
        <v>11.5166</v>
      </c>
      <c r="I133" s="23">
        <v>543.6848</v>
      </c>
      <c r="J133" s="23">
        <v>4.887</v>
      </c>
      <c r="K133" s="23">
        <v>0.03</v>
      </c>
      <c r="L133" s="23">
        <v>152.49</v>
      </c>
      <c r="M133" s="23">
        <v>22.32</v>
      </c>
      <c r="N133" s="23">
        <v>108.238</v>
      </c>
      <c r="O133" s="23">
        <v>19.444</v>
      </c>
      <c r="P133" s="23">
        <v>50.417</v>
      </c>
      <c r="Q133" s="23">
        <v>26.25</v>
      </c>
      <c r="R133" s="23">
        <v>152.967</v>
      </c>
      <c r="S133" s="23">
        <v>21.52</v>
      </c>
      <c r="T133" s="23">
        <v>108.547</v>
      </c>
      <c r="U133" s="23">
        <v>19.04</v>
      </c>
      <c r="V133" s="23">
        <v>50.402</v>
      </c>
      <c r="W133" s="23">
        <v>26.175</v>
      </c>
      <c r="X133" s="23">
        <v>153.07</v>
      </c>
      <c r="Y133" s="23">
        <v>21.569</v>
      </c>
      <c r="Z133" s="23">
        <v>108.499</v>
      </c>
      <c r="AA133" s="23">
        <v>19.162</v>
      </c>
      <c r="AB133" s="23">
        <v>50.247</v>
      </c>
      <c r="AC133" s="23">
        <v>26.084</v>
      </c>
      <c r="AD133" s="22">
        <f t="shared" si="132"/>
        <v>152.8423333</v>
      </c>
      <c r="AE133" s="22">
        <f t="shared" ref="AE133:AI133" si="134">AVERAGE(M133,S133,Y133)</f>
        <v>21.803</v>
      </c>
      <c r="AF133" s="22">
        <f t="shared" si="134"/>
        <v>108.428</v>
      </c>
      <c r="AG133" s="22">
        <f t="shared" si="134"/>
        <v>19.21533333</v>
      </c>
      <c r="AH133" s="22">
        <f t="shared" si="134"/>
        <v>50.35533333</v>
      </c>
      <c r="AI133" s="22">
        <f t="shared" si="134"/>
        <v>26.16966667</v>
      </c>
      <c r="AJ133" s="22"/>
      <c r="AK133" s="22"/>
      <c r="AL133" s="22"/>
      <c r="AM133" s="22"/>
    </row>
    <row r="134">
      <c r="A134" s="13" t="s">
        <v>20</v>
      </c>
      <c r="B134" s="26">
        <v>45646.0</v>
      </c>
      <c r="C134" s="13" t="s">
        <v>25</v>
      </c>
      <c r="D134" s="13">
        <v>4.1</v>
      </c>
      <c r="E134" s="13" t="s">
        <v>27</v>
      </c>
      <c r="F134" s="13">
        <v>2.0</v>
      </c>
      <c r="G134" s="13" t="s">
        <v>26</v>
      </c>
      <c r="H134" s="23">
        <v>11.9857</v>
      </c>
      <c r="I134" s="23">
        <v>561.6051</v>
      </c>
      <c r="J134" s="23">
        <v>3.83</v>
      </c>
      <c r="K134" s="23">
        <v>0.028</v>
      </c>
      <c r="L134" s="23">
        <v>134.958</v>
      </c>
      <c r="M134" s="23">
        <v>26.534</v>
      </c>
      <c r="N134" s="23">
        <v>113.86</v>
      </c>
      <c r="O134" s="23">
        <v>27.274</v>
      </c>
      <c r="P134" s="23">
        <v>61.675</v>
      </c>
      <c r="Q134" s="23">
        <v>27.493</v>
      </c>
      <c r="R134" s="23">
        <v>135.539</v>
      </c>
      <c r="S134" s="23">
        <v>25.994</v>
      </c>
      <c r="T134" s="23">
        <v>114.22</v>
      </c>
      <c r="U134" s="23">
        <v>26.917</v>
      </c>
      <c r="V134" s="23">
        <v>61.567</v>
      </c>
      <c r="W134" s="23">
        <v>27.112</v>
      </c>
      <c r="X134" s="23">
        <v>135.056</v>
      </c>
      <c r="Y134" s="23">
        <v>26.654</v>
      </c>
      <c r="Z134" s="23">
        <v>113.833</v>
      </c>
      <c r="AA134" s="23">
        <v>27.415</v>
      </c>
      <c r="AB134" s="23">
        <v>61.449</v>
      </c>
      <c r="AC134" s="23">
        <v>27.37</v>
      </c>
      <c r="AD134" s="22">
        <f t="shared" si="132"/>
        <v>135.1843333</v>
      </c>
      <c r="AE134" s="22">
        <f t="shared" ref="AE134:AI134" si="135">AVERAGE(M134,S134,Y134)</f>
        <v>26.394</v>
      </c>
      <c r="AF134" s="22">
        <f t="shared" si="135"/>
        <v>113.971</v>
      </c>
      <c r="AG134" s="22">
        <f t="shared" si="135"/>
        <v>27.202</v>
      </c>
      <c r="AH134" s="22">
        <f t="shared" si="135"/>
        <v>61.56366667</v>
      </c>
      <c r="AI134" s="22">
        <f t="shared" si="135"/>
        <v>27.325</v>
      </c>
      <c r="AJ134" s="22"/>
      <c r="AK134" s="22"/>
      <c r="AL134" s="22"/>
      <c r="AM134" s="22"/>
    </row>
    <row r="135">
      <c r="A135" s="13" t="s">
        <v>20</v>
      </c>
      <c r="B135" s="26">
        <v>45646.0</v>
      </c>
      <c r="C135" s="13" t="s">
        <v>25</v>
      </c>
      <c r="D135" s="13">
        <v>4.2</v>
      </c>
      <c r="E135" s="13" t="s">
        <v>27</v>
      </c>
      <c r="F135" s="13">
        <v>2.0</v>
      </c>
      <c r="G135" s="13" t="s">
        <v>26</v>
      </c>
      <c r="H135" s="23">
        <v>10.3514</v>
      </c>
      <c r="I135" s="23">
        <v>608.4</v>
      </c>
      <c r="J135" s="23">
        <v>3.026</v>
      </c>
      <c r="K135" s="23">
        <v>0.032</v>
      </c>
      <c r="L135" s="23">
        <v>136.151</v>
      </c>
      <c r="M135" s="23">
        <v>28.097</v>
      </c>
      <c r="N135" s="23">
        <v>113.006</v>
      </c>
      <c r="O135" s="23">
        <v>27.664</v>
      </c>
      <c r="P135" s="23">
        <v>54.423</v>
      </c>
      <c r="Q135" s="23">
        <v>23.702</v>
      </c>
      <c r="R135" s="23">
        <v>137.635</v>
      </c>
      <c r="S135" s="23">
        <v>26.197</v>
      </c>
      <c r="T135" s="23">
        <v>114.124</v>
      </c>
      <c r="U135" s="23">
        <v>26.142</v>
      </c>
      <c r="V135" s="23">
        <v>54.441</v>
      </c>
      <c r="W135" s="23">
        <v>22.425</v>
      </c>
      <c r="X135" s="23">
        <v>137.411</v>
      </c>
      <c r="Y135" s="23">
        <v>26.498</v>
      </c>
      <c r="Z135" s="23">
        <v>114.051</v>
      </c>
      <c r="AA135" s="23">
        <v>26.427</v>
      </c>
      <c r="AB135" s="23">
        <v>54.794</v>
      </c>
      <c r="AC135" s="23">
        <v>23.06</v>
      </c>
      <c r="AD135" s="22">
        <f t="shared" si="132"/>
        <v>137.0656667</v>
      </c>
      <c r="AE135" s="22">
        <f t="shared" ref="AE135:AI135" si="136">AVERAGE(M135,S135,Y135)</f>
        <v>26.93066667</v>
      </c>
      <c r="AF135" s="22">
        <f t="shared" si="136"/>
        <v>113.727</v>
      </c>
      <c r="AG135" s="22">
        <f t="shared" si="136"/>
        <v>26.74433333</v>
      </c>
      <c r="AH135" s="22">
        <f t="shared" si="136"/>
        <v>54.55266667</v>
      </c>
      <c r="AI135" s="22">
        <f t="shared" si="136"/>
        <v>23.06233333</v>
      </c>
      <c r="AJ135" s="22"/>
      <c r="AK135" s="22"/>
      <c r="AL135" s="22"/>
      <c r="AM135" s="22"/>
    </row>
    <row r="136">
      <c r="A136" s="13" t="s">
        <v>20</v>
      </c>
      <c r="B136" s="26">
        <v>45646.0</v>
      </c>
      <c r="C136" s="13" t="s">
        <v>25</v>
      </c>
      <c r="D136" s="13">
        <v>4.3</v>
      </c>
      <c r="E136" s="13" t="s">
        <v>27</v>
      </c>
      <c r="F136" s="13">
        <v>2.0</v>
      </c>
      <c r="G136" s="13" t="s">
        <v>26</v>
      </c>
      <c r="H136" s="23">
        <v>12.4193</v>
      </c>
      <c r="I136" s="23">
        <v>622.9953</v>
      </c>
      <c r="J136" s="23">
        <v>4.125</v>
      </c>
      <c r="K136" s="23">
        <v>0.022</v>
      </c>
      <c r="L136" s="23">
        <v>131.755</v>
      </c>
      <c r="M136" s="23">
        <v>28.384</v>
      </c>
      <c r="N136" s="23">
        <v>110.646</v>
      </c>
      <c r="O136" s="23">
        <v>28.49</v>
      </c>
      <c r="P136" s="23">
        <v>57.264</v>
      </c>
      <c r="Q136" s="23">
        <v>25.578</v>
      </c>
      <c r="R136" s="23">
        <v>131.235</v>
      </c>
      <c r="S136" s="23">
        <v>28.641</v>
      </c>
      <c r="T136" s="23">
        <v>110.132</v>
      </c>
      <c r="U136" s="23">
        <v>28.443</v>
      </c>
      <c r="V136" s="23">
        <v>56.62</v>
      </c>
      <c r="W136" s="23">
        <v>24.723</v>
      </c>
      <c r="X136" s="23">
        <v>130.819</v>
      </c>
      <c r="Y136" s="23">
        <v>29.143</v>
      </c>
      <c r="Z136" s="23">
        <v>109.795</v>
      </c>
      <c r="AA136" s="23">
        <v>28.834</v>
      </c>
      <c r="AB136" s="23">
        <v>56.492</v>
      </c>
      <c r="AC136" s="23">
        <v>24.925</v>
      </c>
      <c r="AD136" s="22">
        <f t="shared" si="132"/>
        <v>131.2696667</v>
      </c>
      <c r="AE136" s="22">
        <f t="shared" ref="AE136:AI136" si="137">AVERAGE(M136,S136,Y136)</f>
        <v>28.72266667</v>
      </c>
      <c r="AF136" s="22">
        <f t="shared" si="137"/>
        <v>110.191</v>
      </c>
      <c r="AG136" s="22">
        <f t="shared" si="137"/>
        <v>28.589</v>
      </c>
      <c r="AH136" s="22">
        <f t="shared" si="137"/>
        <v>56.792</v>
      </c>
      <c r="AI136" s="22">
        <f t="shared" si="137"/>
        <v>25.07533333</v>
      </c>
      <c r="AJ136" s="22"/>
      <c r="AK136" s="22"/>
      <c r="AL136" s="22"/>
      <c r="AM136" s="22"/>
    </row>
    <row r="137">
      <c r="A137" s="13" t="s">
        <v>20</v>
      </c>
      <c r="B137" s="26">
        <v>45646.0</v>
      </c>
      <c r="C137" s="13" t="s">
        <v>25</v>
      </c>
      <c r="D137" s="13">
        <v>4.4</v>
      </c>
      <c r="E137" s="13" t="s">
        <v>27</v>
      </c>
      <c r="F137" s="13">
        <v>2.0</v>
      </c>
      <c r="G137" s="13" t="s">
        <v>26</v>
      </c>
      <c r="H137" s="23">
        <v>11.4013</v>
      </c>
      <c r="I137" s="23">
        <v>609.6957</v>
      </c>
      <c r="J137" s="23">
        <v>4.254</v>
      </c>
      <c r="K137" s="23">
        <v>0.04</v>
      </c>
      <c r="L137" s="23">
        <v>125.054</v>
      </c>
      <c r="M137" s="23">
        <v>38.282</v>
      </c>
      <c r="N137" s="23">
        <v>104.313</v>
      </c>
      <c r="O137" s="23">
        <v>36.353</v>
      </c>
      <c r="P137" s="23">
        <v>61.339</v>
      </c>
      <c r="Q137" s="23">
        <v>30.994</v>
      </c>
      <c r="R137" s="23">
        <v>124.192</v>
      </c>
      <c r="S137" s="23">
        <v>28.782</v>
      </c>
      <c r="T137" s="23">
        <v>103.551</v>
      </c>
      <c r="U137" s="23">
        <v>36.551</v>
      </c>
      <c r="V137" s="23">
        <v>60.808</v>
      </c>
      <c r="W137" s="23">
        <v>30.767</v>
      </c>
      <c r="X137" s="23">
        <v>124.962</v>
      </c>
      <c r="Y137" s="23">
        <v>38.317</v>
      </c>
      <c r="Z137" s="23">
        <v>104.209</v>
      </c>
      <c r="AA137" s="23">
        <v>36.318</v>
      </c>
      <c r="AB137" s="23">
        <v>61.32</v>
      </c>
      <c r="AC137" s="23">
        <v>30.899</v>
      </c>
      <c r="AD137" s="22">
        <f t="shared" si="132"/>
        <v>124.736</v>
      </c>
      <c r="AE137" s="22">
        <f t="shared" ref="AE137:AI137" si="138">AVERAGE(M137,S137,Y137)</f>
        <v>35.127</v>
      </c>
      <c r="AF137" s="22">
        <f t="shared" si="138"/>
        <v>104.0243333</v>
      </c>
      <c r="AG137" s="22">
        <f t="shared" si="138"/>
        <v>36.40733333</v>
      </c>
      <c r="AH137" s="22">
        <f t="shared" si="138"/>
        <v>61.15566667</v>
      </c>
      <c r="AI137" s="22">
        <f t="shared" si="138"/>
        <v>30.88666667</v>
      </c>
      <c r="AJ137" s="22"/>
      <c r="AK137" s="22"/>
      <c r="AL137" s="22"/>
      <c r="AM137" s="22"/>
    </row>
    <row r="138">
      <c r="A138" s="13" t="s">
        <v>20</v>
      </c>
      <c r="B138" s="26">
        <v>45646.0</v>
      </c>
      <c r="C138" s="13" t="s">
        <v>25</v>
      </c>
      <c r="D138" s="13">
        <v>5.1</v>
      </c>
      <c r="E138" s="13" t="s">
        <v>27</v>
      </c>
      <c r="F138" s="13">
        <v>2.0</v>
      </c>
      <c r="G138" s="13" t="s">
        <v>26</v>
      </c>
      <c r="H138" s="23">
        <v>9.8238</v>
      </c>
      <c r="I138" s="23">
        <v>604.8012</v>
      </c>
      <c r="J138" s="23">
        <v>3.159</v>
      </c>
      <c r="K138" s="23">
        <v>0.023</v>
      </c>
      <c r="L138" s="23">
        <v>141.403</v>
      </c>
      <c r="M138" s="23">
        <v>36.174</v>
      </c>
      <c r="N138" s="23">
        <v>117.879</v>
      </c>
      <c r="O138" s="23">
        <v>35.798</v>
      </c>
      <c r="P138" s="23">
        <v>63.887</v>
      </c>
      <c r="Q138" s="23">
        <v>29.982</v>
      </c>
      <c r="R138" s="23">
        <v>141.247</v>
      </c>
      <c r="S138" s="23">
        <v>36.509</v>
      </c>
      <c r="T138" s="23">
        <v>117.749</v>
      </c>
      <c r="U138" s="23">
        <v>36.098</v>
      </c>
      <c r="V138" s="23">
        <v>63.899</v>
      </c>
      <c r="W138" s="23">
        <v>30.333</v>
      </c>
      <c r="X138" s="23">
        <v>141.175</v>
      </c>
      <c r="Y138" s="23">
        <v>36.296</v>
      </c>
      <c r="Z138" s="23">
        <v>117.623</v>
      </c>
      <c r="AA138" s="23">
        <v>35.826</v>
      </c>
      <c r="AB138" s="23">
        <v>63.592</v>
      </c>
      <c r="AC138" s="23">
        <v>29.631</v>
      </c>
      <c r="AD138" s="22">
        <f t="shared" si="132"/>
        <v>141.275</v>
      </c>
      <c r="AE138" s="22">
        <f t="shared" ref="AE138:AI138" si="139">AVERAGE(M138,S138,Y138)</f>
        <v>36.32633333</v>
      </c>
      <c r="AF138" s="22">
        <f t="shared" si="139"/>
        <v>117.7503333</v>
      </c>
      <c r="AG138" s="22">
        <f t="shared" si="139"/>
        <v>35.90733333</v>
      </c>
      <c r="AH138" s="22">
        <f t="shared" si="139"/>
        <v>63.79266667</v>
      </c>
      <c r="AI138" s="22">
        <f t="shared" si="139"/>
        <v>29.982</v>
      </c>
      <c r="AJ138" s="22"/>
      <c r="AK138" s="22"/>
      <c r="AL138" s="22"/>
      <c r="AM138" s="22"/>
    </row>
    <row r="139">
      <c r="A139" s="13" t="s">
        <v>20</v>
      </c>
      <c r="B139" s="26">
        <v>45646.0</v>
      </c>
      <c r="C139" s="13" t="s">
        <v>25</v>
      </c>
      <c r="D139" s="13">
        <v>5.2</v>
      </c>
      <c r="E139" s="13" t="s">
        <v>27</v>
      </c>
      <c r="F139" s="13">
        <v>2.0</v>
      </c>
      <c r="G139" s="13" t="s">
        <v>26</v>
      </c>
      <c r="H139" s="23">
        <v>9.4432</v>
      </c>
      <c r="I139" s="23">
        <v>596.4</v>
      </c>
      <c r="J139" s="23">
        <v>2.935</v>
      </c>
      <c r="K139" s="23">
        <v>0.021</v>
      </c>
      <c r="L139" s="23">
        <v>118.757</v>
      </c>
      <c r="M139" s="23">
        <v>33.082</v>
      </c>
      <c r="N139" s="23">
        <v>95.876</v>
      </c>
      <c r="O139" s="23">
        <v>32.1159</v>
      </c>
      <c r="P139" s="23">
        <v>48.463</v>
      </c>
      <c r="Q139" s="23">
        <v>25.752</v>
      </c>
      <c r="R139" s="23">
        <v>117.811</v>
      </c>
      <c r="S139" s="23">
        <v>33.222</v>
      </c>
      <c r="T139" s="23">
        <v>94.862</v>
      </c>
      <c r="U139" s="23">
        <v>31.919</v>
      </c>
      <c r="V139" s="23">
        <v>47.419</v>
      </c>
      <c r="W139" s="23">
        <v>24.168</v>
      </c>
      <c r="X139" s="23">
        <v>118.713</v>
      </c>
      <c r="Y139" s="23">
        <v>32.84</v>
      </c>
      <c r="Z139" s="23">
        <v>95.639</v>
      </c>
      <c r="AA139" s="23">
        <v>31.892</v>
      </c>
      <c r="AB139" s="23">
        <v>48.032</v>
      </c>
      <c r="AC139" s="23">
        <v>25.143</v>
      </c>
      <c r="AD139" s="22">
        <f t="shared" si="132"/>
        <v>118.427</v>
      </c>
      <c r="AE139" s="22">
        <f t="shared" ref="AE139:AI139" si="140">AVERAGE(M139,S139,Y139)</f>
        <v>33.048</v>
      </c>
      <c r="AF139" s="22">
        <f t="shared" si="140"/>
        <v>95.459</v>
      </c>
      <c r="AG139" s="22">
        <f t="shared" si="140"/>
        <v>31.97563333</v>
      </c>
      <c r="AH139" s="22">
        <f t="shared" si="140"/>
        <v>47.97133333</v>
      </c>
      <c r="AI139" s="22">
        <f t="shared" si="140"/>
        <v>25.021</v>
      </c>
      <c r="AJ139" s="22"/>
      <c r="AK139" s="22"/>
      <c r="AL139" s="22"/>
      <c r="AM139" s="22"/>
    </row>
    <row r="140">
      <c r="A140" s="13" t="s">
        <v>20</v>
      </c>
      <c r="B140" s="26">
        <v>45646.0</v>
      </c>
      <c r="C140" s="13" t="s">
        <v>25</v>
      </c>
      <c r="D140" s="13">
        <v>5.3</v>
      </c>
      <c r="E140" s="13" t="s">
        <v>27</v>
      </c>
      <c r="F140" s="13">
        <v>2.0</v>
      </c>
      <c r="G140" s="13" t="s">
        <v>26</v>
      </c>
      <c r="H140" s="23">
        <v>9.9382</v>
      </c>
      <c r="I140" s="23">
        <v>649.2044</v>
      </c>
      <c r="J140" s="23">
        <v>2.871</v>
      </c>
      <c r="K140" s="23">
        <v>0.016</v>
      </c>
      <c r="L140" s="23">
        <v>124.019</v>
      </c>
      <c r="M140" s="23">
        <v>30.651</v>
      </c>
      <c r="N140" s="23">
        <v>103.36</v>
      </c>
      <c r="O140" s="23">
        <v>30.646</v>
      </c>
      <c r="P140" s="23">
        <v>50.795</v>
      </c>
      <c r="Q140" s="23">
        <v>27.075</v>
      </c>
      <c r="R140" s="23">
        <v>123.205</v>
      </c>
      <c r="S140" s="23">
        <v>31.601</v>
      </c>
      <c r="T140" s="23">
        <v>102.663</v>
      </c>
      <c r="U140" s="23">
        <v>31.297</v>
      </c>
      <c r="V140" s="23">
        <v>50.519</v>
      </c>
      <c r="W140" s="23">
        <v>27.144</v>
      </c>
      <c r="X140" s="23">
        <v>123.877</v>
      </c>
      <c r="Y140" s="23">
        <v>30.893</v>
      </c>
      <c r="Z140" s="23">
        <v>103.258</v>
      </c>
      <c r="AA140" s="23">
        <v>30.82</v>
      </c>
      <c r="AB140" s="23">
        <v>50.779</v>
      </c>
      <c r="AC140" s="23">
        <v>27.126</v>
      </c>
      <c r="AD140" s="22">
        <f t="shared" si="132"/>
        <v>123.7003333</v>
      </c>
      <c r="AE140" s="22">
        <f t="shared" ref="AE140:AI140" si="141">AVERAGE(M140,S140,Y140)</f>
        <v>31.04833333</v>
      </c>
      <c r="AF140" s="22">
        <f t="shared" si="141"/>
        <v>103.0936667</v>
      </c>
      <c r="AG140" s="22">
        <f t="shared" si="141"/>
        <v>30.921</v>
      </c>
      <c r="AH140" s="22">
        <f t="shared" si="141"/>
        <v>50.69766667</v>
      </c>
      <c r="AI140" s="22">
        <f t="shared" si="141"/>
        <v>27.115</v>
      </c>
      <c r="AJ140" s="22"/>
      <c r="AK140" s="22"/>
      <c r="AL140" s="22"/>
      <c r="AM140" s="22"/>
    </row>
    <row r="141">
      <c r="A141" s="13" t="s">
        <v>20</v>
      </c>
      <c r="B141" s="26">
        <v>45646.0</v>
      </c>
      <c r="C141" s="13" t="s">
        <v>25</v>
      </c>
      <c r="D141" s="13">
        <v>5.4</v>
      </c>
      <c r="E141" s="13" t="s">
        <v>27</v>
      </c>
      <c r="F141" s="13">
        <v>2.0</v>
      </c>
      <c r="G141" s="13" t="s">
        <v>26</v>
      </c>
      <c r="H141" s="23">
        <v>11.0911</v>
      </c>
      <c r="I141" s="23">
        <v>572.4616</v>
      </c>
      <c r="J141" s="23">
        <v>3.428</v>
      </c>
      <c r="K141" s="23">
        <v>0.019</v>
      </c>
      <c r="L141" s="23">
        <v>133.052</v>
      </c>
      <c r="M141" s="23">
        <v>29.412</v>
      </c>
      <c r="N141" s="23">
        <v>109.992</v>
      </c>
      <c r="O141" s="23">
        <v>27.491</v>
      </c>
      <c r="P141" s="23">
        <v>69.414</v>
      </c>
      <c r="Q141" s="23">
        <v>26.714</v>
      </c>
      <c r="R141" s="23">
        <v>133.056</v>
      </c>
      <c r="S141" s="23">
        <v>29.289</v>
      </c>
      <c r="T141" s="23">
        <v>110.043</v>
      </c>
      <c r="U141" s="23">
        <v>27.345</v>
      </c>
      <c r="V141" s="23">
        <v>69.465</v>
      </c>
      <c r="W141" s="23">
        <v>26.735</v>
      </c>
      <c r="X141" s="23">
        <v>133.0</v>
      </c>
      <c r="Y141" s="23">
        <v>29.185</v>
      </c>
      <c r="Z141" s="23">
        <v>109.979</v>
      </c>
      <c r="AA141" s="23">
        <v>27.258</v>
      </c>
      <c r="AB141" s="23">
        <v>69.443</v>
      </c>
      <c r="AC141" s="23">
        <v>26.474</v>
      </c>
      <c r="AD141" s="22">
        <f t="shared" si="132"/>
        <v>133.036</v>
      </c>
      <c r="AE141" s="22">
        <f t="shared" ref="AE141:AI141" si="142">AVERAGE(M141,S141,Y141)</f>
        <v>29.29533333</v>
      </c>
      <c r="AF141" s="22">
        <f t="shared" si="142"/>
        <v>110.0046667</v>
      </c>
      <c r="AG141" s="22">
        <f t="shared" si="142"/>
        <v>27.36466667</v>
      </c>
      <c r="AH141" s="22">
        <f t="shared" si="142"/>
        <v>69.44066667</v>
      </c>
      <c r="AI141" s="22">
        <f t="shared" si="142"/>
        <v>26.641</v>
      </c>
      <c r="AJ141" s="22"/>
      <c r="AK141" s="22"/>
      <c r="AL141" s="22"/>
      <c r="AM141" s="22"/>
    </row>
    <row r="142">
      <c r="A142" s="13" t="s">
        <v>20</v>
      </c>
      <c r="B142" s="26">
        <v>45646.0</v>
      </c>
      <c r="C142" s="13" t="s">
        <v>25</v>
      </c>
      <c r="D142" s="13">
        <v>6.1</v>
      </c>
      <c r="E142" s="13" t="s">
        <v>27</v>
      </c>
      <c r="F142" s="13">
        <v>2.0</v>
      </c>
      <c r="G142" s="13" t="s">
        <v>26</v>
      </c>
      <c r="H142" s="23">
        <v>10.4179</v>
      </c>
      <c r="I142" s="23">
        <v>561.7282</v>
      </c>
      <c r="J142" s="23">
        <v>3.063</v>
      </c>
      <c r="K142" s="23">
        <v>0.043</v>
      </c>
      <c r="L142" s="23">
        <v>125.528</v>
      </c>
      <c r="M142" s="23">
        <v>30.389</v>
      </c>
      <c r="N142" s="23">
        <v>106.602</v>
      </c>
      <c r="O142" s="23">
        <v>30.311</v>
      </c>
      <c r="P142" s="23">
        <v>56.213</v>
      </c>
      <c r="Q142" s="23">
        <v>25.809</v>
      </c>
      <c r="R142" s="23">
        <v>127.042</v>
      </c>
      <c r="S142" s="23">
        <v>28.741</v>
      </c>
      <c r="T142" s="23">
        <v>107.735</v>
      </c>
      <c r="U142" s="23">
        <v>29.119</v>
      </c>
      <c r="V142" s="23">
        <v>56.323</v>
      </c>
      <c r="W142" s="23">
        <v>25.062</v>
      </c>
      <c r="X142" s="23">
        <v>126.257</v>
      </c>
      <c r="Y142" s="23">
        <v>29.952</v>
      </c>
      <c r="Z142" s="23">
        <v>107.404</v>
      </c>
      <c r="AA142" s="23">
        <v>29.883</v>
      </c>
      <c r="AB142" s="23">
        <v>56.929</v>
      </c>
      <c r="AC142" s="23">
        <v>26.008</v>
      </c>
      <c r="AD142" s="22">
        <f t="shared" si="132"/>
        <v>126.2756667</v>
      </c>
      <c r="AE142" s="22">
        <f t="shared" ref="AE142:AI142" si="143">AVERAGE(M142,S142,Y142)</f>
        <v>29.694</v>
      </c>
      <c r="AF142" s="22">
        <f t="shared" si="143"/>
        <v>107.247</v>
      </c>
      <c r="AG142" s="22">
        <f t="shared" si="143"/>
        <v>29.771</v>
      </c>
      <c r="AH142" s="22">
        <f t="shared" si="143"/>
        <v>56.48833333</v>
      </c>
      <c r="AI142" s="22">
        <f t="shared" si="143"/>
        <v>25.62633333</v>
      </c>
      <c r="AJ142" s="22"/>
      <c r="AK142" s="22"/>
      <c r="AL142" s="22"/>
      <c r="AM142" s="22"/>
    </row>
    <row r="143">
      <c r="A143" s="13" t="s">
        <v>20</v>
      </c>
      <c r="B143" s="26">
        <v>45646.0</v>
      </c>
      <c r="C143" s="13" t="s">
        <v>25</v>
      </c>
      <c r="D143" s="13">
        <v>6.2</v>
      </c>
      <c r="E143" s="13" t="s">
        <v>27</v>
      </c>
      <c r="F143" s="13">
        <v>2.0</v>
      </c>
      <c r="G143" s="13" t="s">
        <v>26</v>
      </c>
      <c r="H143" s="23">
        <v>14.3858</v>
      </c>
      <c r="I143" s="23">
        <v>560.6171</v>
      </c>
      <c r="J143" s="23">
        <v>4.511</v>
      </c>
      <c r="K143" s="23">
        <v>0.036</v>
      </c>
      <c r="L143" s="23">
        <v>128.365</v>
      </c>
      <c r="M143" s="23">
        <v>31.593</v>
      </c>
      <c r="N143" s="23">
        <v>107.285</v>
      </c>
      <c r="O143" s="23">
        <v>31.362</v>
      </c>
      <c r="P143" s="23">
        <v>56.725</v>
      </c>
      <c r="Q143" s="23">
        <v>26.806</v>
      </c>
      <c r="R143" s="23">
        <v>128.286</v>
      </c>
      <c r="S143" s="23">
        <v>31.52</v>
      </c>
      <c r="T143" s="23">
        <v>106.944</v>
      </c>
      <c r="U143" s="23">
        <v>31.199</v>
      </c>
      <c r="V143" s="23">
        <v>55.967</v>
      </c>
      <c r="W143" s="23">
        <v>25.757</v>
      </c>
      <c r="X143" s="23">
        <v>128.128</v>
      </c>
      <c r="Y143" s="23">
        <v>31.998</v>
      </c>
      <c r="Z143" s="23">
        <v>106.843</v>
      </c>
      <c r="AA143" s="23">
        <v>31.662</v>
      </c>
      <c r="AB143" s="23">
        <v>56.022</v>
      </c>
      <c r="AC143" s="23">
        <v>26.329</v>
      </c>
      <c r="AD143" s="22">
        <f t="shared" si="132"/>
        <v>128.2596667</v>
      </c>
      <c r="AE143" s="22">
        <f t="shared" ref="AE143:AI143" si="144">AVERAGE(M143,S143,Y143)</f>
        <v>31.70366667</v>
      </c>
      <c r="AF143" s="22">
        <f t="shared" si="144"/>
        <v>107.024</v>
      </c>
      <c r="AG143" s="22">
        <f t="shared" si="144"/>
        <v>31.40766667</v>
      </c>
      <c r="AH143" s="22">
        <f t="shared" si="144"/>
        <v>56.238</v>
      </c>
      <c r="AI143" s="22">
        <f t="shared" si="144"/>
        <v>26.29733333</v>
      </c>
      <c r="AJ143" s="22"/>
      <c r="AK143" s="22"/>
      <c r="AL143" s="22"/>
      <c r="AM143" s="22"/>
    </row>
    <row r="144">
      <c r="A144" s="13" t="s">
        <v>20</v>
      </c>
      <c r="B144" s="26">
        <v>45646.0</v>
      </c>
      <c r="C144" s="13" t="s">
        <v>25</v>
      </c>
      <c r="D144" s="13">
        <v>6.3</v>
      </c>
      <c r="E144" s="13" t="s">
        <v>27</v>
      </c>
      <c r="F144" s="13">
        <v>2.0</v>
      </c>
      <c r="G144" s="13" t="s">
        <v>26</v>
      </c>
      <c r="H144" s="23">
        <v>12.5703</v>
      </c>
      <c r="I144" s="23">
        <v>618.1165</v>
      </c>
      <c r="J144" s="23">
        <v>4.387</v>
      </c>
      <c r="K144" s="23">
        <v>0.009</v>
      </c>
      <c r="L144" s="23">
        <v>122.974</v>
      </c>
      <c r="M144" s="23">
        <v>39.22</v>
      </c>
      <c r="N144" s="23">
        <v>102.369</v>
      </c>
      <c r="O144" s="23">
        <v>38.22</v>
      </c>
      <c r="P144" s="23">
        <v>52.963</v>
      </c>
      <c r="Q144" s="23">
        <v>29.904</v>
      </c>
      <c r="R144" s="23">
        <v>123.052</v>
      </c>
      <c r="S144" s="23">
        <v>39.465</v>
      </c>
      <c r="T144" s="23">
        <v>102.674</v>
      </c>
      <c r="U144" s="23">
        <v>38.574</v>
      </c>
      <c r="V144" s="23">
        <v>53.661</v>
      </c>
      <c r="W144" s="23">
        <v>31.008</v>
      </c>
      <c r="X144" s="23">
        <v>122.967</v>
      </c>
      <c r="Y144" s="23">
        <v>39.085</v>
      </c>
      <c r="Z144" s="23">
        <v>102.505</v>
      </c>
      <c r="AA144" s="23">
        <v>38.127</v>
      </c>
      <c r="AB144" s="23">
        <v>53.253</v>
      </c>
      <c r="AC144" s="23">
        <v>30.074</v>
      </c>
      <c r="AD144" s="22">
        <f t="shared" si="132"/>
        <v>122.9976667</v>
      </c>
      <c r="AE144" s="22">
        <f t="shared" ref="AE144:AI144" si="145">AVERAGE(M144,S144,Y144)</f>
        <v>39.25666667</v>
      </c>
      <c r="AF144" s="22">
        <f t="shared" si="145"/>
        <v>102.516</v>
      </c>
      <c r="AG144" s="22">
        <f t="shared" si="145"/>
        <v>38.307</v>
      </c>
      <c r="AH144" s="22">
        <f t="shared" si="145"/>
        <v>53.29233333</v>
      </c>
      <c r="AI144" s="22">
        <f t="shared" si="145"/>
        <v>30.32866667</v>
      </c>
      <c r="AJ144" s="22"/>
      <c r="AK144" s="22"/>
      <c r="AL144" s="22"/>
      <c r="AM144" s="22"/>
    </row>
    <row r="145">
      <c r="A145" s="13" t="s">
        <v>20</v>
      </c>
      <c r="B145" s="26">
        <v>45646.0</v>
      </c>
      <c r="C145" s="13" t="s">
        <v>25</v>
      </c>
      <c r="D145" s="13">
        <v>6.4</v>
      </c>
      <c r="E145" s="13" t="s">
        <v>27</v>
      </c>
      <c r="F145" s="13">
        <v>2.0</v>
      </c>
      <c r="G145" s="13" t="s">
        <v>26</v>
      </c>
      <c r="H145" s="23">
        <v>14.4081</v>
      </c>
      <c r="I145" s="23">
        <v>555.705</v>
      </c>
      <c r="J145" s="23">
        <v>5.072</v>
      </c>
      <c r="K145" s="23">
        <v>0.04</v>
      </c>
      <c r="L145" s="23">
        <v>136.092</v>
      </c>
      <c r="M145" s="23">
        <v>35.797</v>
      </c>
      <c r="N145" s="23">
        <v>111.735</v>
      </c>
      <c r="O145" s="23">
        <v>33.971</v>
      </c>
      <c r="P145" s="23">
        <v>67.272</v>
      </c>
      <c r="Q145" s="23">
        <v>30.317</v>
      </c>
      <c r="R145" s="23">
        <v>136.458</v>
      </c>
      <c r="S145" s="23">
        <v>35.212</v>
      </c>
      <c r="T145" s="23">
        <v>111.949</v>
      </c>
      <c r="U145" s="23">
        <v>33.45</v>
      </c>
      <c r="V145" s="23">
        <v>67.203</v>
      </c>
      <c r="W145" s="23">
        <v>30.003</v>
      </c>
      <c r="X145" s="23">
        <v>136.718</v>
      </c>
      <c r="Y145" s="23">
        <v>35.14</v>
      </c>
      <c r="Z145" s="23">
        <v>112.153</v>
      </c>
      <c r="AA145" s="23">
        <v>33.477</v>
      </c>
      <c r="AB145" s="23">
        <v>67.153</v>
      </c>
      <c r="AC145" s="23">
        <v>30.035</v>
      </c>
      <c r="AD145" s="22">
        <f t="shared" si="132"/>
        <v>136.4226667</v>
      </c>
      <c r="AE145" s="22">
        <f t="shared" ref="AE145:AI145" si="146">AVERAGE(M145,S145,Y145)</f>
        <v>35.383</v>
      </c>
      <c r="AF145" s="22">
        <f t="shared" si="146"/>
        <v>111.9456667</v>
      </c>
      <c r="AG145" s="22">
        <f t="shared" si="146"/>
        <v>33.63266667</v>
      </c>
      <c r="AH145" s="22">
        <f t="shared" si="146"/>
        <v>67.20933333</v>
      </c>
      <c r="AI145" s="22">
        <f t="shared" si="146"/>
        <v>30.11833333</v>
      </c>
      <c r="AJ145" s="22"/>
      <c r="AK145" s="22"/>
      <c r="AL145" s="22"/>
      <c r="AM145" s="22"/>
    </row>
    <row r="146">
      <c r="A146" s="13" t="s">
        <v>20</v>
      </c>
      <c r="B146" s="26">
        <v>45646.0</v>
      </c>
      <c r="C146" s="13" t="s">
        <v>21</v>
      </c>
      <c r="D146" s="13">
        <v>7.1</v>
      </c>
      <c r="E146" s="13" t="s">
        <v>22</v>
      </c>
      <c r="F146" s="13">
        <v>4.0</v>
      </c>
      <c r="G146" s="13" t="s">
        <v>23</v>
      </c>
      <c r="H146" s="23">
        <v>10.6967</v>
      </c>
      <c r="I146" s="23">
        <v>528.0873</v>
      </c>
      <c r="J146" s="23">
        <v>2.876</v>
      </c>
      <c r="K146" s="23">
        <v>0.025</v>
      </c>
      <c r="L146" s="23">
        <v>94.755</v>
      </c>
      <c r="M146" s="23">
        <v>23.158</v>
      </c>
      <c r="N146" s="23">
        <v>70.526</v>
      </c>
      <c r="O146" s="23">
        <v>23.4</v>
      </c>
      <c r="P146" s="23">
        <v>39.615</v>
      </c>
      <c r="Q146" s="23">
        <v>22.131</v>
      </c>
      <c r="R146" s="23">
        <v>94.34</v>
      </c>
      <c r="S146" s="23">
        <v>22.635</v>
      </c>
      <c r="T146" s="23">
        <v>69.864</v>
      </c>
      <c r="U146" s="23">
        <v>22.302</v>
      </c>
      <c r="V146" s="23">
        <v>38.595</v>
      </c>
      <c r="W146" s="23">
        <v>20.018</v>
      </c>
      <c r="X146" s="23">
        <v>94.646</v>
      </c>
      <c r="Y146" s="23">
        <v>22.772</v>
      </c>
      <c r="Z146" s="23">
        <v>70.348</v>
      </c>
      <c r="AA146" s="23">
        <v>22.817</v>
      </c>
      <c r="AB146" s="23">
        <v>39.256</v>
      </c>
      <c r="AC146" s="23">
        <v>21.039</v>
      </c>
      <c r="AD146" s="22">
        <f t="shared" si="132"/>
        <v>94.58033333</v>
      </c>
      <c r="AE146" s="22">
        <f t="shared" ref="AE146:AI146" si="147">AVERAGE(M146,S146,Y146)</f>
        <v>22.855</v>
      </c>
      <c r="AF146" s="22">
        <f t="shared" si="147"/>
        <v>70.246</v>
      </c>
      <c r="AG146" s="22">
        <f t="shared" si="147"/>
        <v>22.83966667</v>
      </c>
      <c r="AH146" s="22">
        <f t="shared" si="147"/>
        <v>39.15533333</v>
      </c>
      <c r="AI146" s="22">
        <f t="shared" si="147"/>
        <v>21.06266667</v>
      </c>
      <c r="AJ146" s="22"/>
      <c r="AK146" s="22"/>
      <c r="AL146" s="22"/>
      <c r="AM146" s="22"/>
    </row>
    <row r="147">
      <c r="A147" s="13" t="s">
        <v>20</v>
      </c>
      <c r="B147" s="26">
        <v>45646.0</v>
      </c>
      <c r="C147" s="13" t="s">
        <v>21</v>
      </c>
      <c r="D147" s="13">
        <v>7.2</v>
      </c>
      <c r="E147" s="13" t="s">
        <v>22</v>
      </c>
      <c r="F147" s="13">
        <v>4.0</v>
      </c>
      <c r="G147" s="13" t="s">
        <v>23</v>
      </c>
      <c r="H147" s="23">
        <v>11.4534</v>
      </c>
      <c r="I147" s="23">
        <v>546.0119</v>
      </c>
      <c r="J147" s="23">
        <v>3.778</v>
      </c>
      <c r="K147" s="23">
        <v>0.016</v>
      </c>
      <c r="L147" s="23">
        <v>108.954</v>
      </c>
      <c r="M147" s="23">
        <v>26.212</v>
      </c>
      <c r="N147" s="23">
        <v>82.529</v>
      </c>
      <c r="O147" s="23">
        <v>24.836</v>
      </c>
      <c r="P147" s="23">
        <v>46.041</v>
      </c>
      <c r="Q147" s="23">
        <v>21.244</v>
      </c>
      <c r="R147" s="23">
        <v>109.061</v>
      </c>
      <c r="S147" s="23">
        <v>26.44</v>
      </c>
      <c r="T147" s="23">
        <v>82.705</v>
      </c>
      <c r="U147" s="23">
        <v>25.153</v>
      </c>
      <c r="V147" s="23">
        <v>46.318</v>
      </c>
      <c r="W147" s="23">
        <v>22.027</v>
      </c>
      <c r="X147" s="23">
        <v>108.983</v>
      </c>
      <c r="Y147" s="23">
        <v>26.345</v>
      </c>
      <c r="Z147" s="23">
        <v>82.651</v>
      </c>
      <c r="AA147" s="23">
        <v>24.949</v>
      </c>
      <c r="AB147" s="23">
        <v>46.238</v>
      </c>
      <c r="AC147" s="23">
        <v>21.485</v>
      </c>
      <c r="AD147" s="22">
        <f t="shared" si="132"/>
        <v>108.9993333</v>
      </c>
      <c r="AE147" s="22">
        <f t="shared" ref="AE147:AI147" si="148">AVERAGE(M147,S147,Y147)</f>
        <v>26.33233333</v>
      </c>
      <c r="AF147" s="22">
        <f t="shared" si="148"/>
        <v>82.62833333</v>
      </c>
      <c r="AG147" s="22">
        <f t="shared" si="148"/>
        <v>24.97933333</v>
      </c>
      <c r="AH147" s="22">
        <f t="shared" si="148"/>
        <v>46.199</v>
      </c>
      <c r="AI147" s="22">
        <f t="shared" si="148"/>
        <v>21.58533333</v>
      </c>
      <c r="AJ147" s="22"/>
      <c r="AK147" s="22"/>
      <c r="AL147" s="22"/>
      <c r="AM147" s="22"/>
    </row>
    <row r="148">
      <c r="A148" s="13" t="s">
        <v>20</v>
      </c>
      <c r="B148" s="26">
        <v>45646.0</v>
      </c>
      <c r="C148" s="13" t="s">
        <v>21</v>
      </c>
      <c r="D148" s="13">
        <v>7.3</v>
      </c>
      <c r="E148" s="13" t="s">
        <v>22</v>
      </c>
      <c r="F148" s="13">
        <v>4.0</v>
      </c>
      <c r="G148" s="13" t="s">
        <v>23</v>
      </c>
      <c r="H148" s="23">
        <v>13.2208</v>
      </c>
      <c r="I148" s="23">
        <v>554.5299</v>
      </c>
      <c r="J148" s="23">
        <v>3.996</v>
      </c>
      <c r="K148" s="23">
        <v>0.008</v>
      </c>
      <c r="L148" s="23">
        <v>98.285</v>
      </c>
      <c r="M148" s="23">
        <v>28.931</v>
      </c>
      <c r="N148" s="23">
        <v>77.043</v>
      </c>
      <c r="O148" s="23">
        <v>28.224</v>
      </c>
      <c r="P148" s="23">
        <v>44.753</v>
      </c>
      <c r="Q148" s="23">
        <v>23.119</v>
      </c>
      <c r="R148" s="23">
        <v>98.595</v>
      </c>
      <c r="S148" s="23">
        <v>28.496</v>
      </c>
      <c r="T148" s="23">
        <v>77.232</v>
      </c>
      <c r="U148" s="23">
        <v>27.884</v>
      </c>
      <c r="V148" s="23">
        <v>44.714</v>
      </c>
      <c r="W148" s="23">
        <v>22.68</v>
      </c>
      <c r="X148" s="23">
        <v>98.696</v>
      </c>
      <c r="Y148" s="23">
        <v>28.292</v>
      </c>
      <c r="Z148" s="23">
        <v>77.321</v>
      </c>
      <c r="AA148" s="23">
        <v>28.154</v>
      </c>
      <c r="AB148" s="23">
        <v>44.923</v>
      </c>
      <c r="AC148" s="23">
        <v>23.182</v>
      </c>
      <c r="AD148" s="22">
        <f t="shared" si="132"/>
        <v>98.52533333</v>
      </c>
      <c r="AE148" s="22">
        <f t="shared" ref="AE148:AI148" si="149">AVERAGE(M148,S148,Y148)</f>
        <v>28.573</v>
      </c>
      <c r="AF148" s="22">
        <f t="shared" si="149"/>
        <v>77.19866667</v>
      </c>
      <c r="AG148" s="22">
        <f t="shared" si="149"/>
        <v>28.08733333</v>
      </c>
      <c r="AH148" s="22">
        <f t="shared" si="149"/>
        <v>44.79666667</v>
      </c>
      <c r="AI148" s="22">
        <f t="shared" si="149"/>
        <v>22.99366667</v>
      </c>
      <c r="AJ148" s="22"/>
      <c r="AK148" s="22"/>
      <c r="AL148" s="22"/>
      <c r="AM148" s="22"/>
    </row>
    <row r="149">
      <c r="A149" s="13" t="s">
        <v>20</v>
      </c>
      <c r="B149" s="26">
        <v>45646.0</v>
      </c>
      <c r="C149" s="13" t="s">
        <v>21</v>
      </c>
      <c r="D149" s="13">
        <v>7.4</v>
      </c>
      <c r="E149" s="13" t="s">
        <v>22</v>
      </c>
      <c r="F149" s="13">
        <v>4.0</v>
      </c>
      <c r="G149" s="13" t="s">
        <v>23</v>
      </c>
      <c r="H149" s="23">
        <v>11.5709</v>
      </c>
      <c r="I149" s="23">
        <v>555.6052</v>
      </c>
      <c r="J149" s="23">
        <v>3.656</v>
      </c>
      <c r="K149" s="23">
        <v>0.016</v>
      </c>
      <c r="L149" s="23">
        <v>132.266</v>
      </c>
      <c r="M149" s="23">
        <v>33.329</v>
      </c>
      <c r="N149" s="23">
        <v>111.403</v>
      </c>
      <c r="O149" s="23">
        <v>32.428</v>
      </c>
      <c r="P149" s="23">
        <v>70.843</v>
      </c>
      <c r="Q149" s="23">
        <v>27.306</v>
      </c>
      <c r="R149" s="23">
        <v>132.465</v>
      </c>
      <c r="S149" s="23">
        <v>33.114</v>
      </c>
      <c r="T149" s="23">
        <v>111.489</v>
      </c>
      <c r="U149" s="23">
        <v>32.232</v>
      </c>
      <c r="V149" s="23">
        <v>70.79</v>
      </c>
      <c r="W149" s="23">
        <v>27.084</v>
      </c>
      <c r="X149" s="23">
        <v>132.505</v>
      </c>
      <c r="Y149" s="23">
        <v>33.374</v>
      </c>
      <c r="Z149" s="23">
        <v>111.545</v>
      </c>
      <c r="AA149" s="23">
        <v>32.498</v>
      </c>
      <c r="AB149" s="23">
        <v>70.863</v>
      </c>
      <c r="AC149" s="23">
        <v>27.307</v>
      </c>
      <c r="AD149" s="22">
        <f t="shared" si="132"/>
        <v>132.412</v>
      </c>
      <c r="AE149" s="22">
        <f t="shared" ref="AE149:AI149" si="150">AVERAGE(M149,S149,Y149)</f>
        <v>33.27233333</v>
      </c>
      <c r="AF149" s="22">
        <f t="shared" si="150"/>
        <v>111.479</v>
      </c>
      <c r="AG149" s="22">
        <f t="shared" si="150"/>
        <v>32.386</v>
      </c>
      <c r="AH149" s="22">
        <f t="shared" si="150"/>
        <v>70.832</v>
      </c>
      <c r="AI149" s="22">
        <f t="shared" si="150"/>
        <v>27.23233333</v>
      </c>
      <c r="AJ149" s="22"/>
      <c r="AK149" s="22"/>
      <c r="AL149" s="22"/>
      <c r="AM149" s="22"/>
    </row>
    <row r="150">
      <c r="A150" s="13" t="s">
        <v>20</v>
      </c>
      <c r="B150" s="26">
        <v>45646.0</v>
      </c>
      <c r="C150" s="13" t="s">
        <v>21</v>
      </c>
      <c r="D150" s="13">
        <v>8.1</v>
      </c>
      <c r="E150" s="13" t="s">
        <v>22</v>
      </c>
      <c r="F150" s="13">
        <v>4.0</v>
      </c>
      <c r="G150" s="13" t="s">
        <v>23</v>
      </c>
      <c r="H150" s="23">
        <v>12.5262</v>
      </c>
      <c r="I150" s="23">
        <v>508.8127</v>
      </c>
      <c r="J150" s="23">
        <v>4.137</v>
      </c>
      <c r="K150" s="23">
        <v>0.044</v>
      </c>
      <c r="L150" s="23">
        <v>119.49</v>
      </c>
      <c r="M150" s="23">
        <v>23.154</v>
      </c>
      <c r="N150" s="23">
        <v>90.517</v>
      </c>
      <c r="O150" s="23">
        <v>25.884</v>
      </c>
      <c r="P150" s="23">
        <v>49.482</v>
      </c>
      <c r="Q150" s="23">
        <v>27.125</v>
      </c>
      <c r="R150" s="23">
        <v>119.314</v>
      </c>
      <c r="S150" s="23">
        <v>23.7</v>
      </c>
      <c r="T150" s="23">
        <v>90.502</v>
      </c>
      <c r="U150" s="23">
        <v>26.316</v>
      </c>
      <c r="V150" s="23">
        <v>49.739</v>
      </c>
      <c r="W150" s="23">
        <v>27.688</v>
      </c>
      <c r="X150" s="23">
        <v>119.124</v>
      </c>
      <c r="Y150" s="23">
        <v>23.392</v>
      </c>
      <c r="Z150" s="23">
        <v>90.146</v>
      </c>
      <c r="AA150" s="23">
        <v>25.953</v>
      </c>
      <c r="AB150" s="23">
        <v>49.121</v>
      </c>
      <c r="AC150" s="23">
        <v>26.912</v>
      </c>
      <c r="AD150" s="22">
        <f t="shared" si="132"/>
        <v>119.3093333</v>
      </c>
      <c r="AE150" s="22">
        <f t="shared" ref="AE150:AI150" si="151">AVERAGE(M150,S150,Y150)</f>
        <v>23.41533333</v>
      </c>
      <c r="AF150" s="22">
        <f t="shared" si="151"/>
        <v>90.38833333</v>
      </c>
      <c r="AG150" s="22">
        <f t="shared" si="151"/>
        <v>26.051</v>
      </c>
      <c r="AH150" s="22">
        <f t="shared" si="151"/>
        <v>49.44733333</v>
      </c>
      <c r="AI150" s="22">
        <f t="shared" si="151"/>
        <v>27.24166667</v>
      </c>
      <c r="AJ150" s="22"/>
      <c r="AK150" s="22"/>
      <c r="AL150" s="22"/>
      <c r="AM150" s="22"/>
    </row>
    <row r="151">
      <c r="A151" s="13" t="s">
        <v>20</v>
      </c>
      <c r="B151" s="26">
        <v>45646.0</v>
      </c>
      <c r="C151" s="13" t="s">
        <v>21</v>
      </c>
      <c r="D151" s="13">
        <v>8.2</v>
      </c>
      <c r="E151" s="13" t="s">
        <v>22</v>
      </c>
      <c r="F151" s="13">
        <v>4.0</v>
      </c>
      <c r="G151" s="13" t="s">
        <v>23</v>
      </c>
      <c r="H151" s="23">
        <v>11.5376</v>
      </c>
      <c r="I151" s="23">
        <v>546.1068</v>
      </c>
      <c r="J151" s="23">
        <v>3.194</v>
      </c>
      <c r="K151" s="23">
        <v>0.035</v>
      </c>
      <c r="L151" s="23">
        <v>114.866</v>
      </c>
      <c r="M151" s="23">
        <v>30.66</v>
      </c>
      <c r="N151" s="23">
        <v>86.671</v>
      </c>
      <c r="O151" s="23">
        <v>29.492</v>
      </c>
      <c r="P151" s="23">
        <v>45.846</v>
      </c>
      <c r="Q151" s="23">
        <v>26.711</v>
      </c>
      <c r="R151" s="23">
        <v>115.188</v>
      </c>
      <c r="S151" s="23">
        <v>29.495</v>
      </c>
      <c r="T151" s="23">
        <v>86.487</v>
      </c>
      <c r="U151" s="23">
        <v>28.238</v>
      </c>
      <c r="V151" s="23">
        <v>45.09</v>
      </c>
      <c r="W151" s="23">
        <v>24.976</v>
      </c>
      <c r="X151" s="23">
        <v>114.625</v>
      </c>
      <c r="Y151" s="23">
        <v>20.177</v>
      </c>
      <c r="Z151" s="23">
        <v>86.59</v>
      </c>
      <c r="AA151" s="23">
        <v>29.115</v>
      </c>
      <c r="AB151" s="23">
        <v>45.919</v>
      </c>
      <c r="AC151" s="23">
        <v>26.817</v>
      </c>
      <c r="AD151" s="22">
        <f t="shared" si="132"/>
        <v>114.893</v>
      </c>
      <c r="AE151" s="22">
        <f t="shared" ref="AE151:AI151" si="152">AVERAGE(M151,S151,Y151)</f>
        <v>26.77733333</v>
      </c>
      <c r="AF151" s="22">
        <f t="shared" si="152"/>
        <v>86.58266667</v>
      </c>
      <c r="AG151" s="22">
        <f t="shared" si="152"/>
        <v>28.94833333</v>
      </c>
      <c r="AH151" s="22">
        <f t="shared" si="152"/>
        <v>45.61833333</v>
      </c>
      <c r="AI151" s="22">
        <f t="shared" si="152"/>
        <v>26.168</v>
      </c>
      <c r="AJ151" s="22"/>
      <c r="AK151" s="22"/>
      <c r="AL151" s="22"/>
      <c r="AM151" s="22"/>
    </row>
    <row r="152">
      <c r="A152" s="13" t="s">
        <v>20</v>
      </c>
      <c r="B152" s="26">
        <v>45646.0</v>
      </c>
      <c r="C152" s="13" t="s">
        <v>21</v>
      </c>
      <c r="D152" s="13">
        <v>8.3</v>
      </c>
      <c r="E152" s="13" t="s">
        <v>22</v>
      </c>
      <c r="F152" s="13">
        <v>4.0</v>
      </c>
      <c r="G152" s="13" t="s">
        <v>23</v>
      </c>
      <c r="H152" s="23">
        <v>11.7271</v>
      </c>
      <c r="I152" s="23">
        <v>604.819</v>
      </c>
      <c r="J152" s="23">
        <v>3.787</v>
      </c>
      <c r="K152" s="23">
        <v>0.011</v>
      </c>
      <c r="L152" s="23">
        <v>115.165</v>
      </c>
      <c r="M152" s="23">
        <v>26.001</v>
      </c>
      <c r="N152" s="23">
        <v>88.945</v>
      </c>
      <c r="O152" s="23">
        <v>26.836</v>
      </c>
      <c r="P152" s="23">
        <v>51.823</v>
      </c>
      <c r="Q152" s="23">
        <v>26.336</v>
      </c>
      <c r="R152" s="23">
        <v>114.906</v>
      </c>
      <c r="S152" s="23">
        <v>25.922</v>
      </c>
      <c r="T152" s="23">
        <v>88.565</v>
      </c>
      <c r="U152" s="23">
        <v>26.434</v>
      </c>
      <c r="V152" s="23">
        <v>51.271</v>
      </c>
      <c r="W152" s="23">
        <v>25.221</v>
      </c>
      <c r="X152" s="23">
        <v>115.596</v>
      </c>
      <c r="Y152" s="23">
        <v>25.263</v>
      </c>
      <c r="Z152" s="23">
        <v>89.134</v>
      </c>
      <c r="AA152" s="23">
        <v>26.043</v>
      </c>
      <c r="AB152" s="23">
        <v>51.616</v>
      </c>
      <c r="AC152" s="23">
        <v>25.161</v>
      </c>
      <c r="AD152" s="22">
        <f t="shared" si="132"/>
        <v>115.2223333</v>
      </c>
      <c r="AE152" s="22">
        <f t="shared" ref="AE152:AI152" si="153">AVERAGE(M152,S152,Y152)</f>
        <v>25.72866667</v>
      </c>
      <c r="AF152" s="22">
        <f t="shared" si="153"/>
        <v>88.88133333</v>
      </c>
      <c r="AG152" s="22">
        <f t="shared" si="153"/>
        <v>26.43766667</v>
      </c>
      <c r="AH152" s="22">
        <f t="shared" si="153"/>
        <v>51.57</v>
      </c>
      <c r="AI152" s="22">
        <f t="shared" si="153"/>
        <v>25.57266667</v>
      </c>
      <c r="AJ152" s="22"/>
      <c r="AK152" s="22"/>
      <c r="AL152" s="22"/>
      <c r="AM152" s="22"/>
    </row>
    <row r="153">
      <c r="A153" s="13" t="s">
        <v>20</v>
      </c>
      <c r="B153" s="26">
        <v>45646.0</v>
      </c>
      <c r="C153" s="13" t="s">
        <v>21</v>
      </c>
      <c r="D153" s="13">
        <v>8.4</v>
      </c>
      <c r="E153" s="13" t="s">
        <v>22</v>
      </c>
      <c r="F153" s="13">
        <v>4.0</v>
      </c>
      <c r="G153" s="13" t="s">
        <v>23</v>
      </c>
      <c r="H153" s="23">
        <v>10.2713</v>
      </c>
      <c r="I153" s="23">
        <v>568.8013</v>
      </c>
      <c r="J153" s="23">
        <v>2.708</v>
      </c>
      <c r="K153" s="23">
        <v>0.01</v>
      </c>
      <c r="L153" s="23">
        <v>138.465</v>
      </c>
      <c r="M153" s="23">
        <v>29.258</v>
      </c>
      <c r="N153" s="23">
        <v>114.84</v>
      </c>
      <c r="O153" s="23">
        <v>32.507</v>
      </c>
      <c r="P153" s="23">
        <v>70.415</v>
      </c>
      <c r="Q153" s="23">
        <v>38.92</v>
      </c>
      <c r="R153" s="23">
        <v>138.264</v>
      </c>
      <c r="S153" s="23">
        <v>29.784</v>
      </c>
      <c r="T153" s="23">
        <v>114.461</v>
      </c>
      <c r="U153" s="23">
        <v>32.923</v>
      </c>
      <c r="V153" s="23">
        <v>70.14</v>
      </c>
      <c r="W153" s="23">
        <v>39.146</v>
      </c>
      <c r="X153" s="23">
        <v>138.86</v>
      </c>
      <c r="Y153" s="23">
        <v>28.971</v>
      </c>
      <c r="Z153" s="23">
        <v>115.08</v>
      </c>
      <c r="AA153" s="23">
        <v>32.392</v>
      </c>
      <c r="AB153" s="23">
        <v>70.659</v>
      </c>
      <c r="AC153" s="23">
        <v>38.973</v>
      </c>
      <c r="AD153" s="22">
        <f t="shared" si="132"/>
        <v>138.5296667</v>
      </c>
      <c r="AE153" s="22">
        <f t="shared" ref="AE153:AI153" si="154">AVERAGE(M153,S153,Y153)</f>
        <v>29.33766667</v>
      </c>
      <c r="AF153" s="22">
        <f t="shared" si="154"/>
        <v>114.7936667</v>
      </c>
      <c r="AG153" s="22">
        <f t="shared" si="154"/>
        <v>32.60733333</v>
      </c>
      <c r="AH153" s="22">
        <f t="shared" si="154"/>
        <v>70.40466667</v>
      </c>
      <c r="AI153" s="22">
        <f t="shared" si="154"/>
        <v>39.013</v>
      </c>
      <c r="AJ153" s="22"/>
      <c r="AK153" s="22"/>
      <c r="AL153" s="22"/>
      <c r="AM153" s="22"/>
    </row>
    <row r="154">
      <c r="A154" s="13" t="s">
        <v>20</v>
      </c>
      <c r="B154" s="26">
        <v>45646.0</v>
      </c>
      <c r="C154" s="13" t="s">
        <v>21</v>
      </c>
      <c r="D154" s="13">
        <v>9.1</v>
      </c>
      <c r="E154" s="13" t="s">
        <v>22</v>
      </c>
      <c r="F154" s="13">
        <v>4.0</v>
      </c>
      <c r="G154" s="13" t="s">
        <v>23</v>
      </c>
      <c r="H154" s="23">
        <v>11.132</v>
      </c>
      <c r="I154" s="23">
        <v>493.2131</v>
      </c>
      <c r="J154" s="23">
        <v>3.088</v>
      </c>
      <c r="K154" s="23">
        <v>0.044</v>
      </c>
      <c r="L154" s="23">
        <v>139.411</v>
      </c>
      <c r="M154" s="23">
        <v>33.925</v>
      </c>
      <c r="N154" s="23">
        <v>103.083</v>
      </c>
      <c r="O154" s="23">
        <v>29.125</v>
      </c>
      <c r="P154" s="23">
        <v>54.086</v>
      </c>
      <c r="Q154" s="23">
        <v>23.671</v>
      </c>
      <c r="R154" s="23">
        <v>140.654</v>
      </c>
      <c r="S154" s="23">
        <v>32.01</v>
      </c>
      <c r="T154" s="23">
        <v>103.822</v>
      </c>
      <c r="U154" s="23">
        <v>27.62</v>
      </c>
      <c r="V154" s="23">
        <v>53.807</v>
      </c>
      <c r="W154" s="23">
        <v>22.1</v>
      </c>
      <c r="X154" s="23">
        <v>140.061</v>
      </c>
      <c r="Y154" s="23">
        <v>32.759</v>
      </c>
      <c r="Z154" s="23">
        <v>103.427</v>
      </c>
      <c r="AA154" s="23">
        <v>28.209</v>
      </c>
      <c r="AB154" s="23">
        <v>53.936</v>
      </c>
      <c r="AC154" s="23">
        <v>22.556</v>
      </c>
      <c r="AD154" s="22">
        <f t="shared" si="132"/>
        <v>140.042</v>
      </c>
      <c r="AE154" s="22">
        <f t="shared" ref="AE154:AI154" si="155">AVERAGE(M154,S154,Y154)</f>
        <v>32.898</v>
      </c>
      <c r="AF154" s="22">
        <f t="shared" si="155"/>
        <v>103.444</v>
      </c>
      <c r="AG154" s="22">
        <f t="shared" si="155"/>
        <v>28.318</v>
      </c>
      <c r="AH154" s="22">
        <f t="shared" si="155"/>
        <v>53.943</v>
      </c>
      <c r="AI154" s="22">
        <f t="shared" si="155"/>
        <v>22.77566667</v>
      </c>
      <c r="AJ154" s="22"/>
      <c r="AK154" s="22"/>
      <c r="AL154" s="22"/>
      <c r="AM154" s="22"/>
    </row>
    <row r="155">
      <c r="A155" s="13" t="s">
        <v>20</v>
      </c>
      <c r="B155" s="26">
        <v>45646.0</v>
      </c>
      <c r="C155" s="13" t="s">
        <v>21</v>
      </c>
      <c r="D155" s="13">
        <v>9.2</v>
      </c>
      <c r="E155" s="13" t="s">
        <v>22</v>
      </c>
      <c r="F155" s="13">
        <v>4.0</v>
      </c>
      <c r="G155" s="13" t="s">
        <v>23</v>
      </c>
      <c r="H155" s="23">
        <v>9.6877</v>
      </c>
      <c r="I155" s="23">
        <v>541.2652</v>
      </c>
      <c r="J155" s="23">
        <v>2.328</v>
      </c>
      <c r="K155" s="23">
        <v>0.009</v>
      </c>
      <c r="L155" s="23">
        <v>124.9</v>
      </c>
      <c r="M155" s="23">
        <v>26.268</v>
      </c>
      <c r="N155" s="23">
        <v>88.898</v>
      </c>
      <c r="O155" s="23">
        <v>22.036</v>
      </c>
      <c r="P155" s="23">
        <v>43.839</v>
      </c>
      <c r="Q155" s="23">
        <v>20.564</v>
      </c>
      <c r="R155" s="23">
        <v>125.295</v>
      </c>
      <c r="S155" s="23">
        <v>25.869</v>
      </c>
      <c r="T155" s="23">
        <v>88.897</v>
      </c>
      <c r="U155" s="23">
        <v>21.696</v>
      </c>
      <c r="V155" s="23">
        <v>43.704</v>
      </c>
      <c r="W155" s="23">
        <v>20.066</v>
      </c>
      <c r="X155" s="23">
        <v>125.371</v>
      </c>
      <c r="Y155" s="23">
        <v>26.301</v>
      </c>
      <c r="Z155" s="23">
        <v>88.847</v>
      </c>
      <c r="AA155" s="23">
        <v>22.113</v>
      </c>
      <c r="AB155" s="23">
        <v>43.8</v>
      </c>
      <c r="AC155" s="23">
        <v>20.558</v>
      </c>
      <c r="AD155" s="22">
        <f t="shared" si="132"/>
        <v>125.1886667</v>
      </c>
      <c r="AE155" s="22">
        <f t="shared" ref="AE155:AI155" si="156">AVERAGE(M155,S155,Y155)</f>
        <v>26.146</v>
      </c>
      <c r="AF155" s="22">
        <f t="shared" si="156"/>
        <v>88.88066667</v>
      </c>
      <c r="AG155" s="22">
        <f t="shared" si="156"/>
        <v>21.94833333</v>
      </c>
      <c r="AH155" s="22">
        <f t="shared" si="156"/>
        <v>43.781</v>
      </c>
      <c r="AI155" s="22">
        <f t="shared" si="156"/>
        <v>20.396</v>
      </c>
      <c r="AJ155" s="22"/>
      <c r="AK155" s="22"/>
      <c r="AL155" s="22"/>
      <c r="AM155" s="22"/>
    </row>
    <row r="156">
      <c r="A156" s="13" t="s">
        <v>20</v>
      </c>
      <c r="B156" s="26">
        <v>45646.0</v>
      </c>
      <c r="C156" s="13" t="s">
        <v>21</v>
      </c>
      <c r="D156" s="13">
        <v>9.3</v>
      </c>
      <c r="E156" s="13" t="s">
        <v>22</v>
      </c>
      <c r="F156" s="13">
        <v>4.0</v>
      </c>
      <c r="G156" s="13" t="s">
        <v>23</v>
      </c>
      <c r="H156" s="23">
        <v>11.5845</v>
      </c>
      <c r="I156" s="23">
        <v>542.3013</v>
      </c>
      <c r="J156" s="23">
        <v>2.936</v>
      </c>
      <c r="K156" s="23">
        <v>0.052</v>
      </c>
      <c r="L156" s="23">
        <v>126.862</v>
      </c>
      <c r="M156" s="23">
        <v>28.325</v>
      </c>
      <c r="N156" s="23">
        <v>91.907</v>
      </c>
      <c r="O156" s="23">
        <v>24.668</v>
      </c>
      <c r="P156" s="23">
        <v>48.432</v>
      </c>
      <c r="Q156" s="23">
        <v>21.538</v>
      </c>
      <c r="R156" s="23">
        <v>126.514</v>
      </c>
      <c r="S156" s="23">
        <v>28.61</v>
      </c>
      <c r="T156" s="23">
        <v>91.702</v>
      </c>
      <c r="U156" s="23">
        <v>24.627</v>
      </c>
      <c r="V156" s="23">
        <v>48.499</v>
      </c>
      <c r="W156" s="23">
        <v>21.221</v>
      </c>
      <c r="X156" s="23">
        <v>126.859</v>
      </c>
      <c r="Y156" s="23">
        <v>28.453</v>
      </c>
      <c r="Z156" s="23">
        <v>92.332</v>
      </c>
      <c r="AA156" s="23">
        <v>25.112</v>
      </c>
      <c r="AB156" s="23">
        <v>49.496</v>
      </c>
      <c r="AC156" s="23">
        <v>23.245</v>
      </c>
      <c r="AD156" s="22">
        <f t="shared" si="132"/>
        <v>126.745</v>
      </c>
      <c r="AE156" s="22">
        <f t="shared" ref="AE156:AI156" si="157">AVERAGE(M156,S156,Y156)</f>
        <v>28.46266667</v>
      </c>
      <c r="AF156" s="22">
        <f t="shared" si="157"/>
        <v>91.98033333</v>
      </c>
      <c r="AG156" s="22">
        <f t="shared" si="157"/>
        <v>24.80233333</v>
      </c>
      <c r="AH156" s="22">
        <f t="shared" si="157"/>
        <v>48.809</v>
      </c>
      <c r="AI156" s="22">
        <f t="shared" si="157"/>
        <v>22.00133333</v>
      </c>
      <c r="AJ156" s="22"/>
      <c r="AK156" s="22"/>
      <c r="AL156" s="22"/>
      <c r="AM156" s="22"/>
    </row>
    <row r="157">
      <c r="A157" s="13" t="s">
        <v>20</v>
      </c>
      <c r="B157" s="26">
        <v>45646.0</v>
      </c>
      <c r="C157" s="13" t="s">
        <v>21</v>
      </c>
      <c r="D157" s="13">
        <v>9.4</v>
      </c>
      <c r="E157" s="13" t="s">
        <v>22</v>
      </c>
      <c r="F157" s="13">
        <v>4.0</v>
      </c>
      <c r="G157" s="13" t="s">
        <v>23</v>
      </c>
      <c r="H157" s="23">
        <v>10.8392</v>
      </c>
      <c r="I157" s="23">
        <v>607.2</v>
      </c>
      <c r="J157" s="23">
        <v>2.955</v>
      </c>
      <c r="K157" s="23">
        <v>0.036</v>
      </c>
      <c r="L157" s="23">
        <v>153.998</v>
      </c>
      <c r="M157" s="23">
        <v>28.029</v>
      </c>
      <c r="N157" s="23">
        <v>122.84</v>
      </c>
      <c r="O157" s="23">
        <v>25.747</v>
      </c>
      <c r="P157" s="23">
        <v>77.051</v>
      </c>
      <c r="Q157" s="23">
        <v>22.641</v>
      </c>
      <c r="R157" s="23">
        <v>154.121</v>
      </c>
      <c r="S157" s="23">
        <v>27.882</v>
      </c>
      <c r="T157" s="23">
        <v>122.859</v>
      </c>
      <c r="U157" s="23">
        <v>25.724</v>
      </c>
      <c r="V157" s="23">
        <v>77.037</v>
      </c>
      <c r="W157" s="23">
        <v>22.732</v>
      </c>
      <c r="X157" s="23">
        <v>153.894</v>
      </c>
      <c r="Y157" s="23">
        <v>28.044</v>
      </c>
      <c r="Z157" s="23">
        <v>122.721</v>
      </c>
      <c r="AA157" s="23">
        <v>25.792</v>
      </c>
      <c r="AB157" s="23">
        <v>77.06</v>
      </c>
      <c r="AC157" s="23">
        <v>22.691</v>
      </c>
      <c r="AD157" s="22">
        <f t="shared" si="132"/>
        <v>154.0043333</v>
      </c>
      <c r="AE157" s="22">
        <f t="shared" ref="AE157:AI157" si="158">AVERAGE(M157,S157,Y157)</f>
        <v>27.985</v>
      </c>
      <c r="AF157" s="22">
        <f t="shared" si="158"/>
        <v>122.8066667</v>
      </c>
      <c r="AG157" s="22">
        <f t="shared" si="158"/>
        <v>25.75433333</v>
      </c>
      <c r="AH157" s="22">
        <f t="shared" si="158"/>
        <v>77.04933333</v>
      </c>
      <c r="AI157" s="22">
        <f t="shared" si="158"/>
        <v>22.688</v>
      </c>
      <c r="AJ157" s="22"/>
      <c r="AK157" s="22"/>
      <c r="AL157" s="22"/>
      <c r="AM157" s="22"/>
    </row>
    <row r="158">
      <c r="A158" s="13" t="s">
        <v>20</v>
      </c>
      <c r="B158" s="26">
        <v>45646.0</v>
      </c>
      <c r="C158" s="13" t="s">
        <v>24</v>
      </c>
      <c r="D158" s="13">
        <v>7.1</v>
      </c>
      <c r="E158" s="13" t="s">
        <v>22</v>
      </c>
      <c r="F158" s="13">
        <v>4.0</v>
      </c>
      <c r="G158" s="13" t="s">
        <v>23</v>
      </c>
      <c r="H158" s="23">
        <v>11.1814</v>
      </c>
      <c r="I158" s="23">
        <v>548.4643</v>
      </c>
      <c r="J158" s="23">
        <v>5.119</v>
      </c>
      <c r="K158" s="23">
        <v>0.024</v>
      </c>
      <c r="L158" s="23">
        <v>120.656</v>
      </c>
      <c r="M158" s="23">
        <v>23.731</v>
      </c>
      <c r="N158" s="23">
        <v>76.708</v>
      </c>
      <c r="O158" s="23">
        <v>21.11</v>
      </c>
      <c r="P158" s="23">
        <v>35.8</v>
      </c>
      <c r="Q158" s="23">
        <v>18.996</v>
      </c>
      <c r="R158" s="23">
        <v>120.339</v>
      </c>
      <c r="S158" s="23">
        <v>24.841</v>
      </c>
      <c r="T158" s="23">
        <v>77.222</v>
      </c>
      <c r="U158" s="23">
        <v>22.712</v>
      </c>
      <c r="V158" s="23">
        <v>36.789</v>
      </c>
      <c r="W158" s="23">
        <v>21.526</v>
      </c>
      <c r="X158" s="23">
        <v>120.735</v>
      </c>
      <c r="Y158" s="23">
        <v>23.843</v>
      </c>
      <c r="Z158" s="23">
        <v>76.981</v>
      </c>
      <c r="AA158" s="23">
        <v>21.563</v>
      </c>
      <c r="AB158" s="23">
        <v>36.137</v>
      </c>
      <c r="AC158" s="23">
        <v>19.736</v>
      </c>
      <c r="AD158" s="22">
        <f t="shared" si="132"/>
        <v>120.5766667</v>
      </c>
      <c r="AE158" s="22">
        <f t="shared" ref="AE158:AI158" si="159">AVERAGE(M158,S158,Y158)</f>
        <v>24.13833333</v>
      </c>
      <c r="AF158" s="22">
        <f t="shared" si="159"/>
        <v>76.97033333</v>
      </c>
      <c r="AG158" s="22">
        <f t="shared" si="159"/>
        <v>21.795</v>
      </c>
      <c r="AH158" s="22">
        <f t="shared" si="159"/>
        <v>36.242</v>
      </c>
      <c r="AI158" s="22">
        <f t="shared" si="159"/>
        <v>20.086</v>
      </c>
      <c r="AJ158" s="22"/>
      <c r="AK158" s="22"/>
      <c r="AL158" s="22"/>
      <c r="AM158" s="22"/>
    </row>
    <row r="159">
      <c r="A159" s="13" t="s">
        <v>20</v>
      </c>
      <c r="B159" s="26">
        <v>45646.0</v>
      </c>
      <c r="C159" s="13" t="s">
        <v>24</v>
      </c>
      <c r="D159" s="13">
        <v>7.2</v>
      </c>
      <c r="E159" s="13" t="s">
        <v>22</v>
      </c>
      <c r="F159" s="13">
        <v>4.0</v>
      </c>
      <c r="G159" s="13" t="s">
        <v>23</v>
      </c>
      <c r="H159" s="23">
        <v>11.5039</v>
      </c>
      <c r="I159" s="23">
        <v>505.2128</v>
      </c>
      <c r="J159" s="23">
        <v>5.372</v>
      </c>
      <c r="K159" s="23">
        <v>0.058</v>
      </c>
      <c r="L159" s="23">
        <v>115.843</v>
      </c>
      <c r="M159" s="23">
        <v>24.204</v>
      </c>
      <c r="N159" s="23">
        <v>69.223</v>
      </c>
      <c r="O159" s="23">
        <v>19.361</v>
      </c>
      <c r="P159" s="23">
        <v>27.661</v>
      </c>
      <c r="Q159" s="23">
        <v>15.437</v>
      </c>
      <c r="R159" s="23">
        <v>115.907</v>
      </c>
      <c r="S159" s="23">
        <v>24.27</v>
      </c>
      <c r="T159" s="23">
        <v>69.041</v>
      </c>
      <c r="U159" s="23">
        <v>19.13</v>
      </c>
      <c r="V159" s="23">
        <v>27.381</v>
      </c>
      <c r="W159" s="23">
        <v>14.758</v>
      </c>
      <c r="X159" s="23">
        <v>116.191</v>
      </c>
      <c r="Y159" s="23">
        <v>24.236</v>
      </c>
      <c r="Z159" s="23">
        <v>69.405</v>
      </c>
      <c r="AA159" s="23">
        <v>19.642</v>
      </c>
      <c r="AB159" s="23">
        <v>27.766</v>
      </c>
      <c r="AC159" s="23">
        <v>16.105</v>
      </c>
      <c r="AD159" s="22">
        <f t="shared" si="132"/>
        <v>115.9803333</v>
      </c>
      <c r="AE159" s="22">
        <f t="shared" ref="AE159:AI159" si="160">AVERAGE(M159,S159,Y159)</f>
        <v>24.23666667</v>
      </c>
      <c r="AF159" s="22">
        <f t="shared" si="160"/>
        <v>69.223</v>
      </c>
      <c r="AG159" s="22">
        <f t="shared" si="160"/>
        <v>19.37766667</v>
      </c>
      <c r="AH159" s="22">
        <f t="shared" si="160"/>
        <v>27.60266667</v>
      </c>
      <c r="AI159" s="22">
        <f t="shared" si="160"/>
        <v>15.43333333</v>
      </c>
      <c r="AJ159" s="22"/>
      <c r="AK159" s="22"/>
      <c r="AL159" s="22"/>
      <c r="AM159" s="22"/>
    </row>
    <row r="160">
      <c r="A160" s="13" t="s">
        <v>20</v>
      </c>
      <c r="B160" s="26">
        <v>45646.0</v>
      </c>
      <c r="C160" s="13" t="s">
        <v>24</v>
      </c>
      <c r="D160" s="13">
        <v>7.3</v>
      </c>
      <c r="E160" s="13" t="s">
        <v>22</v>
      </c>
      <c r="F160" s="13">
        <v>4.0</v>
      </c>
      <c r="G160" s="13" t="s">
        <v>23</v>
      </c>
      <c r="H160" s="23">
        <v>12.8811</v>
      </c>
      <c r="I160" s="23">
        <v>518.4056</v>
      </c>
      <c r="J160" s="23">
        <v>6.008</v>
      </c>
      <c r="K160" s="23">
        <v>0.034</v>
      </c>
      <c r="L160" s="23">
        <v>125.764</v>
      </c>
      <c r="M160" s="23">
        <v>23.03</v>
      </c>
      <c r="N160" s="23">
        <v>79.176</v>
      </c>
      <c r="O160" s="23">
        <v>18.841</v>
      </c>
      <c r="P160" s="23">
        <v>35.19</v>
      </c>
      <c r="Q160" s="23">
        <v>16.789</v>
      </c>
      <c r="R160" s="23">
        <v>125.76</v>
      </c>
      <c r="S160" s="23">
        <v>23.382</v>
      </c>
      <c r="T160" s="23">
        <v>79.455</v>
      </c>
      <c r="U160" s="23">
        <v>19.614</v>
      </c>
      <c r="V160" s="23">
        <v>355.685</v>
      </c>
      <c r="W160" s="23">
        <v>18.401</v>
      </c>
      <c r="X160" s="23">
        <v>125.93</v>
      </c>
      <c r="Y160" s="23">
        <v>23.138</v>
      </c>
      <c r="Z160" s="23">
        <v>79.597</v>
      </c>
      <c r="AA160" s="23">
        <v>19.665</v>
      </c>
      <c r="AB160" s="23">
        <v>35.84</v>
      </c>
      <c r="AC160" s="23">
        <v>18.852</v>
      </c>
      <c r="AD160" s="22">
        <f t="shared" si="132"/>
        <v>125.818</v>
      </c>
      <c r="AE160" s="22">
        <f t="shared" ref="AE160:AI160" si="161">AVERAGE(M160,S160,Y160)</f>
        <v>23.18333333</v>
      </c>
      <c r="AF160" s="22">
        <f t="shared" si="161"/>
        <v>79.40933333</v>
      </c>
      <c r="AG160" s="22">
        <f t="shared" si="161"/>
        <v>19.37333333</v>
      </c>
      <c r="AH160" s="22">
        <f t="shared" si="161"/>
        <v>142.2383333</v>
      </c>
      <c r="AI160" s="22">
        <f t="shared" si="161"/>
        <v>18.014</v>
      </c>
      <c r="AJ160" s="22"/>
      <c r="AK160" s="22"/>
      <c r="AL160" s="22"/>
      <c r="AM160" s="22"/>
    </row>
    <row r="161">
      <c r="A161" s="13" t="s">
        <v>20</v>
      </c>
      <c r="B161" s="26">
        <v>45646.0</v>
      </c>
      <c r="C161" s="13" t="s">
        <v>24</v>
      </c>
      <c r="D161" s="13">
        <v>7.4</v>
      </c>
      <c r="E161" s="13" t="s">
        <v>22</v>
      </c>
      <c r="F161" s="13">
        <v>4.0</v>
      </c>
      <c r="G161" s="13" t="s">
        <v>23</v>
      </c>
      <c r="H161" s="23">
        <v>11.1805</v>
      </c>
      <c r="I161" s="23">
        <v>576.0112</v>
      </c>
      <c r="J161" s="23">
        <v>3.932</v>
      </c>
      <c r="K161" s="23">
        <v>0.014</v>
      </c>
      <c r="L161" s="23">
        <v>126.149</v>
      </c>
      <c r="M161" s="23">
        <v>33.023</v>
      </c>
      <c r="N161" s="23">
        <v>89.217</v>
      </c>
      <c r="O161" s="23">
        <v>28.061</v>
      </c>
      <c r="P161" s="23">
        <v>32.821</v>
      </c>
      <c r="Q161" s="23">
        <v>20.854</v>
      </c>
      <c r="R161" s="23">
        <v>126.223</v>
      </c>
      <c r="S161" s="23">
        <v>32.929</v>
      </c>
      <c r="T161" s="23">
        <v>89.312</v>
      </c>
      <c r="U161" s="23">
        <v>28.02</v>
      </c>
      <c r="V161" s="23">
        <v>32.887</v>
      </c>
      <c r="W161" s="23">
        <v>20.95</v>
      </c>
      <c r="X161" s="23">
        <v>125.969</v>
      </c>
      <c r="Y161" s="23">
        <v>33.319</v>
      </c>
      <c r="Z161" s="23">
        <v>89.019</v>
      </c>
      <c r="AA161" s="23">
        <v>28.185</v>
      </c>
      <c r="AB161" s="23">
        <v>32.696</v>
      </c>
      <c r="AC161" s="23">
        <v>20.804</v>
      </c>
      <c r="AD161" s="22">
        <f t="shared" si="132"/>
        <v>126.1136667</v>
      </c>
      <c r="AE161" s="22">
        <f t="shared" ref="AE161:AI161" si="162">AVERAGE(M161,S161,Y161)</f>
        <v>33.09033333</v>
      </c>
      <c r="AF161" s="22">
        <f t="shared" si="162"/>
        <v>89.18266667</v>
      </c>
      <c r="AG161" s="22">
        <f t="shared" si="162"/>
        <v>28.08866667</v>
      </c>
      <c r="AH161" s="22">
        <f t="shared" si="162"/>
        <v>32.80133333</v>
      </c>
      <c r="AI161" s="22">
        <f t="shared" si="162"/>
        <v>20.86933333</v>
      </c>
      <c r="AJ161" s="22"/>
      <c r="AK161" s="22"/>
      <c r="AL161" s="22"/>
      <c r="AM161" s="22"/>
    </row>
    <row r="162">
      <c r="A162" s="13" t="s">
        <v>20</v>
      </c>
      <c r="B162" s="26">
        <v>45646.0</v>
      </c>
      <c r="C162" s="13" t="s">
        <v>24</v>
      </c>
      <c r="D162" s="13">
        <v>8.1</v>
      </c>
      <c r="E162" s="13" t="s">
        <v>22</v>
      </c>
      <c r="F162" s="13">
        <v>4.0</v>
      </c>
      <c r="G162" s="13" t="s">
        <v>23</v>
      </c>
      <c r="H162" s="23">
        <v>10.2042</v>
      </c>
      <c r="I162" s="23">
        <v>493.2526</v>
      </c>
      <c r="J162" s="23">
        <v>3.792</v>
      </c>
      <c r="K162" s="23">
        <v>0.029</v>
      </c>
      <c r="L162" s="23">
        <v>122.248</v>
      </c>
      <c r="M162" s="23">
        <v>21.909</v>
      </c>
      <c r="N162" s="23">
        <v>80.663</v>
      </c>
      <c r="O162" s="23">
        <v>24.282</v>
      </c>
      <c r="P162" s="23">
        <v>39.611</v>
      </c>
      <c r="Q162" s="23">
        <v>27.993</v>
      </c>
      <c r="R162" s="23">
        <v>122.525</v>
      </c>
      <c r="S162" s="23">
        <v>21.203</v>
      </c>
      <c r="T162" s="23">
        <v>80.493</v>
      </c>
      <c r="U162" s="23">
        <v>23.829</v>
      </c>
      <c r="V162" s="23">
        <v>39.153</v>
      </c>
      <c r="W162" s="23">
        <v>27.041</v>
      </c>
      <c r="X162" s="23">
        <v>122.436</v>
      </c>
      <c r="Y162" s="23">
        <v>21.119</v>
      </c>
      <c r="Z162" s="23">
        <v>80.396</v>
      </c>
      <c r="AA162" s="23">
        <v>23.54</v>
      </c>
      <c r="AB162" s="23">
        <v>38.988</v>
      </c>
      <c r="AC162" s="23">
        <v>26.531</v>
      </c>
      <c r="AD162" s="22">
        <f t="shared" si="132"/>
        <v>122.403</v>
      </c>
      <c r="AE162" s="22">
        <f t="shared" ref="AE162:AI162" si="163">AVERAGE(M162,S162,Y162)</f>
        <v>21.41033333</v>
      </c>
      <c r="AF162" s="22">
        <f t="shared" si="163"/>
        <v>80.51733333</v>
      </c>
      <c r="AG162" s="22">
        <f t="shared" si="163"/>
        <v>23.88366667</v>
      </c>
      <c r="AH162" s="22">
        <f t="shared" si="163"/>
        <v>39.25066667</v>
      </c>
      <c r="AI162" s="22">
        <f t="shared" si="163"/>
        <v>27.18833333</v>
      </c>
      <c r="AJ162" s="22"/>
      <c r="AK162" s="22"/>
      <c r="AL162" s="22"/>
      <c r="AM162" s="22"/>
    </row>
    <row r="163">
      <c r="A163" s="13" t="s">
        <v>20</v>
      </c>
      <c r="B163" s="26">
        <v>45646.0</v>
      </c>
      <c r="C163" s="13" t="s">
        <v>24</v>
      </c>
      <c r="D163" s="13">
        <v>8.2</v>
      </c>
      <c r="E163" s="13" t="s">
        <v>22</v>
      </c>
      <c r="F163" s="13">
        <v>4.0</v>
      </c>
      <c r="G163" s="13" t="s">
        <v>23</v>
      </c>
      <c r="H163" s="23">
        <v>11.462</v>
      </c>
      <c r="I163" s="23">
        <v>531.6867</v>
      </c>
      <c r="J163" s="23">
        <v>4.289</v>
      </c>
      <c r="K163" s="23">
        <v>0.015</v>
      </c>
      <c r="L163" s="23">
        <v>95.296</v>
      </c>
      <c r="M163" s="23">
        <v>21.918</v>
      </c>
      <c r="N163" s="23">
        <v>55.294</v>
      </c>
      <c r="O163" s="23">
        <v>20.921</v>
      </c>
      <c r="P163" s="23">
        <v>27.756</v>
      </c>
      <c r="Q163" s="23">
        <v>19.226</v>
      </c>
      <c r="R163" s="23">
        <v>95.423</v>
      </c>
      <c r="S163" s="23">
        <v>22.327</v>
      </c>
      <c r="T163" s="23">
        <v>55.652</v>
      </c>
      <c r="U163" s="23">
        <v>21.814</v>
      </c>
      <c r="V163" s="23">
        <v>28.237</v>
      </c>
      <c r="W163" s="23">
        <v>20.635</v>
      </c>
      <c r="X163" s="23">
        <v>95.56</v>
      </c>
      <c r="Y163" s="23">
        <v>22.276</v>
      </c>
      <c r="Z163" s="23">
        <v>55.747</v>
      </c>
      <c r="AA163" s="23">
        <v>21.891</v>
      </c>
      <c r="AB163" s="23">
        <v>28.319</v>
      </c>
      <c r="AC163" s="23">
        <v>20.737</v>
      </c>
      <c r="AD163" s="22">
        <f t="shared" si="132"/>
        <v>95.42633333</v>
      </c>
      <c r="AE163" s="22">
        <f t="shared" ref="AE163:AI163" si="164">AVERAGE(M163,S163,Y163)</f>
        <v>22.17366667</v>
      </c>
      <c r="AF163" s="22">
        <f t="shared" si="164"/>
        <v>55.56433333</v>
      </c>
      <c r="AG163" s="22">
        <f t="shared" si="164"/>
        <v>21.542</v>
      </c>
      <c r="AH163" s="22">
        <f t="shared" si="164"/>
        <v>28.104</v>
      </c>
      <c r="AI163" s="22">
        <f t="shared" si="164"/>
        <v>20.19933333</v>
      </c>
      <c r="AJ163" s="22"/>
      <c r="AK163" s="22"/>
      <c r="AL163" s="22"/>
      <c r="AM163" s="22"/>
    </row>
    <row r="164">
      <c r="A164" s="13" t="s">
        <v>20</v>
      </c>
      <c r="B164" s="26">
        <v>45646.0</v>
      </c>
      <c r="C164" s="13" t="s">
        <v>24</v>
      </c>
      <c r="D164" s="13">
        <v>8.3</v>
      </c>
      <c r="E164" s="13" t="s">
        <v>22</v>
      </c>
      <c r="F164" s="13">
        <v>4.0</v>
      </c>
      <c r="G164" s="13" t="s">
        <v>23</v>
      </c>
      <c r="H164" s="23">
        <v>10.6318</v>
      </c>
      <c r="I164" s="23">
        <v>555.6324</v>
      </c>
      <c r="J164" s="23">
        <v>4.643</v>
      </c>
      <c r="K164" s="23">
        <v>0.032</v>
      </c>
      <c r="L164" s="23">
        <v>120.885</v>
      </c>
      <c r="M164" s="23">
        <v>21.121</v>
      </c>
      <c r="N164" s="23">
        <v>76.168</v>
      </c>
      <c r="O164" s="23">
        <v>20.335</v>
      </c>
      <c r="P164" s="23">
        <v>34.151</v>
      </c>
      <c r="Q164" s="23">
        <v>21.246</v>
      </c>
      <c r="R164" s="23">
        <v>121.539</v>
      </c>
      <c r="S164" s="23">
        <v>20.064</v>
      </c>
      <c r="T164" s="23">
        <v>76.448</v>
      </c>
      <c r="U164" s="23">
        <v>19.924</v>
      </c>
      <c r="V164" s="23">
        <v>34.081</v>
      </c>
      <c r="W164" s="23">
        <v>21.065</v>
      </c>
      <c r="X164" s="23">
        <v>121.281</v>
      </c>
      <c r="Y164" s="23">
        <v>20.536</v>
      </c>
      <c r="Z164" s="23">
        <v>76.436</v>
      </c>
      <c r="AA164" s="23">
        <v>20.201</v>
      </c>
      <c r="AB164" s="23">
        <v>34.287</v>
      </c>
      <c r="AC164" s="23">
        <v>21.415</v>
      </c>
      <c r="AD164" s="22">
        <f t="shared" si="132"/>
        <v>121.235</v>
      </c>
      <c r="AE164" s="22">
        <f t="shared" ref="AE164:AI164" si="165">AVERAGE(M164,S164,Y164)</f>
        <v>20.57366667</v>
      </c>
      <c r="AF164" s="22">
        <f t="shared" si="165"/>
        <v>76.35066667</v>
      </c>
      <c r="AG164" s="22">
        <f t="shared" si="165"/>
        <v>20.15333333</v>
      </c>
      <c r="AH164" s="22">
        <f t="shared" si="165"/>
        <v>34.173</v>
      </c>
      <c r="AI164" s="22">
        <f t="shared" si="165"/>
        <v>21.242</v>
      </c>
      <c r="AJ164" s="22"/>
      <c r="AK164" s="22"/>
      <c r="AL164" s="22"/>
      <c r="AM164" s="22"/>
    </row>
    <row r="165">
      <c r="A165" s="13" t="s">
        <v>20</v>
      </c>
      <c r="B165" s="26">
        <v>45646.0</v>
      </c>
      <c r="C165" s="13" t="s">
        <v>24</v>
      </c>
      <c r="D165" s="13">
        <v>8.4</v>
      </c>
      <c r="E165" s="13" t="s">
        <v>22</v>
      </c>
      <c r="F165" s="13">
        <v>4.0</v>
      </c>
      <c r="G165" s="13" t="s">
        <v>23</v>
      </c>
      <c r="H165" s="23">
        <v>11.8937</v>
      </c>
      <c r="I165" s="23">
        <v>570.0808</v>
      </c>
      <c r="J165" s="23">
        <v>4.644</v>
      </c>
      <c r="K165" s="23">
        <v>0.028</v>
      </c>
      <c r="L165" s="23">
        <v>156.354</v>
      </c>
      <c r="M165" s="23">
        <v>26.886</v>
      </c>
      <c r="N165" s="23">
        <v>115.836</v>
      </c>
      <c r="O165" s="23">
        <v>22.934</v>
      </c>
      <c r="P165" s="23">
        <v>51.686</v>
      </c>
      <c r="Q165" s="23">
        <v>16.593</v>
      </c>
      <c r="R165" s="23">
        <v>156.265</v>
      </c>
      <c r="S165" s="23">
        <v>27.385</v>
      </c>
      <c r="T165" s="23">
        <v>115.649</v>
      </c>
      <c r="U165" s="23">
        <v>23.279</v>
      </c>
      <c r="V165" s="23">
        <v>51.48</v>
      </c>
      <c r="W165" s="23">
        <v>16.648</v>
      </c>
      <c r="X165" s="23">
        <v>156.215</v>
      </c>
      <c r="Y165" s="23">
        <v>27.373</v>
      </c>
      <c r="Z165" s="23">
        <v>115.598</v>
      </c>
      <c r="AA165" s="23">
        <v>23.206</v>
      </c>
      <c r="AB165" s="23">
        <v>51.421</v>
      </c>
      <c r="AC165" s="23">
        <v>16.577</v>
      </c>
      <c r="AD165" s="22">
        <f t="shared" si="132"/>
        <v>156.278</v>
      </c>
      <c r="AE165" s="22">
        <f t="shared" ref="AE165:AI165" si="166">AVERAGE(M165,S165,Y165)</f>
        <v>27.21466667</v>
      </c>
      <c r="AF165" s="22">
        <f t="shared" si="166"/>
        <v>115.6943333</v>
      </c>
      <c r="AG165" s="22">
        <f t="shared" si="166"/>
        <v>23.13966667</v>
      </c>
      <c r="AH165" s="22">
        <f t="shared" si="166"/>
        <v>51.529</v>
      </c>
      <c r="AI165" s="22">
        <f t="shared" si="166"/>
        <v>16.606</v>
      </c>
      <c r="AJ165" s="22"/>
      <c r="AK165" s="22"/>
      <c r="AL165" s="22"/>
      <c r="AM165" s="22"/>
    </row>
    <row r="166">
      <c r="A166" s="13" t="s">
        <v>20</v>
      </c>
      <c r="B166" s="26">
        <v>45646.0</v>
      </c>
      <c r="C166" s="13" t="s">
        <v>24</v>
      </c>
      <c r="D166" s="13">
        <v>9.1</v>
      </c>
      <c r="E166" s="13" t="s">
        <v>22</v>
      </c>
      <c r="F166" s="13">
        <v>4.0</v>
      </c>
      <c r="G166" s="13" t="s">
        <v>23</v>
      </c>
      <c r="H166" s="23">
        <v>10.5609</v>
      </c>
      <c r="I166" s="23">
        <v>536.4336</v>
      </c>
      <c r="J166" s="23">
        <v>4.465</v>
      </c>
      <c r="K166" s="23">
        <v>0.047</v>
      </c>
      <c r="L166" s="23">
        <v>98.276</v>
      </c>
      <c r="M166" s="23">
        <v>25.1</v>
      </c>
      <c r="N166" s="23">
        <v>63.485</v>
      </c>
      <c r="O166" s="23">
        <v>22.957</v>
      </c>
      <c r="P166" s="23">
        <v>30.189</v>
      </c>
      <c r="Q166" s="23">
        <v>19.369</v>
      </c>
      <c r="R166" s="23">
        <v>98.725</v>
      </c>
      <c r="S166" s="23">
        <v>25.142</v>
      </c>
      <c r="T166" s="23">
        <v>63.736</v>
      </c>
      <c r="U166" s="23">
        <v>23.36</v>
      </c>
      <c r="V166" s="23">
        <v>30.329</v>
      </c>
      <c r="W166" s="23">
        <v>20.14</v>
      </c>
      <c r="X166" s="23">
        <v>98.724</v>
      </c>
      <c r="Y166" s="23">
        <v>25.46</v>
      </c>
      <c r="Z166" s="23">
        <v>63.872</v>
      </c>
      <c r="AA166" s="23">
        <v>23.845</v>
      </c>
      <c r="AB166" s="23">
        <v>30.575</v>
      </c>
      <c r="AC166" s="23">
        <v>20.825</v>
      </c>
      <c r="AD166" s="22">
        <f t="shared" si="132"/>
        <v>98.575</v>
      </c>
      <c r="AE166" s="22">
        <f t="shared" ref="AE166:AI166" si="167">AVERAGE(M166,S166,Y166)</f>
        <v>25.234</v>
      </c>
      <c r="AF166" s="22">
        <f t="shared" si="167"/>
        <v>63.69766667</v>
      </c>
      <c r="AG166" s="22">
        <f t="shared" si="167"/>
        <v>23.38733333</v>
      </c>
      <c r="AH166" s="22">
        <f t="shared" si="167"/>
        <v>30.36433333</v>
      </c>
      <c r="AI166" s="22">
        <f t="shared" si="167"/>
        <v>20.11133333</v>
      </c>
      <c r="AJ166" s="22"/>
      <c r="AK166" s="22"/>
      <c r="AL166" s="22"/>
      <c r="AM166" s="22"/>
    </row>
    <row r="167">
      <c r="A167" s="13" t="s">
        <v>20</v>
      </c>
      <c r="B167" s="26">
        <v>45646.0</v>
      </c>
      <c r="C167" s="13" t="s">
        <v>24</v>
      </c>
      <c r="D167" s="13">
        <v>9.2</v>
      </c>
      <c r="E167" s="13" t="s">
        <v>22</v>
      </c>
      <c r="F167" s="13">
        <v>4.0</v>
      </c>
      <c r="G167" s="13" t="s">
        <v>23</v>
      </c>
      <c r="H167" s="23">
        <v>10.6761</v>
      </c>
      <c r="I167" s="23">
        <v>550.8471</v>
      </c>
      <c r="J167" s="23">
        <v>4.696</v>
      </c>
      <c r="K167" s="23">
        <v>0.035</v>
      </c>
      <c r="L167" s="23">
        <v>105.856</v>
      </c>
      <c r="M167" s="23">
        <v>23.433</v>
      </c>
      <c r="N167" s="23">
        <v>64.848</v>
      </c>
      <c r="O167" s="23">
        <v>20.307</v>
      </c>
      <c r="P167" s="23">
        <v>27.339</v>
      </c>
      <c r="Q167" s="23">
        <v>18.083</v>
      </c>
      <c r="R167" s="23">
        <v>106.747</v>
      </c>
      <c r="S167" s="23">
        <v>23.15</v>
      </c>
      <c r="T167" s="23">
        <v>65.795</v>
      </c>
      <c r="U167" s="23">
        <v>21.552</v>
      </c>
      <c r="V167" s="23">
        <v>28.311</v>
      </c>
      <c r="W167" s="23">
        <v>20.881</v>
      </c>
      <c r="X167" s="23">
        <v>106.595</v>
      </c>
      <c r="Y167" s="23">
        <v>23.277</v>
      </c>
      <c r="Z167" s="23">
        <v>65.658</v>
      </c>
      <c r="AA167" s="23">
        <v>21.398</v>
      </c>
      <c r="AB167" s="23">
        <v>28.201</v>
      </c>
      <c r="AC167" s="23">
        <v>20.435</v>
      </c>
      <c r="AD167" s="22">
        <f t="shared" si="132"/>
        <v>106.3993333</v>
      </c>
      <c r="AE167" s="22">
        <f t="shared" ref="AE167:AI167" si="168">AVERAGE(M167,S167,Y167)</f>
        <v>23.28666667</v>
      </c>
      <c r="AF167" s="22">
        <f t="shared" si="168"/>
        <v>65.43366667</v>
      </c>
      <c r="AG167" s="22">
        <f t="shared" si="168"/>
        <v>21.08566667</v>
      </c>
      <c r="AH167" s="22">
        <f t="shared" si="168"/>
        <v>27.95033333</v>
      </c>
      <c r="AI167" s="22">
        <f t="shared" si="168"/>
        <v>19.79966667</v>
      </c>
      <c r="AJ167" s="22"/>
      <c r="AK167" s="22"/>
      <c r="AL167" s="22"/>
      <c r="AM167" s="22"/>
    </row>
    <row r="168">
      <c r="A168" s="13" t="s">
        <v>20</v>
      </c>
      <c r="B168" s="26">
        <v>45646.0</v>
      </c>
      <c r="C168" s="13" t="s">
        <v>24</v>
      </c>
      <c r="D168" s="13">
        <v>9.3</v>
      </c>
      <c r="E168" s="13" t="s">
        <v>22</v>
      </c>
      <c r="F168" s="13">
        <v>4.0</v>
      </c>
      <c r="G168" s="13" t="s">
        <v>23</v>
      </c>
      <c r="H168" s="23">
        <v>10.2448</v>
      </c>
      <c r="I168" s="23">
        <v>535.2659</v>
      </c>
      <c r="J168" s="23">
        <v>4.188</v>
      </c>
      <c r="K168" s="23">
        <v>0.015</v>
      </c>
      <c r="L168" s="23">
        <v>106.594</v>
      </c>
      <c r="M168" s="23">
        <v>25.514</v>
      </c>
      <c r="N168" s="23">
        <v>69.09</v>
      </c>
      <c r="O168" s="23">
        <v>24.001</v>
      </c>
      <c r="P168" s="23">
        <v>31.926</v>
      </c>
      <c r="Q168" s="23">
        <v>22.558</v>
      </c>
      <c r="R168" s="23">
        <v>106.733</v>
      </c>
      <c r="S168" s="23">
        <v>25.287</v>
      </c>
      <c r="T168" s="23">
        <v>68.923</v>
      </c>
      <c r="U168" s="23">
        <v>23.66</v>
      </c>
      <c r="V168" s="23">
        <v>31.524</v>
      </c>
      <c r="W168" s="23">
        <v>21.834</v>
      </c>
      <c r="X168" s="23">
        <v>106.679</v>
      </c>
      <c r="Y168" s="23">
        <v>25.338</v>
      </c>
      <c r="Z168" s="23">
        <v>68.838</v>
      </c>
      <c r="AA168" s="23">
        <v>23.621</v>
      </c>
      <c r="AB168" s="23">
        <v>31.403</v>
      </c>
      <c r="AC168" s="23">
        <v>21.572</v>
      </c>
      <c r="AD168" s="22">
        <f t="shared" si="132"/>
        <v>106.6686667</v>
      </c>
      <c r="AE168" s="22">
        <f t="shared" ref="AE168:AI168" si="169">AVERAGE(M168,S168,Y168)</f>
        <v>25.37966667</v>
      </c>
      <c r="AF168" s="22">
        <f t="shared" si="169"/>
        <v>68.95033333</v>
      </c>
      <c r="AG168" s="22">
        <f t="shared" si="169"/>
        <v>23.76066667</v>
      </c>
      <c r="AH168" s="22">
        <f t="shared" si="169"/>
        <v>31.61766667</v>
      </c>
      <c r="AI168" s="22">
        <f t="shared" si="169"/>
        <v>21.988</v>
      </c>
      <c r="AJ168" s="22"/>
      <c r="AK168" s="22"/>
      <c r="AL168" s="22"/>
      <c r="AM168" s="22"/>
    </row>
    <row r="169">
      <c r="A169" s="13" t="s">
        <v>20</v>
      </c>
      <c r="B169" s="26">
        <v>45646.0</v>
      </c>
      <c r="C169" s="13" t="s">
        <v>24</v>
      </c>
      <c r="D169" s="13">
        <v>9.4</v>
      </c>
      <c r="E169" s="13" t="s">
        <v>22</v>
      </c>
      <c r="F169" s="13">
        <v>4.0</v>
      </c>
      <c r="G169" s="13" t="s">
        <v>23</v>
      </c>
      <c r="H169" s="23">
        <v>10.2054</v>
      </c>
      <c r="I169" s="23">
        <v>590.4049</v>
      </c>
      <c r="J169" s="23">
        <v>3.68</v>
      </c>
      <c r="K169" s="23">
        <v>0.013</v>
      </c>
      <c r="L169" s="23">
        <v>142.02</v>
      </c>
      <c r="M169" s="23">
        <v>29.058</v>
      </c>
      <c r="N169" s="23">
        <v>105.981</v>
      </c>
      <c r="O169" s="23">
        <v>24.078</v>
      </c>
      <c r="P169" s="23">
        <v>47.193</v>
      </c>
      <c r="Q169" s="23">
        <v>19.878</v>
      </c>
      <c r="R169" s="23">
        <v>142.29</v>
      </c>
      <c r="S169" s="23">
        <v>28.755</v>
      </c>
      <c r="T169" s="23">
        <v>106.112</v>
      </c>
      <c r="U169" s="23">
        <v>23.981</v>
      </c>
      <c r="V169" s="23">
        <v>47.255</v>
      </c>
      <c r="W169" s="23">
        <v>20.035</v>
      </c>
      <c r="X169" s="23">
        <v>142.585</v>
      </c>
      <c r="Y169" s="23">
        <v>28.577</v>
      </c>
      <c r="Z169" s="23">
        <v>106.262</v>
      </c>
      <c r="AA169" s="23">
        <v>23.845</v>
      </c>
      <c r="AB169" s="23">
        <v>47.046</v>
      </c>
      <c r="AC169" s="23">
        <v>19.845</v>
      </c>
      <c r="AD169" s="22">
        <f t="shared" si="132"/>
        <v>142.2983333</v>
      </c>
      <c r="AE169" s="22">
        <f t="shared" ref="AE169:AI169" si="170">AVERAGE(M169,S169,Y169)</f>
        <v>28.79666667</v>
      </c>
      <c r="AF169" s="22">
        <f t="shared" si="170"/>
        <v>106.1183333</v>
      </c>
      <c r="AG169" s="22">
        <f t="shared" si="170"/>
        <v>23.968</v>
      </c>
      <c r="AH169" s="22">
        <f t="shared" si="170"/>
        <v>47.16466667</v>
      </c>
      <c r="AI169" s="22">
        <f t="shared" si="170"/>
        <v>19.91933333</v>
      </c>
      <c r="AJ169" s="22"/>
      <c r="AK169" s="22"/>
      <c r="AL169" s="22"/>
      <c r="AM169" s="22"/>
    </row>
    <row r="170">
      <c r="A170" s="13" t="s">
        <v>20</v>
      </c>
      <c r="B170" s="26">
        <v>45646.0</v>
      </c>
      <c r="C170" s="13" t="s">
        <v>25</v>
      </c>
      <c r="D170" s="13">
        <v>7.1</v>
      </c>
      <c r="E170" s="13" t="s">
        <v>22</v>
      </c>
      <c r="F170" s="13">
        <v>4.0</v>
      </c>
      <c r="G170" s="13" t="s">
        <v>23</v>
      </c>
      <c r="H170" s="23">
        <v>14.0569</v>
      </c>
      <c r="I170" s="23">
        <v>493.2015</v>
      </c>
      <c r="J170" s="23">
        <v>4.815</v>
      </c>
      <c r="K170" s="23">
        <v>0.036</v>
      </c>
      <c r="L170" s="23">
        <v>107.887</v>
      </c>
      <c r="M170" s="23">
        <v>32.436</v>
      </c>
      <c r="N170" s="23">
        <v>85.034</v>
      </c>
      <c r="O170" s="23">
        <v>30.628</v>
      </c>
      <c r="P170" s="23">
        <v>47.366</v>
      </c>
      <c r="Q170" s="23">
        <v>24.583</v>
      </c>
      <c r="R170" s="23">
        <v>107.708</v>
      </c>
      <c r="S170" s="23">
        <v>32.249</v>
      </c>
      <c r="T170" s="23">
        <v>84.649</v>
      </c>
      <c r="U170" s="23">
        <v>30.202</v>
      </c>
      <c r="V170" s="23">
        <v>46.731</v>
      </c>
      <c r="W170" s="23">
        <v>23.449</v>
      </c>
      <c r="X170" s="23">
        <v>107.518</v>
      </c>
      <c r="Y170" s="23">
        <v>32.32</v>
      </c>
      <c r="Z170" s="23">
        <v>84.576</v>
      </c>
      <c r="AA170" s="23">
        <v>30.32</v>
      </c>
      <c r="AB170" s="23">
        <v>46.765</v>
      </c>
      <c r="AC170" s="23">
        <v>23.712</v>
      </c>
      <c r="AD170" s="22">
        <f t="shared" si="132"/>
        <v>107.7043333</v>
      </c>
      <c r="AE170" s="22">
        <f t="shared" ref="AE170:AI170" si="171">AVERAGE(M170,S170,Y170)</f>
        <v>32.335</v>
      </c>
      <c r="AF170" s="22">
        <f t="shared" si="171"/>
        <v>84.753</v>
      </c>
      <c r="AG170" s="22">
        <f t="shared" si="171"/>
        <v>30.38333333</v>
      </c>
      <c r="AH170" s="22">
        <f t="shared" si="171"/>
        <v>46.954</v>
      </c>
      <c r="AI170" s="22">
        <f t="shared" si="171"/>
        <v>23.91466667</v>
      </c>
      <c r="AJ170" s="22"/>
      <c r="AK170" s="22"/>
      <c r="AL170" s="22"/>
      <c r="AM170" s="22"/>
    </row>
    <row r="171">
      <c r="A171" s="13" t="s">
        <v>20</v>
      </c>
      <c r="B171" s="26">
        <v>45646.0</v>
      </c>
      <c r="C171" s="13" t="s">
        <v>25</v>
      </c>
      <c r="D171" s="13">
        <v>7.2</v>
      </c>
      <c r="E171" s="13" t="s">
        <v>22</v>
      </c>
      <c r="F171" s="13">
        <v>4.0</v>
      </c>
      <c r="G171" s="13" t="s">
        <v>23</v>
      </c>
      <c r="H171" s="23">
        <v>10.6711</v>
      </c>
      <c r="I171" s="23">
        <v>567.6013</v>
      </c>
      <c r="J171" s="23">
        <v>3.483</v>
      </c>
      <c r="K171" s="23">
        <v>0.014</v>
      </c>
      <c r="L171" s="23">
        <v>106.605</v>
      </c>
      <c r="M171" s="23">
        <v>30.358</v>
      </c>
      <c r="N171" s="23">
        <v>82.302</v>
      </c>
      <c r="O171" s="23">
        <v>29.521</v>
      </c>
      <c r="P171" s="23">
        <v>41.28</v>
      </c>
      <c r="Q171" s="23">
        <v>24.18</v>
      </c>
      <c r="R171" s="23">
        <v>105.993</v>
      </c>
      <c r="S171" s="23">
        <v>31.089</v>
      </c>
      <c r="T171" s="23">
        <v>81.969</v>
      </c>
      <c r="U171" s="23">
        <v>30.045</v>
      </c>
      <c r="V171" s="23">
        <v>41.242</v>
      </c>
      <c r="W171" s="23">
        <v>24.485</v>
      </c>
      <c r="X171" s="23">
        <v>106.719</v>
      </c>
      <c r="Y171" s="23">
        <v>30.497</v>
      </c>
      <c r="Z171" s="23">
        <v>85.55</v>
      </c>
      <c r="AA171" s="23">
        <v>29.792</v>
      </c>
      <c r="AB171" s="23">
        <v>41.672</v>
      </c>
      <c r="AC171" s="23">
        <v>24.887</v>
      </c>
      <c r="AD171" s="22">
        <f t="shared" si="132"/>
        <v>106.439</v>
      </c>
      <c r="AE171" s="22">
        <f t="shared" ref="AE171:AI171" si="172">AVERAGE(M171,S171,Y171)</f>
        <v>30.648</v>
      </c>
      <c r="AF171" s="22">
        <f t="shared" si="172"/>
        <v>83.27366667</v>
      </c>
      <c r="AG171" s="22">
        <f t="shared" si="172"/>
        <v>29.786</v>
      </c>
      <c r="AH171" s="22">
        <f t="shared" si="172"/>
        <v>41.398</v>
      </c>
      <c r="AI171" s="22">
        <f t="shared" si="172"/>
        <v>24.51733333</v>
      </c>
      <c r="AJ171" s="22"/>
      <c r="AK171" s="22"/>
      <c r="AL171" s="22"/>
      <c r="AM171" s="22"/>
    </row>
    <row r="172">
      <c r="A172" s="13" t="s">
        <v>20</v>
      </c>
      <c r="B172" s="26">
        <v>45646.0</v>
      </c>
      <c r="C172" s="13" t="s">
        <v>25</v>
      </c>
      <c r="D172" s="13">
        <v>7.3</v>
      </c>
      <c r="E172" s="13" t="s">
        <v>22</v>
      </c>
      <c r="F172" s="13">
        <v>4.0</v>
      </c>
      <c r="G172" s="13" t="s">
        <v>23</v>
      </c>
      <c r="H172" s="23">
        <v>11.3701</v>
      </c>
      <c r="I172" s="23">
        <v>512.4014</v>
      </c>
      <c r="J172" s="23">
        <v>4.428</v>
      </c>
      <c r="K172" s="23">
        <v>0.007</v>
      </c>
      <c r="L172" s="23">
        <v>112.074</v>
      </c>
      <c r="M172" s="23">
        <v>28.042</v>
      </c>
      <c r="N172" s="23">
        <v>86.611</v>
      </c>
      <c r="O172" s="23">
        <v>27.235</v>
      </c>
      <c r="P172" s="23">
        <v>45.244</v>
      </c>
      <c r="Q172" s="23">
        <v>23.637</v>
      </c>
      <c r="R172" s="23">
        <v>112.476</v>
      </c>
      <c r="S172" s="23">
        <v>27.92</v>
      </c>
      <c r="T172" s="23">
        <v>86.969</v>
      </c>
      <c r="U172" s="23">
        <v>27.36</v>
      </c>
      <c r="V172" s="23">
        <v>45.551</v>
      </c>
      <c r="W172" s="23">
        <v>24.185</v>
      </c>
      <c r="X172" s="23">
        <v>112.605</v>
      </c>
      <c r="Y172" s="23">
        <v>27.694</v>
      </c>
      <c r="Z172" s="23">
        <v>86.948</v>
      </c>
      <c r="AA172" s="23">
        <v>27.097</v>
      </c>
      <c r="AB172" s="23">
        <v>45.312</v>
      </c>
      <c r="AC172" s="23">
        <v>23.606</v>
      </c>
      <c r="AD172" s="22">
        <f t="shared" si="132"/>
        <v>112.385</v>
      </c>
      <c r="AE172" s="22">
        <f t="shared" ref="AE172:AI172" si="173">AVERAGE(M172,S172,Y172)</f>
        <v>27.88533333</v>
      </c>
      <c r="AF172" s="22">
        <f t="shared" si="173"/>
        <v>86.84266667</v>
      </c>
      <c r="AG172" s="22">
        <f t="shared" si="173"/>
        <v>27.23066667</v>
      </c>
      <c r="AH172" s="22">
        <f t="shared" si="173"/>
        <v>45.369</v>
      </c>
      <c r="AI172" s="22">
        <f t="shared" si="173"/>
        <v>23.80933333</v>
      </c>
      <c r="AJ172" s="22"/>
      <c r="AK172" s="22"/>
      <c r="AL172" s="22"/>
      <c r="AM172" s="22"/>
    </row>
    <row r="173">
      <c r="A173" s="13" t="s">
        <v>20</v>
      </c>
      <c r="B173" s="26">
        <v>45646.0</v>
      </c>
      <c r="C173" s="13" t="s">
        <v>25</v>
      </c>
      <c r="D173" s="13">
        <v>7.4</v>
      </c>
      <c r="E173" s="13" t="s">
        <v>22</v>
      </c>
      <c r="F173" s="13">
        <v>4.0</v>
      </c>
      <c r="G173" s="13" t="s">
        <v>23</v>
      </c>
      <c r="H173" s="23">
        <v>12.3335</v>
      </c>
      <c r="I173" s="23">
        <v>556.8323</v>
      </c>
      <c r="J173" s="23">
        <v>4.439</v>
      </c>
      <c r="K173" s="23">
        <v>0.029</v>
      </c>
      <c r="L173" s="23">
        <v>131.002</v>
      </c>
      <c r="M173" s="23">
        <v>32.002</v>
      </c>
      <c r="N173" s="23">
        <v>112.528</v>
      </c>
      <c r="O173" s="23">
        <v>31.636</v>
      </c>
      <c r="P173" s="23">
        <v>62.931</v>
      </c>
      <c r="Q173" s="23">
        <v>29.637</v>
      </c>
      <c r="R173" s="23">
        <v>130.627</v>
      </c>
      <c r="S173" s="23">
        <v>32.492</v>
      </c>
      <c r="T173" s="23">
        <v>112.135</v>
      </c>
      <c r="U173" s="23">
        <v>31.966</v>
      </c>
      <c r="V173" s="23">
        <v>62.63</v>
      </c>
      <c r="W173" s="23">
        <v>29.658</v>
      </c>
      <c r="X173" s="23">
        <v>131.15</v>
      </c>
      <c r="Y173" s="23">
        <v>31.533</v>
      </c>
      <c r="Z173" s="23">
        <v>112.533</v>
      </c>
      <c r="AA173" s="23">
        <v>31.166</v>
      </c>
      <c r="AB173" s="23">
        <v>62.74</v>
      </c>
      <c r="AC173" s="23">
        <v>29.124</v>
      </c>
      <c r="AD173" s="22">
        <f t="shared" si="132"/>
        <v>130.9263333</v>
      </c>
      <c r="AE173" s="22">
        <f t="shared" ref="AE173:AI173" si="174">AVERAGE(M173,S173,Y173)</f>
        <v>32.009</v>
      </c>
      <c r="AF173" s="22">
        <f t="shared" si="174"/>
        <v>112.3986667</v>
      </c>
      <c r="AG173" s="22">
        <f t="shared" si="174"/>
        <v>31.58933333</v>
      </c>
      <c r="AH173" s="22">
        <f t="shared" si="174"/>
        <v>62.767</v>
      </c>
      <c r="AI173" s="22">
        <f t="shared" si="174"/>
        <v>29.473</v>
      </c>
      <c r="AJ173" s="22"/>
      <c r="AK173" s="22"/>
      <c r="AL173" s="22"/>
      <c r="AM173" s="22"/>
    </row>
    <row r="174">
      <c r="A174" s="13" t="s">
        <v>20</v>
      </c>
      <c r="B174" s="26">
        <v>45646.0</v>
      </c>
      <c r="C174" s="13" t="s">
        <v>25</v>
      </c>
      <c r="D174" s="13">
        <v>8.1</v>
      </c>
      <c r="E174" s="13" t="s">
        <v>22</v>
      </c>
      <c r="F174" s="13">
        <v>4.0</v>
      </c>
      <c r="G174" s="13" t="s">
        <v>23</v>
      </c>
      <c r="H174" s="23">
        <v>12.4086</v>
      </c>
      <c r="I174" s="23">
        <v>542.5327</v>
      </c>
      <c r="J174" s="23">
        <v>3.91</v>
      </c>
      <c r="K174" s="23">
        <v>0.007</v>
      </c>
      <c r="L174" s="23">
        <v>112.192</v>
      </c>
      <c r="M174" s="23">
        <v>25.943</v>
      </c>
      <c r="N174" s="23">
        <v>86.32</v>
      </c>
      <c r="O174" s="23">
        <v>26.76</v>
      </c>
      <c r="P174" s="23">
        <v>48.378</v>
      </c>
      <c r="Q174" s="23">
        <v>26.84</v>
      </c>
      <c r="R174" s="23">
        <v>112.258</v>
      </c>
      <c r="S174" s="23">
        <v>25.873</v>
      </c>
      <c r="T174" s="23">
        <v>86.37</v>
      </c>
      <c r="U174" s="23">
        <v>26.721</v>
      </c>
      <c r="V174" s="23">
        <v>48.384</v>
      </c>
      <c r="W174" s="23">
        <v>26.721</v>
      </c>
      <c r="X174" s="23">
        <v>112.445</v>
      </c>
      <c r="Y174" s="23">
        <v>25.328</v>
      </c>
      <c r="Z174" s="23">
        <v>86.323</v>
      </c>
      <c r="AA174" s="23">
        <v>26.208</v>
      </c>
      <c r="AB174" s="23">
        <v>48.037</v>
      </c>
      <c r="AC174" s="23">
        <v>25.939</v>
      </c>
      <c r="AD174" s="22">
        <f t="shared" si="132"/>
        <v>112.2983333</v>
      </c>
      <c r="AE174" s="22">
        <f t="shared" ref="AE174:AI174" si="175">AVERAGE(M174,S174,Y174)</f>
        <v>25.71466667</v>
      </c>
      <c r="AF174" s="22">
        <f t="shared" si="175"/>
        <v>86.33766667</v>
      </c>
      <c r="AG174" s="22">
        <f t="shared" si="175"/>
        <v>26.563</v>
      </c>
      <c r="AH174" s="22">
        <f t="shared" si="175"/>
        <v>48.26633333</v>
      </c>
      <c r="AI174" s="22">
        <f t="shared" si="175"/>
        <v>26.5</v>
      </c>
      <c r="AJ174" s="22"/>
      <c r="AK174" s="22"/>
      <c r="AL174" s="22"/>
      <c r="AM174" s="22"/>
    </row>
    <row r="175">
      <c r="A175" s="13" t="s">
        <v>20</v>
      </c>
      <c r="B175" s="26">
        <v>45646.0</v>
      </c>
      <c r="C175" s="13" t="s">
        <v>25</v>
      </c>
      <c r="D175" s="13">
        <v>8.2</v>
      </c>
      <c r="E175" s="13" t="s">
        <v>22</v>
      </c>
      <c r="F175" s="13">
        <v>4.0</v>
      </c>
      <c r="G175" s="13" t="s">
        <v>23</v>
      </c>
      <c r="H175" s="23">
        <v>12.7645</v>
      </c>
      <c r="I175" s="23">
        <v>529.2871</v>
      </c>
      <c r="J175" s="23">
        <v>4.77</v>
      </c>
      <c r="K175" s="23">
        <v>0.029</v>
      </c>
      <c r="L175" s="23">
        <v>113.316</v>
      </c>
      <c r="M175" s="23">
        <v>26.299</v>
      </c>
      <c r="N175" s="23">
        <v>86.829</v>
      </c>
      <c r="O175" s="23">
        <v>27.612</v>
      </c>
      <c r="P175" s="23">
        <v>45.229</v>
      </c>
      <c r="Q175" s="23">
        <v>27.153</v>
      </c>
      <c r="R175" s="23">
        <v>113.024</v>
      </c>
      <c r="S175" s="23">
        <v>26.448</v>
      </c>
      <c r="T175" s="23">
        <v>86.478</v>
      </c>
      <c r="U175" s="23">
        <v>27.479</v>
      </c>
      <c r="V175" s="23">
        <v>44.837</v>
      </c>
      <c r="W175" s="23">
        <v>26.532</v>
      </c>
      <c r="X175" s="23">
        <v>113.187</v>
      </c>
      <c r="Y175" s="23">
        <v>26.27</v>
      </c>
      <c r="Z175" s="23">
        <v>86.592</v>
      </c>
      <c r="AA175" s="23">
        <v>27.391</v>
      </c>
      <c r="AB175" s="23">
        <v>44.853</v>
      </c>
      <c r="AC175" s="23">
        <v>26.404</v>
      </c>
      <c r="AD175" s="22">
        <f t="shared" si="132"/>
        <v>113.1756667</v>
      </c>
      <c r="AE175" s="22">
        <f t="shared" ref="AE175:AI175" si="176">AVERAGE(M175,S175,Y175)</f>
        <v>26.339</v>
      </c>
      <c r="AF175" s="22">
        <f t="shared" si="176"/>
        <v>86.633</v>
      </c>
      <c r="AG175" s="22">
        <f t="shared" si="176"/>
        <v>27.494</v>
      </c>
      <c r="AH175" s="22">
        <f t="shared" si="176"/>
        <v>44.973</v>
      </c>
      <c r="AI175" s="22">
        <f t="shared" si="176"/>
        <v>26.69633333</v>
      </c>
      <c r="AJ175" s="22"/>
      <c r="AK175" s="22"/>
      <c r="AL175" s="22"/>
      <c r="AM175" s="22"/>
    </row>
    <row r="176">
      <c r="A176" s="13" t="s">
        <v>20</v>
      </c>
      <c r="B176" s="26">
        <v>45646.0</v>
      </c>
      <c r="C176" s="13" t="s">
        <v>25</v>
      </c>
      <c r="D176" s="13">
        <v>8.3</v>
      </c>
      <c r="E176" s="13" t="s">
        <v>22</v>
      </c>
      <c r="F176" s="13">
        <v>4.0</v>
      </c>
      <c r="G176" s="13" t="s">
        <v>23</v>
      </c>
      <c r="H176" s="23">
        <v>10.0796</v>
      </c>
      <c r="I176" s="23">
        <v>517.2125</v>
      </c>
      <c r="J176" s="23">
        <v>3.777</v>
      </c>
      <c r="K176" s="23">
        <v>0.027</v>
      </c>
      <c r="L176" s="23">
        <v>101.727</v>
      </c>
      <c r="M176" s="23">
        <v>35.744</v>
      </c>
      <c r="N176" s="23">
        <v>78.703</v>
      </c>
      <c r="O176" s="23">
        <v>33.888</v>
      </c>
      <c r="P176" s="23">
        <v>42.062</v>
      </c>
      <c r="Q176" s="23">
        <v>28.08</v>
      </c>
      <c r="R176" s="23">
        <v>101.473</v>
      </c>
      <c r="S176" s="23">
        <v>35.772</v>
      </c>
      <c r="T176" s="23">
        <v>78.526</v>
      </c>
      <c r="U176" s="23">
        <v>33.867</v>
      </c>
      <c r="V176" s="23">
        <v>41.971</v>
      </c>
      <c r="W176" s="23">
        <v>27.943</v>
      </c>
      <c r="X176" s="23">
        <v>101.869</v>
      </c>
      <c r="Y176" s="23">
        <v>35.522</v>
      </c>
      <c r="Z176" s="23">
        <v>78.757</v>
      </c>
      <c r="AA176" s="23">
        <v>33.707</v>
      </c>
      <c r="AB176" s="23">
        <v>41.947</v>
      </c>
      <c r="AC176" s="23">
        <v>27.673</v>
      </c>
      <c r="AD176" s="22">
        <f t="shared" si="132"/>
        <v>101.6896667</v>
      </c>
      <c r="AE176" s="22">
        <f t="shared" ref="AE176:AI176" si="177">AVERAGE(M176,S176,Y176)</f>
        <v>35.67933333</v>
      </c>
      <c r="AF176" s="22">
        <f t="shared" si="177"/>
        <v>78.662</v>
      </c>
      <c r="AG176" s="22">
        <f t="shared" si="177"/>
        <v>33.82066667</v>
      </c>
      <c r="AH176" s="22">
        <f t="shared" si="177"/>
        <v>41.99333333</v>
      </c>
      <c r="AI176" s="22">
        <f t="shared" si="177"/>
        <v>27.89866667</v>
      </c>
      <c r="AJ176" s="22"/>
      <c r="AK176" s="22"/>
      <c r="AL176" s="22"/>
      <c r="AM176" s="22"/>
    </row>
    <row r="177">
      <c r="A177" s="13" t="s">
        <v>20</v>
      </c>
      <c r="B177" s="26">
        <v>45646.0</v>
      </c>
      <c r="C177" s="13" t="s">
        <v>25</v>
      </c>
      <c r="D177" s="13">
        <v>8.4</v>
      </c>
      <c r="E177" s="13" t="s">
        <v>22</v>
      </c>
      <c r="F177" s="13">
        <v>4.0</v>
      </c>
      <c r="G177" s="13" t="s">
        <v>23</v>
      </c>
      <c r="H177" s="23">
        <v>13.0072</v>
      </c>
      <c r="I177" s="23">
        <v>598.8048</v>
      </c>
      <c r="J177" s="23">
        <v>4.386</v>
      </c>
      <c r="K177" s="23">
        <v>0.027</v>
      </c>
      <c r="L177" s="23">
        <v>126.312</v>
      </c>
      <c r="M177" s="23">
        <v>32.664</v>
      </c>
      <c r="N177" s="23">
        <v>100.127</v>
      </c>
      <c r="O177" s="23">
        <v>32.103</v>
      </c>
      <c r="P177" s="23">
        <v>47.409</v>
      </c>
      <c r="Q177" s="23">
        <v>26.793</v>
      </c>
      <c r="R177" s="23">
        <v>126.416</v>
      </c>
      <c r="S177" s="23">
        <v>32.642</v>
      </c>
      <c r="T177" s="23">
        <v>100.214</v>
      </c>
      <c r="U177" s="23">
        <v>32.092</v>
      </c>
      <c r="V177" s="23">
        <v>47.45</v>
      </c>
      <c r="W177" s="23">
        <v>26.767</v>
      </c>
      <c r="X177" s="23">
        <v>126.244</v>
      </c>
      <c r="Y177" s="23">
        <v>32.754</v>
      </c>
      <c r="Z177" s="23">
        <v>100.151</v>
      </c>
      <c r="AA177" s="23">
        <v>32.171</v>
      </c>
      <c r="AB177" s="23">
        <v>47.567</v>
      </c>
      <c r="AC177" s="23">
        <v>26.863</v>
      </c>
      <c r="AD177" s="22">
        <f t="shared" si="132"/>
        <v>126.324</v>
      </c>
      <c r="AE177" s="22">
        <f t="shared" ref="AE177:AI177" si="178">AVERAGE(M177,S177,Y177)</f>
        <v>32.68666667</v>
      </c>
      <c r="AF177" s="22">
        <f t="shared" si="178"/>
        <v>100.164</v>
      </c>
      <c r="AG177" s="22">
        <f t="shared" si="178"/>
        <v>32.122</v>
      </c>
      <c r="AH177" s="22">
        <f t="shared" si="178"/>
        <v>47.47533333</v>
      </c>
      <c r="AI177" s="22">
        <f t="shared" si="178"/>
        <v>26.80766667</v>
      </c>
      <c r="AJ177" s="22"/>
      <c r="AK177" s="22"/>
      <c r="AL177" s="22"/>
      <c r="AM177" s="22"/>
    </row>
    <row r="178">
      <c r="A178" s="13" t="s">
        <v>20</v>
      </c>
      <c r="B178" s="26">
        <v>45646.0</v>
      </c>
      <c r="C178" s="13" t="s">
        <v>25</v>
      </c>
      <c r="D178" s="13">
        <v>9.1</v>
      </c>
      <c r="E178" s="13" t="s">
        <v>22</v>
      </c>
      <c r="F178" s="13">
        <v>4.0</v>
      </c>
      <c r="G178" s="13" t="s">
        <v>23</v>
      </c>
      <c r="H178" s="23">
        <v>11.9999</v>
      </c>
      <c r="I178" s="23">
        <v>564.0</v>
      </c>
      <c r="J178" s="23">
        <v>4.712</v>
      </c>
      <c r="K178" s="23">
        <v>0.036</v>
      </c>
      <c r="L178" s="23">
        <v>116.432</v>
      </c>
      <c r="M178" s="23">
        <v>22.845</v>
      </c>
      <c r="N178" s="23">
        <v>92.695</v>
      </c>
      <c r="O178" s="23">
        <v>22.719</v>
      </c>
      <c r="P178" s="23">
        <v>47.058</v>
      </c>
      <c r="Q178" s="23">
        <v>23.185</v>
      </c>
      <c r="R178" s="23">
        <v>116.447</v>
      </c>
      <c r="S178" s="23">
        <v>22.665</v>
      </c>
      <c r="T178" s="23">
        <v>92.649</v>
      </c>
      <c r="U178" s="23">
        <v>22.505</v>
      </c>
      <c r="V178" s="23">
        <v>46.889</v>
      </c>
      <c r="W178" s="23">
        <v>22.75</v>
      </c>
      <c r="X178" s="23">
        <v>116.787</v>
      </c>
      <c r="Y178" s="23">
        <v>22.781</v>
      </c>
      <c r="Z178" s="23">
        <v>93.11</v>
      </c>
      <c r="AA178" s="23">
        <v>22.932</v>
      </c>
      <c r="AB178" s="23">
        <v>47.54</v>
      </c>
      <c r="AC178" s="23">
        <v>24.053</v>
      </c>
      <c r="AD178" s="22">
        <f t="shared" si="132"/>
        <v>116.5553333</v>
      </c>
      <c r="AE178" s="22">
        <f t="shared" ref="AE178:AI178" si="179">AVERAGE(M178,S178,Y178)</f>
        <v>22.76366667</v>
      </c>
      <c r="AF178" s="22">
        <f t="shared" si="179"/>
        <v>92.818</v>
      </c>
      <c r="AG178" s="22">
        <f t="shared" si="179"/>
        <v>22.71866667</v>
      </c>
      <c r="AH178" s="22">
        <f t="shared" si="179"/>
        <v>47.16233333</v>
      </c>
      <c r="AI178" s="22">
        <f t="shared" si="179"/>
        <v>23.32933333</v>
      </c>
      <c r="AJ178" s="22"/>
      <c r="AK178" s="22"/>
      <c r="AL178" s="22"/>
      <c r="AM178" s="22"/>
    </row>
    <row r="179">
      <c r="A179" s="13" t="s">
        <v>20</v>
      </c>
      <c r="B179" s="26">
        <v>45646.0</v>
      </c>
      <c r="C179" s="13" t="s">
        <v>25</v>
      </c>
      <c r="D179" s="13">
        <v>9.2</v>
      </c>
      <c r="E179" s="13" t="s">
        <v>22</v>
      </c>
      <c r="F179" s="13">
        <v>4.0</v>
      </c>
      <c r="G179" s="13" t="s">
        <v>23</v>
      </c>
      <c r="H179" s="23">
        <v>10.3365</v>
      </c>
      <c r="I179" s="23">
        <v>499.2519</v>
      </c>
      <c r="J179" s="23">
        <v>3.38</v>
      </c>
      <c r="K179" s="23">
        <v>0.032</v>
      </c>
      <c r="L179" s="23">
        <v>114.931</v>
      </c>
      <c r="M179" s="23">
        <v>28.306</v>
      </c>
      <c r="N179" s="23">
        <v>90.335</v>
      </c>
      <c r="O179" s="23">
        <v>27.411</v>
      </c>
      <c r="P179" s="23">
        <v>47.707</v>
      </c>
      <c r="Q179" s="23">
        <v>23.121</v>
      </c>
      <c r="R179" s="23">
        <v>114.037</v>
      </c>
      <c r="S179" s="23">
        <v>28.845</v>
      </c>
      <c r="T179" s="23">
        <v>89.466</v>
      </c>
      <c r="U179" s="23">
        <v>27.371</v>
      </c>
      <c r="V179" s="23">
        <v>46.936</v>
      </c>
      <c r="W179" s="23">
        <v>21.972</v>
      </c>
      <c r="X179" s="23">
        <v>114.63</v>
      </c>
      <c r="Y179" s="23">
        <v>28.115</v>
      </c>
      <c r="Z179" s="23">
        <v>89.897</v>
      </c>
      <c r="AA179" s="23">
        <v>26.931</v>
      </c>
      <c r="AB179" s="23">
        <v>47.065</v>
      </c>
      <c r="AC179" s="23">
        <v>21.691</v>
      </c>
      <c r="AD179" s="22">
        <f t="shared" si="132"/>
        <v>114.5326667</v>
      </c>
      <c r="AE179" s="22">
        <f t="shared" ref="AE179:AI179" si="180">AVERAGE(M179,S179,Y179)</f>
        <v>28.422</v>
      </c>
      <c r="AF179" s="22">
        <f t="shared" si="180"/>
        <v>89.89933333</v>
      </c>
      <c r="AG179" s="22">
        <f t="shared" si="180"/>
        <v>27.23766667</v>
      </c>
      <c r="AH179" s="22">
        <f t="shared" si="180"/>
        <v>47.236</v>
      </c>
      <c r="AI179" s="22">
        <f t="shared" si="180"/>
        <v>22.26133333</v>
      </c>
      <c r="AJ179" s="22"/>
      <c r="AK179" s="22"/>
      <c r="AL179" s="22"/>
      <c r="AM179" s="22"/>
    </row>
    <row r="180">
      <c r="A180" s="13" t="s">
        <v>20</v>
      </c>
      <c r="B180" s="26">
        <v>45646.0</v>
      </c>
      <c r="C180" s="13" t="s">
        <v>25</v>
      </c>
      <c r="D180" s="13">
        <v>9.3</v>
      </c>
      <c r="E180" s="13" t="s">
        <v>22</v>
      </c>
      <c r="F180" s="13">
        <v>4.0</v>
      </c>
      <c r="G180" s="13" t="s">
        <v>23</v>
      </c>
      <c r="H180" s="23">
        <v>10.4242</v>
      </c>
      <c r="I180" s="23">
        <v>518.4</v>
      </c>
      <c r="J180" s="23">
        <v>3.484</v>
      </c>
      <c r="K180" s="23">
        <v>0.018</v>
      </c>
      <c r="L180" s="23">
        <v>108.021</v>
      </c>
      <c r="M180" s="23">
        <v>29.067</v>
      </c>
      <c r="N180" s="23">
        <v>83.486</v>
      </c>
      <c r="O180" s="23">
        <v>27.963</v>
      </c>
      <c r="P180" s="23">
        <v>49.015</v>
      </c>
      <c r="Q180" s="23">
        <v>25.409</v>
      </c>
      <c r="R180" s="23">
        <v>107.576</v>
      </c>
      <c r="S180" s="23">
        <v>28.868</v>
      </c>
      <c r="T180" s="23">
        <v>82.847</v>
      </c>
      <c r="U180" s="23">
        <v>27.364</v>
      </c>
      <c r="V180" s="23">
        <v>48.19</v>
      </c>
      <c r="W180" s="23">
        <v>23.948</v>
      </c>
      <c r="X180" s="23">
        <v>107.868</v>
      </c>
      <c r="Y180" s="23">
        <v>28.787</v>
      </c>
      <c r="Z180" s="23">
        <v>83.175</v>
      </c>
      <c r="AA180" s="23">
        <v>27.455</v>
      </c>
      <c r="AB180" s="23">
        <v>48.503</v>
      </c>
      <c r="AC180" s="23">
        <v>24.309</v>
      </c>
      <c r="AD180" s="22">
        <f t="shared" si="132"/>
        <v>107.8216667</v>
      </c>
      <c r="AE180" s="22">
        <f t="shared" ref="AE180:AI180" si="181">AVERAGE(M180,S180,Y180)</f>
        <v>28.90733333</v>
      </c>
      <c r="AF180" s="22">
        <f t="shared" si="181"/>
        <v>83.16933333</v>
      </c>
      <c r="AG180" s="22">
        <f t="shared" si="181"/>
        <v>27.594</v>
      </c>
      <c r="AH180" s="22">
        <f t="shared" si="181"/>
        <v>48.56933333</v>
      </c>
      <c r="AI180" s="22">
        <f t="shared" si="181"/>
        <v>24.55533333</v>
      </c>
      <c r="AJ180" s="22"/>
      <c r="AK180" s="22"/>
      <c r="AL180" s="22"/>
      <c r="AM180" s="22"/>
    </row>
    <row r="181">
      <c r="A181" s="13" t="s">
        <v>20</v>
      </c>
      <c r="B181" s="26">
        <v>45646.0</v>
      </c>
      <c r="C181" s="13" t="s">
        <v>25</v>
      </c>
      <c r="D181" s="13">
        <v>9.4</v>
      </c>
      <c r="E181" s="13" t="s">
        <v>22</v>
      </c>
      <c r="F181" s="13">
        <v>4.0</v>
      </c>
      <c r="G181" s="13" t="s">
        <v>23</v>
      </c>
      <c r="H181" s="23">
        <v>10.5578</v>
      </c>
      <c r="I181" s="23">
        <v>606.0012</v>
      </c>
      <c r="J181" s="23">
        <v>4.084</v>
      </c>
      <c r="K181" s="23">
        <v>0.044</v>
      </c>
      <c r="L181" s="23">
        <v>128.178</v>
      </c>
      <c r="M181" s="23">
        <v>35.566</v>
      </c>
      <c r="N181" s="23">
        <v>105.523</v>
      </c>
      <c r="O181" s="23">
        <v>33.435</v>
      </c>
      <c r="P181" s="23">
        <v>56.711</v>
      </c>
      <c r="Q181" s="23">
        <v>28.164</v>
      </c>
      <c r="R181" s="23">
        <v>128.389</v>
      </c>
      <c r="S181" s="23">
        <v>25.431</v>
      </c>
      <c r="T181" s="23">
        <v>105.624</v>
      </c>
      <c r="U181" s="23">
        <v>33.283</v>
      </c>
      <c r="V181" s="23">
        <v>56.689</v>
      </c>
      <c r="W181" s="23">
        <v>28.094</v>
      </c>
      <c r="X181" s="23">
        <v>128.104</v>
      </c>
      <c r="Y181" s="23">
        <v>35.507</v>
      </c>
      <c r="Z181" s="23">
        <v>105.339</v>
      </c>
      <c r="AA181" s="23">
        <v>33.282</v>
      </c>
      <c r="AB181" s="23">
        <v>56.337</v>
      </c>
      <c r="AC181" s="23">
        <v>27.895</v>
      </c>
      <c r="AD181" s="22">
        <f t="shared" si="132"/>
        <v>128.2236667</v>
      </c>
      <c r="AE181" s="22">
        <f t="shared" ref="AE181:AI181" si="182">AVERAGE(M181,S181,Y181)</f>
        <v>32.168</v>
      </c>
      <c r="AF181" s="22">
        <f t="shared" si="182"/>
        <v>105.4953333</v>
      </c>
      <c r="AG181" s="22">
        <f t="shared" si="182"/>
        <v>33.33333333</v>
      </c>
      <c r="AH181" s="22">
        <f t="shared" si="182"/>
        <v>56.579</v>
      </c>
      <c r="AI181" s="22">
        <f t="shared" si="182"/>
        <v>28.051</v>
      </c>
      <c r="AJ181" s="22"/>
      <c r="AK181" s="22"/>
      <c r="AL181" s="22"/>
      <c r="AM181" s="22"/>
    </row>
    <row r="182">
      <c r="A182" s="13" t="s">
        <v>20</v>
      </c>
      <c r="B182" s="26">
        <v>45691.0</v>
      </c>
      <c r="C182" s="13" t="s">
        <v>21</v>
      </c>
      <c r="D182" s="13">
        <v>7.1</v>
      </c>
      <c r="E182" s="13" t="s">
        <v>22</v>
      </c>
      <c r="F182" s="13">
        <v>4.0</v>
      </c>
      <c r="G182" s="13" t="s">
        <v>26</v>
      </c>
      <c r="H182" s="23">
        <v>10.801</v>
      </c>
      <c r="I182" s="23">
        <v>499.2361</v>
      </c>
      <c r="J182" s="23">
        <v>2.909</v>
      </c>
      <c r="K182" s="23">
        <v>0.017</v>
      </c>
      <c r="L182" s="23">
        <v>98.368</v>
      </c>
      <c r="M182" s="23">
        <v>26.319</v>
      </c>
      <c r="N182" s="23">
        <v>79.203</v>
      </c>
      <c r="O182" s="23">
        <v>26.555</v>
      </c>
      <c r="P182" s="23">
        <v>58.506</v>
      </c>
      <c r="Q182" s="23">
        <v>23.797</v>
      </c>
      <c r="R182" s="23">
        <v>98.682</v>
      </c>
      <c r="S182" s="23">
        <v>26.08</v>
      </c>
      <c r="T182" s="23">
        <v>79.545</v>
      </c>
      <c r="U182" s="23">
        <v>26.45</v>
      </c>
      <c r="V182" s="23">
        <v>58.786</v>
      </c>
      <c r="W182" s="23">
        <v>23.787</v>
      </c>
      <c r="X182" s="23">
        <v>98.888</v>
      </c>
      <c r="Y182" s="23">
        <v>25.955</v>
      </c>
      <c r="Z182" s="23">
        <v>79.659</v>
      </c>
      <c r="AA182" s="23">
        <v>26.373</v>
      </c>
      <c r="AB182" s="23">
        <v>58.903</v>
      </c>
      <c r="AC182" s="23">
        <v>23.766</v>
      </c>
      <c r="AD182" s="22">
        <f t="shared" si="132"/>
        <v>98.646</v>
      </c>
      <c r="AE182" s="22">
        <f t="shared" ref="AE182:AI182" si="183">AVERAGE(M182,S182,Y182)</f>
        <v>26.118</v>
      </c>
      <c r="AF182" s="22">
        <f t="shared" si="183"/>
        <v>79.469</v>
      </c>
      <c r="AG182" s="22">
        <f t="shared" si="183"/>
        <v>26.45933333</v>
      </c>
      <c r="AH182" s="22">
        <f t="shared" si="183"/>
        <v>58.73166667</v>
      </c>
      <c r="AI182" s="22">
        <f t="shared" si="183"/>
        <v>23.78333333</v>
      </c>
      <c r="AJ182" s="22"/>
      <c r="AK182" s="22"/>
      <c r="AL182" s="22"/>
      <c r="AM182" s="22"/>
    </row>
    <row r="183">
      <c r="A183" s="13" t="s">
        <v>20</v>
      </c>
      <c r="B183" s="26">
        <v>45691.0</v>
      </c>
      <c r="C183" s="13" t="s">
        <v>21</v>
      </c>
      <c r="D183" s="13">
        <v>7.2</v>
      </c>
      <c r="E183" s="13" t="s">
        <v>22</v>
      </c>
      <c r="F183" s="13">
        <v>4.0</v>
      </c>
      <c r="G183" s="13" t="s">
        <v>26</v>
      </c>
      <c r="H183" s="23">
        <v>11.5334</v>
      </c>
      <c r="I183" s="23">
        <v>501.6517</v>
      </c>
      <c r="J183" s="23">
        <v>3.315</v>
      </c>
      <c r="K183" s="23">
        <v>0.038</v>
      </c>
      <c r="L183" s="23">
        <v>89.158</v>
      </c>
      <c r="M183" s="23">
        <v>21.383</v>
      </c>
      <c r="N183" s="23">
        <v>73.944</v>
      </c>
      <c r="O183" s="23">
        <v>22.162</v>
      </c>
      <c r="P183" s="23">
        <v>63.072</v>
      </c>
      <c r="Q183" s="23">
        <v>24.95</v>
      </c>
      <c r="R183" s="23">
        <v>89.138</v>
      </c>
      <c r="S183" s="23">
        <v>21.234</v>
      </c>
      <c r="T183" s="23">
        <v>73.898</v>
      </c>
      <c r="U183" s="23">
        <v>22.02</v>
      </c>
      <c r="V183" s="23">
        <v>62.905</v>
      </c>
      <c r="W183" s="23">
        <v>24.885</v>
      </c>
      <c r="X183" s="23">
        <v>88.876</v>
      </c>
      <c r="Y183" s="23">
        <v>21.231</v>
      </c>
      <c r="Z183" s="23">
        <v>73.551</v>
      </c>
      <c r="AA183" s="23">
        <v>21.908</v>
      </c>
      <c r="AB183" s="23">
        <v>62.811</v>
      </c>
      <c r="AC183" s="23">
        <v>24.816</v>
      </c>
      <c r="AD183" s="22">
        <f t="shared" si="132"/>
        <v>89.05733333</v>
      </c>
      <c r="AE183" s="22">
        <f t="shared" ref="AE183:AI183" si="184">AVERAGE(M183,S183,Y183)</f>
        <v>21.28266667</v>
      </c>
      <c r="AF183" s="22">
        <f t="shared" si="184"/>
        <v>73.79766667</v>
      </c>
      <c r="AG183" s="22">
        <f t="shared" si="184"/>
        <v>22.03</v>
      </c>
      <c r="AH183" s="22">
        <f t="shared" si="184"/>
        <v>62.92933333</v>
      </c>
      <c r="AI183" s="22">
        <f t="shared" si="184"/>
        <v>24.88366667</v>
      </c>
      <c r="AJ183" s="22"/>
      <c r="AK183" s="22"/>
      <c r="AL183" s="22"/>
      <c r="AM183" s="22"/>
    </row>
    <row r="184">
      <c r="A184" s="13" t="s">
        <v>20</v>
      </c>
      <c r="B184" s="26">
        <v>45691.0</v>
      </c>
      <c r="C184" s="13" t="s">
        <v>21</v>
      </c>
      <c r="D184" s="13">
        <v>7.3</v>
      </c>
      <c r="E184" s="13" t="s">
        <v>22</v>
      </c>
      <c r="F184" s="13">
        <v>4.0</v>
      </c>
      <c r="G184" s="13" t="s">
        <v>26</v>
      </c>
      <c r="H184" s="23">
        <v>13.561</v>
      </c>
      <c r="I184" s="23">
        <v>458.4063</v>
      </c>
      <c r="J184" s="23">
        <v>3.776</v>
      </c>
      <c r="K184" s="23">
        <v>0.037</v>
      </c>
      <c r="L184" s="23">
        <v>104.557</v>
      </c>
      <c r="M184" s="23">
        <v>25.018</v>
      </c>
      <c r="N184" s="23">
        <v>89.584</v>
      </c>
      <c r="O184" s="23">
        <v>29.225</v>
      </c>
      <c r="P184" s="23">
        <v>70.606</v>
      </c>
      <c r="Q184" s="23">
        <v>29.882</v>
      </c>
      <c r="R184" s="23">
        <v>104.12</v>
      </c>
      <c r="S184" s="23">
        <v>25.306</v>
      </c>
      <c r="T184" s="23">
        <v>89.285</v>
      </c>
      <c r="U184" s="23">
        <v>29.282</v>
      </c>
      <c r="V184" s="23">
        <v>70.265</v>
      </c>
      <c r="W184" s="23">
        <v>29.803</v>
      </c>
      <c r="X184" s="23">
        <v>104.406</v>
      </c>
      <c r="Y184" s="23">
        <v>25.034</v>
      </c>
      <c r="Z184" s="23">
        <v>89.433</v>
      </c>
      <c r="AA184" s="23">
        <v>29.192</v>
      </c>
      <c r="AB184" s="23">
        <v>70.278</v>
      </c>
      <c r="AC184" s="23">
        <v>29.783</v>
      </c>
      <c r="AD184" s="22">
        <f t="shared" si="132"/>
        <v>104.361</v>
      </c>
      <c r="AE184" s="22">
        <f t="shared" ref="AE184:AI184" si="185">AVERAGE(M184,S184,Y184)</f>
        <v>25.11933333</v>
      </c>
      <c r="AF184" s="22">
        <f t="shared" si="185"/>
        <v>89.434</v>
      </c>
      <c r="AG184" s="22">
        <f t="shared" si="185"/>
        <v>29.233</v>
      </c>
      <c r="AH184" s="22">
        <f t="shared" si="185"/>
        <v>70.383</v>
      </c>
      <c r="AI184" s="22">
        <f t="shared" si="185"/>
        <v>29.82266667</v>
      </c>
      <c r="AJ184" s="22"/>
      <c r="AK184" s="22"/>
      <c r="AL184" s="22"/>
      <c r="AM184" s="22"/>
    </row>
    <row r="185">
      <c r="A185" s="13" t="s">
        <v>20</v>
      </c>
      <c r="B185" s="26">
        <v>45691.0</v>
      </c>
      <c r="C185" s="13" t="s">
        <v>21</v>
      </c>
      <c r="D185" s="13">
        <v>7.4</v>
      </c>
      <c r="E185" s="13" t="s">
        <v>22</v>
      </c>
      <c r="F185" s="13">
        <v>4.0</v>
      </c>
      <c r="G185" s="13" t="s">
        <v>26</v>
      </c>
      <c r="H185" s="23">
        <v>11.9272</v>
      </c>
      <c r="I185" s="23">
        <v>495.6015</v>
      </c>
      <c r="J185" s="23">
        <v>3.707</v>
      </c>
      <c r="K185" s="23">
        <v>0.01</v>
      </c>
      <c r="L185" s="23">
        <v>136.15</v>
      </c>
      <c r="M185" s="23">
        <v>31.861</v>
      </c>
      <c r="N185" s="23">
        <v>114.927</v>
      </c>
      <c r="O185" s="23">
        <v>30.462</v>
      </c>
      <c r="P185" s="23">
        <v>82.975</v>
      </c>
      <c r="Q185" s="23">
        <v>25.227</v>
      </c>
      <c r="R185" s="23">
        <v>135.884</v>
      </c>
      <c r="S185" s="23">
        <v>31.84</v>
      </c>
      <c r="T185" s="23">
        <v>114.656</v>
      </c>
      <c r="U185" s="23">
        <v>30.427</v>
      </c>
      <c r="V185" s="23">
        <v>82.653</v>
      </c>
      <c r="W185" s="23">
        <v>25.163</v>
      </c>
      <c r="X185" s="23">
        <v>135.998</v>
      </c>
      <c r="Y185" s="23">
        <v>31.78</v>
      </c>
      <c r="Z185" s="23">
        <v>114.795</v>
      </c>
      <c r="AA185" s="23">
        <v>30.419</v>
      </c>
      <c r="AB185" s="23">
        <v>82.877</v>
      </c>
      <c r="AC185" s="23">
        <v>25.303</v>
      </c>
      <c r="AD185" s="22">
        <f t="shared" si="132"/>
        <v>136.0106667</v>
      </c>
      <c r="AE185" s="22">
        <f t="shared" ref="AE185:AI185" si="186">AVERAGE(M185,S185,Y185)</f>
        <v>31.827</v>
      </c>
      <c r="AF185" s="22">
        <f t="shared" si="186"/>
        <v>114.7926667</v>
      </c>
      <c r="AG185" s="22">
        <f t="shared" si="186"/>
        <v>30.436</v>
      </c>
      <c r="AH185" s="22">
        <f t="shared" si="186"/>
        <v>82.835</v>
      </c>
      <c r="AI185" s="22">
        <f t="shared" si="186"/>
        <v>25.231</v>
      </c>
      <c r="AJ185" s="22"/>
      <c r="AK185" s="22"/>
      <c r="AL185" s="22"/>
      <c r="AM185" s="22"/>
    </row>
    <row r="186">
      <c r="A186" s="13" t="s">
        <v>20</v>
      </c>
      <c r="B186" s="26">
        <v>45691.0</v>
      </c>
      <c r="C186" s="13" t="s">
        <v>21</v>
      </c>
      <c r="D186" s="13">
        <v>8.1</v>
      </c>
      <c r="E186" s="13" t="s">
        <v>22</v>
      </c>
      <c r="F186" s="13">
        <v>4.0</v>
      </c>
      <c r="G186" s="13" t="s">
        <v>26</v>
      </c>
      <c r="H186" s="23">
        <v>12.8026</v>
      </c>
      <c r="I186" s="23">
        <v>448.8578</v>
      </c>
      <c r="J186" s="23">
        <v>3.631</v>
      </c>
      <c r="K186" s="23">
        <v>0.031</v>
      </c>
      <c r="L186" s="23">
        <v>103.695</v>
      </c>
      <c r="M186" s="23">
        <v>25.385</v>
      </c>
      <c r="N186" s="23">
        <v>85.475</v>
      </c>
      <c r="O186" s="23">
        <v>26.726</v>
      </c>
      <c r="P186" s="23">
        <v>70.333</v>
      </c>
      <c r="Q186" s="23">
        <v>25.323</v>
      </c>
      <c r="R186" s="23">
        <v>103.511</v>
      </c>
      <c r="S186" s="23">
        <v>25.48</v>
      </c>
      <c r="T186" s="23">
        <v>85.203</v>
      </c>
      <c r="U186" s="23">
        <v>26.696</v>
      </c>
      <c r="V186" s="23">
        <v>70.02</v>
      </c>
      <c r="W186" s="23">
        <v>25.089</v>
      </c>
      <c r="X186" s="23">
        <v>103.439</v>
      </c>
      <c r="Y186" s="23">
        <v>25.494</v>
      </c>
      <c r="Z186" s="23">
        <v>85.29</v>
      </c>
      <c r="AA186" s="23">
        <v>26.708</v>
      </c>
      <c r="AB186" s="23">
        <v>70.075</v>
      </c>
      <c r="AC186" s="23">
        <v>25.111</v>
      </c>
      <c r="AD186" s="22">
        <f t="shared" si="132"/>
        <v>103.5483333</v>
      </c>
      <c r="AE186" s="22">
        <f t="shared" ref="AE186:AI186" si="187">AVERAGE(M186,S186,Y186)</f>
        <v>25.453</v>
      </c>
      <c r="AF186" s="22">
        <f t="shared" si="187"/>
        <v>85.32266667</v>
      </c>
      <c r="AG186" s="22">
        <f t="shared" si="187"/>
        <v>26.71</v>
      </c>
      <c r="AH186" s="22">
        <f t="shared" si="187"/>
        <v>70.14266667</v>
      </c>
      <c r="AI186" s="22">
        <f t="shared" si="187"/>
        <v>25.17433333</v>
      </c>
      <c r="AJ186" s="22"/>
      <c r="AK186" s="22"/>
      <c r="AL186" s="22"/>
      <c r="AM186" s="22"/>
    </row>
    <row r="187">
      <c r="A187" s="13" t="s">
        <v>20</v>
      </c>
      <c r="B187" s="26">
        <v>45691.0</v>
      </c>
      <c r="C187" s="13" t="s">
        <v>21</v>
      </c>
      <c r="D187" s="13">
        <v>8.2</v>
      </c>
      <c r="E187" s="13" t="s">
        <v>22</v>
      </c>
      <c r="F187" s="13">
        <v>4.0</v>
      </c>
      <c r="G187" s="13" t="s">
        <v>26</v>
      </c>
      <c r="H187" s="23">
        <v>11.6746</v>
      </c>
      <c r="I187" s="23">
        <v>478.806</v>
      </c>
      <c r="J187" s="23">
        <v>3.088</v>
      </c>
      <c r="K187" s="23">
        <v>0.009</v>
      </c>
      <c r="L187" s="23">
        <v>105.028</v>
      </c>
      <c r="M187" s="23">
        <v>27.193</v>
      </c>
      <c r="N187" s="23">
        <v>82.498</v>
      </c>
      <c r="O187" s="23">
        <v>27.077</v>
      </c>
      <c r="P187" s="23">
        <v>63.525</v>
      </c>
      <c r="Q187" s="23">
        <v>25.278</v>
      </c>
      <c r="R187" s="23">
        <v>104.87</v>
      </c>
      <c r="S187" s="23">
        <v>26.903</v>
      </c>
      <c r="T187" s="23">
        <v>82.228</v>
      </c>
      <c r="U187" s="23">
        <v>26.672</v>
      </c>
      <c r="V187" s="23">
        <v>63.294</v>
      </c>
      <c r="W187" s="23">
        <v>25.121</v>
      </c>
      <c r="X187" s="23">
        <v>104.841</v>
      </c>
      <c r="Y187" s="23">
        <v>26.919</v>
      </c>
      <c r="Z187" s="23">
        <v>82.276</v>
      </c>
      <c r="AA187" s="23">
        <v>26.777</v>
      </c>
      <c r="AB187" s="23">
        <v>63.144</v>
      </c>
      <c r="AC187" s="23">
        <v>25.264</v>
      </c>
      <c r="AD187" s="22">
        <f t="shared" si="132"/>
        <v>104.913</v>
      </c>
      <c r="AE187" s="22">
        <f t="shared" ref="AE187:AI187" si="188">AVERAGE(M187,S187,Y187)</f>
        <v>27.005</v>
      </c>
      <c r="AF187" s="22">
        <f t="shared" si="188"/>
        <v>82.334</v>
      </c>
      <c r="AG187" s="22">
        <f t="shared" si="188"/>
        <v>26.842</v>
      </c>
      <c r="AH187" s="22">
        <f t="shared" si="188"/>
        <v>63.321</v>
      </c>
      <c r="AI187" s="22">
        <f t="shared" si="188"/>
        <v>25.221</v>
      </c>
      <c r="AJ187" s="22"/>
      <c r="AK187" s="22"/>
      <c r="AL187" s="22"/>
      <c r="AM187" s="22"/>
    </row>
    <row r="188">
      <c r="A188" s="13" t="s">
        <v>20</v>
      </c>
      <c r="B188" s="26">
        <v>45691.0</v>
      </c>
      <c r="C188" s="13" t="s">
        <v>21</v>
      </c>
      <c r="D188" s="13">
        <v>8.3</v>
      </c>
      <c r="E188" s="13" t="s">
        <v>22</v>
      </c>
      <c r="F188" s="13">
        <v>4.0</v>
      </c>
      <c r="G188" s="13" t="s">
        <v>26</v>
      </c>
      <c r="H188" s="23">
        <v>11.9464</v>
      </c>
      <c r="I188" s="23">
        <v>450.0256</v>
      </c>
      <c r="J188" s="23">
        <v>3.765</v>
      </c>
      <c r="K188" s="23">
        <v>0.015</v>
      </c>
      <c r="L188" s="23">
        <v>114.614</v>
      </c>
      <c r="M188" s="23">
        <v>22.912</v>
      </c>
      <c r="N188" s="23">
        <v>93.909</v>
      </c>
      <c r="O188" s="23">
        <v>24.779</v>
      </c>
      <c r="P188" s="23">
        <v>82.45</v>
      </c>
      <c r="Q188" s="23">
        <v>25.728</v>
      </c>
      <c r="R188" s="23">
        <v>114.545</v>
      </c>
      <c r="S188" s="23">
        <v>22.716</v>
      </c>
      <c r="T188" s="23">
        <v>93.839</v>
      </c>
      <c r="U188" s="23">
        <v>24.627</v>
      </c>
      <c r="V188" s="23">
        <v>82.311</v>
      </c>
      <c r="W188" s="23">
        <v>25.651</v>
      </c>
      <c r="X188" s="23">
        <v>114.504</v>
      </c>
      <c r="Y188" s="23">
        <v>22.88</v>
      </c>
      <c r="Z188" s="23">
        <v>93.852</v>
      </c>
      <c r="AA188" s="23">
        <v>24.701</v>
      </c>
      <c r="AB188" s="23">
        <v>82.441</v>
      </c>
      <c r="AC188" s="23">
        <v>25.598</v>
      </c>
      <c r="AD188" s="22">
        <f t="shared" si="132"/>
        <v>114.5543333</v>
      </c>
      <c r="AE188" s="22">
        <f t="shared" ref="AE188:AI188" si="189">AVERAGE(M188,S188,Y188)</f>
        <v>22.836</v>
      </c>
      <c r="AF188" s="22">
        <f t="shared" si="189"/>
        <v>93.86666667</v>
      </c>
      <c r="AG188" s="22">
        <f t="shared" si="189"/>
        <v>24.70233333</v>
      </c>
      <c r="AH188" s="22">
        <f t="shared" si="189"/>
        <v>82.40066667</v>
      </c>
      <c r="AI188" s="22">
        <f t="shared" si="189"/>
        <v>25.659</v>
      </c>
      <c r="AJ188" s="22"/>
      <c r="AK188" s="22"/>
      <c r="AL188" s="22"/>
      <c r="AM188" s="22"/>
    </row>
    <row r="189">
      <c r="A189" s="13" t="s">
        <v>20</v>
      </c>
      <c r="B189" s="26">
        <v>45691.0</v>
      </c>
      <c r="C189" s="13" t="s">
        <v>21</v>
      </c>
      <c r="D189" s="13">
        <v>8.4</v>
      </c>
      <c r="E189" s="13" t="s">
        <v>22</v>
      </c>
      <c r="F189" s="13">
        <v>4.0</v>
      </c>
      <c r="G189" s="13" t="s">
        <v>26</v>
      </c>
      <c r="H189" s="23">
        <v>10.4982</v>
      </c>
      <c r="I189" s="23">
        <v>484.8</v>
      </c>
      <c r="J189" s="23">
        <v>2.672</v>
      </c>
      <c r="K189" s="23">
        <v>0.029</v>
      </c>
      <c r="L189" s="23">
        <v>139.764</v>
      </c>
      <c r="M189" s="23">
        <v>34.399</v>
      </c>
      <c r="N189" s="23">
        <v>117.079</v>
      </c>
      <c r="O189" s="23">
        <v>34.955</v>
      </c>
      <c r="P189" s="23">
        <v>79.142</v>
      </c>
      <c r="Q189" s="23">
        <v>37.0</v>
      </c>
      <c r="R189" s="23">
        <v>140.48</v>
      </c>
      <c r="S189" s="23">
        <v>33.825</v>
      </c>
      <c r="T189" s="23">
        <v>117.658</v>
      </c>
      <c r="U189" s="23">
        <v>34.536</v>
      </c>
      <c r="V189" s="23">
        <v>79.46</v>
      </c>
      <c r="W189" s="23">
        <v>36.913</v>
      </c>
      <c r="X189" s="23">
        <v>139.776</v>
      </c>
      <c r="Y189" s="23">
        <v>34.346</v>
      </c>
      <c r="Z189" s="23">
        <v>117.081</v>
      </c>
      <c r="AA189" s="23">
        <v>34.949</v>
      </c>
      <c r="AB189" s="23">
        <v>78.945</v>
      </c>
      <c r="AC189" s="23">
        <v>37.095</v>
      </c>
      <c r="AD189" s="22">
        <f t="shared" si="132"/>
        <v>140.0066667</v>
      </c>
      <c r="AE189" s="22">
        <f t="shared" ref="AE189:AI189" si="190">AVERAGE(M189,S189,Y189)</f>
        <v>34.19</v>
      </c>
      <c r="AF189" s="22">
        <f t="shared" si="190"/>
        <v>117.2726667</v>
      </c>
      <c r="AG189" s="22">
        <f t="shared" si="190"/>
        <v>34.81333333</v>
      </c>
      <c r="AH189" s="22">
        <f t="shared" si="190"/>
        <v>79.18233333</v>
      </c>
      <c r="AI189" s="22">
        <f t="shared" si="190"/>
        <v>37.00266667</v>
      </c>
      <c r="AJ189" s="22"/>
      <c r="AK189" s="22"/>
      <c r="AL189" s="22"/>
      <c r="AM189" s="22"/>
    </row>
    <row r="190">
      <c r="A190" s="13" t="s">
        <v>20</v>
      </c>
      <c r="B190" s="26">
        <v>45691.0</v>
      </c>
      <c r="C190" s="13" t="s">
        <v>21</v>
      </c>
      <c r="D190" s="13">
        <v>9.1</v>
      </c>
      <c r="E190" s="13" t="s">
        <v>22</v>
      </c>
      <c r="F190" s="13">
        <v>4.0</v>
      </c>
      <c r="G190" s="13" t="s">
        <v>26</v>
      </c>
      <c r="H190" s="23">
        <v>11.1874</v>
      </c>
      <c r="I190" s="23">
        <v>471.6137</v>
      </c>
      <c r="J190" s="23">
        <v>2.412</v>
      </c>
      <c r="K190" s="23">
        <v>0.024</v>
      </c>
      <c r="L190" s="23">
        <v>135.48</v>
      </c>
      <c r="M190" s="23">
        <v>30.935</v>
      </c>
      <c r="N190" s="23">
        <v>101.643</v>
      </c>
      <c r="O190" s="23">
        <v>28.196</v>
      </c>
      <c r="P190" s="23">
        <v>73.326</v>
      </c>
      <c r="Q190" s="23">
        <v>28.715</v>
      </c>
      <c r="R190" s="23">
        <v>135.428</v>
      </c>
      <c r="S190" s="23">
        <v>30.919</v>
      </c>
      <c r="T190" s="23">
        <v>101.291</v>
      </c>
      <c r="U190" s="23">
        <v>28.108</v>
      </c>
      <c r="V190" s="23">
        <v>72.714</v>
      </c>
      <c r="W190" s="23">
        <v>28.694</v>
      </c>
      <c r="X190" s="23">
        <v>136.493</v>
      </c>
      <c r="Y190" s="23">
        <v>29.779</v>
      </c>
      <c r="Z190" s="23">
        <v>102.158</v>
      </c>
      <c r="AA190" s="23">
        <v>27.514</v>
      </c>
      <c r="AB190" s="23">
        <v>73.515</v>
      </c>
      <c r="AC190" s="23">
        <v>28.378</v>
      </c>
      <c r="AD190" s="22">
        <f t="shared" si="132"/>
        <v>135.8003333</v>
      </c>
      <c r="AE190" s="22">
        <f t="shared" ref="AE190:AI190" si="191">AVERAGE(M190,S190,Y190)</f>
        <v>30.54433333</v>
      </c>
      <c r="AF190" s="22">
        <f t="shared" si="191"/>
        <v>101.6973333</v>
      </c>
      <c r="AG190" s="22">
        <f t="shared" si="191"/>
        <v>27.93933333</v>
      </c>
      <c r="AH190" s="22">
        <f t="shared" si="191"/>
        <v>73.185</v>
      </c>
      <c r="AI190" s="22">
        <f t="shared" si="191"/>
        <v>28.59566667</v>
      </c>
      <c r="AJ190" s="22"/>
      <c r="AK190" s="22"/>
      <c r="AL190" s="22"/>
      <c r="AM190" s="22"/>
    </row>
    <row r="191">
      <c r="A191" s="13" t="s">
        <v>20</v>
      </c>
      <c r="B191" s="26">
        <v>45691.0</v>
      </c>
      <c r="C191" s="13" t="s">
        <v>21</v>
      </c>
      <c r="D191" s="13">
        <v>9.2</v>
      </c>
      <c r="E191" s="13" t="s">
        <v>22</v>
      </c>
      <c r="F191" s="13">
        <v>4.0</v>
      </c>
      <c r="G191" s="13" t="s">
        <v>26</v>
      </c>
      <c r="H191" s="23">
        <v>10.0842</v>
      </c>
      <c r="I191" s="23">
        <v>444.0</v>
      </c>
      <c r="J191" s="23">
        <v>2.266</v>
      </c>
      <c r="K191" s="23">
        <v>0.028</v>
      </c>
      <c r="L191" s="23">
        <v>121.174</v>
      </c>
      <c r="M191" s="23">
        <v>27.389</v>
      </c>
      <c r="N191" s="23">
        <v>85.502</v>
      </c>
      <c r="O191" s="23">
        <v>25.273</v>
      </c>
      <c r="P191" s="23">
        <v>58.359</v>
      </c>
      <c r="Q191" s="23">
        <v>27.454</v>
      </c>
      <c r="R191" s="23">
        <v>121.448</v>
      </c>
      <c r="S191" s="23">
        <v>27.171</v>
      </c>
      <c r="T191" s="23">
        <v>85.392</v>
      </c>
      <c r="U191" s="23">
        <v>24.996</v>
      </c>
      <c r="V191" s="23">
        <v>58.105</v>
      </c>
      <c r="W191" s="23">
        <v>27.243</v>
      </c>
      <c r="X191" s="23">
        <v>121.266</v>
      </c>
      <c r="Y191" s="23">
        <v>27.121</v>
      </c>
      <c r="Z191" s="23">
        <v>85.206</v>
      </c>
      <c r="AA191" s="23">
        <v>24.861</v>
      </c>
      <c r="AB191" s="23">
        <v>57.892</v>
      </c>
      <c r="AC191" s="23">
        <v>27.162</v>
      </c>
      <c r="AD191" s="22">
        <f t="shared" si="132"/>
        <v>121.296</v>
      </c>
      <c r="AE191" s="22">
        <f t="shared" ref="AE191:AI191" si="192">AVERAGE(M191,S191,Y191)</f>
        <v>27.227</v>
      </c>
      <c r="AF191" s="22">
        <f t="shared" si="192"/>
        <v>85.36666667</v>
      </c>
      <c r="AG191" s="22">
        <f t="shared" si="192"/>
        <v>25.04333333</v>
      </c>
      <c r="AH191" s="22">
        <f t="shared" si="192"/>
        <v>58.11866667</v>
      </c>
      <c r="AI191" s="22">
        <f t="shared" si="192"/>
        <v>27.28633333</v>
      </c>
      <c r="AJ191" s="22"/>
      <c r="AK191" s="22"/>
      <c r="AL191" s="22"/>
      <c r="AM191" s="22"/>
    </row>
    <row r="192">
      <c r="A192" s="13" t="s">
        <v>20</v>
      </c>
      <c r="B192" s="26">
        <v>45691.0</v>
      </c>
      <c r="C192" s="13" t="s">
        <v>21</v>
      </c>
      <c r="D192" s="13">
        <v>9.3</v>
      </c>
      <c r="E192" s="13" t="s">
        <v>22</v>
      </c>
      <c r="F192" s="13">
        <v>4.0</v>
      </c>
      <c r="G192" s="13" t="s">
        <v>26</v>
      </c>
      <c r="H192" s="23">
        <v>11.7155</v>
      </c>
      <c r="I192" s="23">
        <v>470.4245</v>
      </c>
      <c r="J192" s="23">
        <v>2.733</v>
      </c>
      <c r="K192" s="23">
        <v>0.023</v>
      </c>
      <c r="L192" s="23">
        <v>122.196</v>
      </c>
      <c r="M192" s="23">
        <v>32.069</v>
      </c>
      <c r="N192" s="23">
        <v>88.959</v>
      </c>
      <c r="O192" s="23">
        <v>28.036</v>
      </c>
      <c r="P192" s="23">
        <v>69.341</v>
      </c>
      <c r="Q192" s="23">
        <v>29.036</v>
      </c>
      <c r="R192" s="23">
        <v>122.422</v>
      </c>
      <c r="S192" s="23">
        <v>31.898</v>
      </c>
      <c r="T192" s="23">
        <v>89.089</v>
      </c>
      <c r="U192" s="23">
        <v>28.004</v>
      </c>
      <c r="V192" s="23">
        <v>69.597</v>
      </c>
      <c r="W192" s="23">
        <v>29.034</v>
      </c>
      <c r="X192" s="23">
        <v>123.369</v>
      </c>
      <c r="Y192" s="23">
        <v>31.193</v>
      </c>
      <c r="Z192" s="23">
        <v>89.529</v>
      </c>
      <c r="AA192" s="23">
        <v>27.668</v>
      </c>
      <c r="AB192" s="23">
        <v>69.908</v>
      </c>
      <c r="AC192" s="23">
        <v>28.991</v>
      </c>
      <c r="AD192" s="22">
        <f t="shared" si="132"/>
        <v>122.6623333</v>
      </c>
      <c r="AE192" s="22">
        <f t="shared" ref="AE192:AI192" si="193">AVERAGE(M192,S192,Y192)</f>
        <v>31.72</v>
      </c>
      <c r="AF192" s="22">
        <f t="shared" si="193"/>
        <v>89.19233333</v>
      </c>
      <c r="AG192" s="22">
        <f t="shared" si="193"/>
        <v>27.90266667</v>
      </c>
      <c r="AH192" s="22">
        <f t="shared" si="193"/>
        <v>69.61533333</v>
      </c>
      <c r="AI192" s="22">
        <f t="shared" si="193"/>
        <v>29.02033333</v>
      </c>
      <c r="AJ192" s="22"/>
      <c r="AK192" s="22"/>
      <c r="AL192" s="22"/>
      <c r="AM192" s="22"/>
    </row>
    <row r="193">
      <c r="A193" s="13" t="s">
        <v>20</v>
      </c>
      <c r="B193" s="26">
        <v>45691.0</v>
      </c>
      <c r="C193" s="13" t="s">
        <v>21</v>
      </c>
      <c r="D193" s="13">
        <v>9.4</v>
      </c>
      <c r="E193" s="13" t="s">
        <v>22</v>
      </c>
      <c r="F193" s="13">
        <v>4.0</v>
      </c>
      <c r="G193" s="13" t="s">
        <v>26</v>
      </c>
      <c r="H193" s="23">
        <v>11.2649</v>
      </c>
      <c r="I193" s="23">
        <v>508.8014</v>
      </c>
      <c r="J193" s="23">
        <v>3.123</v>
      </c>
      <c r="K193" s="23">
        <v>0.027</v>
      </c>
      <c r="L193" s="23">
        <v>160.135</v>
      </c>
      <c r="M193" s="23">
        <v>28.738</v>
      </c>
      <c r="N193" s="23">
        <v>130.555</v>
      </c>
      <c r="O193" s="23">
        <v>27.432</v>
      </c>
      <c r="P193" s="23">
        <v>91.534</v>
      </c>
      <c r="Q193" s="23">
        <v>24.988</v>
      </c>
      <c r="R193" s="23">
        <v>159.898</v>
      </c>
      <c r="S193" s="23">
        <v>28.723</v>
      </c>
      <c r="T193" s="23">
        <v>130.48</v>
      </c>
      <c r="U193" s="23">
        <v>27.362</v>
      </c>
      <c r="V193" s="23">
        <v>91.567</v>
      </c>
      <c r="W193" s="23">
        <v>24.986</v>
      </c>
      <c r="X193" s="23">
        <v>160.486</v>
      </c>
      <c r="Y193" s="23">
        <v>28.098</v>
      </c>
      <c r="Z193" s="23">
        <v>130.911</v>
      </c>
      <c r="AA193" s="23">
        <v>26.896</v>
      </c>
      <c r="AB193" s="23">
        <v>91.801</v>
      </c>
      <c r="AC193" s="23">
        <v>24.661</v>
      </c>
      <c r="AD193" s="22">
        <f t="shared" si="132"/>
        <v>160.173</v>
      </c>
      <c r="AE193" s="22">
        <f t="shared" ref="AE193:AI193" si="194">AVERAGE(M193,S193,Y193)</f>
        <v>28.51966667</v>
      </c>
      <c r="AF193" s="22">
        <f t="shared" si="194"/>
        <v>130.6486667</v>
      </c>
      <c r="AG193" s="22">
        <f t="shared" si="194"/>
        <v>27.23</v>
      </c>
      <c r="AH193" s="22">
        <f t="shared" si="194"/>
        <v>91.634</v>
      </c>
      <c r="AI193" s="22">
        <f t="shared" si="194"/>
        <v>24.87833333</v>
      </c>
      <c r="AJ193" s="22"/>
      <c r="AK193" s="22"/>
      <c r="AL193" s="22"/>
      <c r="AM193" s="22"/>
    </row>
    <row r="194">
      <c r="A194" s="13" t="s">
        <v>20</v>
      </c>
      <c r="B194" s="26">
        <v>45691.0</v>
      </c>
      <c r="C194" s="13" t="s">
        <v>24</v>
      </c>
      <c r="D194" s="13">
        <v>7.1</v>
      </c>
      <c r="E194" s="13" t="s">
        <v>22</v>
      </c>
      <c r="F194" s="13">
        <v>4.0</v>
      </c>
      <c r="G194" s="13" t="s">
        <v>26</v>
      </c>
      <c r="H194" s="23">
        <v>11.4759</v>
      </c>
      <c r="I194" s="23">
        <v>531.6339</v>
      </c>
      <c r="J194" s="23">
        <v>5.126</v>
      </c>
      <c r="K194" s="23">
        <v>0.008</v>
      </c>
      <c r="L194" s="23">
        <v>148.965</v>
      </c>
      <c r="M194" s="23">
        <v>24.445</v>
      </c>
      <c r="N194" s="23">
        <v>122.875</v>
      </c>
      <c r="O194" s="23">
        <v>23.2944</v>
      </c>
      <c r="P194" s="23">
        <v>95.715</v>
      </c>
      <c r="Q194" s="23">
        <v>23.308</v>
      </c>
      <c r="R194" s="23">
        <v>149.144</v>
      </c>
      <c r="S194" s="23">
        <v>24.36</v>
      </c>
      <c r="T194" s="23">
        <v>122.967</v>
      </c>
      <c r="U194" s="23">
        <v>23.335</v>
      </c>
      <c r="V194" s="23">
        <v>95.766</v>
      </c>
      <c r="W194" s="23">
        <v>23.396</v>
      </c>
      <c r="X194" s="23">
        <v>148.49</v>
      </c>
      <c r="Y194" s="23">
        <v>25.151</v>
      </c>
      <c r="Z194" s="23">
        <v>122.57</v>
      </c>
      <c r="AA194" s="23">
        <v>23.772</v>
      </c>
      <c r="AB194" s="23">
        <v>95.53</v>
      </c>
      <c r="AC194" s="23">
        <v>23.593</v>
      </c>
      <c r="AD194" s="22">
        <f t="shared" si="132"/>
        <v>148.8663333</v>
      </c>
      <c r="AE194" s="22">
        <f t="shared" ref="AE194:AI194" si="195">AVERAGE(M194,S194,Y194)</f>
        <v>24.652</v>
      </c>
      <c r="AF194" s="22">
        <f t="shared" si="195"/>
        <v>122.804</v>
      </c>
      <c r="AG194" s="22">
        <f t="shared" si="195"/>
        <v>23.46713333</v>
      </c>
      <c r="AH194" s="22">
        <f t="shared" si="195"/>
        <v>95.67033333</v>
      </c>
      <c r="AI194" s="22">
        <f t="shared" si="195"/>
        <v>23.43233333</v>
      </c>
      <c r="AJ194" s="22"/>
      <c r="AK194" s="22"/>
      <c r="AL194" s="22"/>
      <c r="AM194" s="22"/>
    </row>
    <row r="195">
      <c r="A195" s="13" t="s">
        <v>20</v>
      </c>
      <c r="B195" s="26">
        <v>45691.0</v>
      </c>
      <c r="C195" s="13" t="s">
        <v>24</v>
      </c>
      <c r="D195" s="13">
        <v>7.2</v>
      </c>
      <c r="E195" s="13" t="s">
        <v>22</v>
      </c>
      <c r="F195" s="13">
        <v>4.0</v>
      </c>
      <c r="G195" s="13" t="s">
        <v>26</v>
      </c>
      <c r="H195" s="23">
        <v>11.695</v>
      </c>
      <c r="I195" s="23">
        <v>514.8224</v>
      </c>
      <c r="J195" s="23">
        <v>5.0</v>
      </c>
      <c r="K195" s="23">
        <v>0.048</v>
      </c>
      <c r="L195" s="23">
        <v>145.818</v>
      </c>
      <c r="M195" s="23">
        <v>25.31</v>
      </c>
      <c r="N195" s="23">
        <v>114.591</v>
      </c>
      <c r="O195" s="23">
        <v>22.865</v>
      </c>
      <c r="P195" s="23">
        <v>81.024</v>
      </c>
      <c r="Q195" s="23">
        <v>20.93</v>
      </c>
      <c r="R195" s="23">
        <v>145.98</v>
      </c>
      <c r="S195" s="23">
        <v>25.239</v>
      </c>
      <c r="T195" s="23">
        <v>114.844</v>
      </c>
      <c r="U195" s="23">
        <v>22.972</v>
      </c>
      <c r="V195" s="23">
        <v>81.307</v>
      </c>
      <c r="W195" s="23">
        <v>21.144</v>
      </c>
      <c r="X195" s="23">
        <v>145.893</v>
      </c>
      <c r="Y195" s="23">
        <v>25.08</v>
      </c>
      <c r="Z195" s="23">
        <v>114.585</v>
      </c>
      <c r="AA195" s="23">
        <v>22.608</v>
      </c>
      <c r="AB195" s="23">
        <v>81.012</v>
      </c>
      <c r="AC195" s="23">
        <v>20.739</v>
      </c>
      <c r="AD195" s="22">
        <f t="shared" si="132"/>
        <v>145.897</v>
      </c>
      <c r="AE195" s="22">
        <f t="shared" ref="AE195:AI195" si="196">AVERAGE(M195,S195,Y195)</f>
        <v>25.20966667</v>
      </c>
      <c r="AF195" s="22">
        <f t="shared" si="196"/>
        <v>114.6733333</v>
      </c>
      <c r="AG195" s="22">
        <f t="shared" si="196"/>
        <v>22.815</v>
      </c>
      <c r="AH195" s="22">
        <f t="shared" si="196"/>
        <v>81.11433333</v>
      </c>
      <c r="AI195" s="22">
        <f t="shared" si="196"/>
        <v>20.93766667</v>
      </c>
      <c r="AJ195" s="22"/>
      <c r="AK195" s="22"/>
      <c r="AL195" s="22"/>
      <c r="AM195" s="22"/>
    </row>
    <row r="196">
      <c r="A196" s="13" t="s">
        <v>20</v>
      </c>
      <c r="B196" s="26">
        <v>45691.0</v>
      </c>
      <c r="C196" s="13" t="s">
        <v>24</v>
      </c>
      <c r="D196" s="13">
        <v>7.3</v>
      </c>
      <c r="E196" s="13" t="s">
        <v>22</v>
      </c>
      <c r="F196" s="13">
        <v>4.0</v>
      </c>
      <c r="G196" s="13" t="s">
        <v>26</v>
      </c>
      <c r="H196" s="23">
        <v>12.9366</v>
      </c>
      <c r="I196" s="23">
        <v>535.2013</v>
      </c>
      <c r="J196" s="23">
        <v>5.751</v>
      </c>
      <c r="K196" s="23">
        <v>0.034</v>
      </c>
      <c r="L196" s="23">
        <v>142.865</v>
      </c>
      <c r="M196" s="23">
        <v>22.969</v>
      </c>
      <c r="N196" s="23">
        <v>113.487</v>
      </c>
      <c r="O196" s="23">
        <v>21.378</v>
      </c>
      <c r="P196" s="23">
        <v>80.014</v>
      </c>
      <c r="Q196" s="23">
        <v>19.477</v>
      </c>
      <c r="R196" s="23">
        <v>142.679</v>
      </c>
      <c r="S196" s="23">
        <v>23.135</v>
      </c>
      <c r="T196" s="23">
        <v>113.281</v>
      </c>
      <c r="U196" s="23">
        <v>21.371</v>
      </c>
      <c r="V196" s="23">
        <v>79.792</v>
      </c>
      <c r="W196" s="23">
        <v>19.488</v>
      </c>
      <c r="X196" s="23">
        <v>143.225</v>
      </c>
      <c r="Y196" s="23">
        <v>22.509</v>
      </c>
      <c r="Z196" s="23">
        <v>113.634</v>
      </c>
      <c r="AA196" s="23">
        <v>21.084</v>
      </c>
      <c r="AB196" s="23">
        <v>80.06</v>
      </c>
      <c r="AC196" s="23">
        <v>19.306</v>
      </c>
      <c r="AD196" s="22">
        <f t="shared" si="132"/>
        <v>142.923</v>
      </c>
      <c r="AE196" s="22">
        <f t="shared" ref="AE196:AI196" si="197">AVERAGE(M196,S196,Y196)</f>
        <v>22.871</v>
      </c>
      <c r="AF196" s="22">
        <f t="shared" si="197"/>
        <v>113.4673333</v>
      </c>
      <c r="AG196" s="22">
        <f t="shared" si="197"/>
        <v>21.27766667</v>
      </c>
      <c r="AH196" s="22">
        <f t="shared" si="197"/>
        <v>79.95533333</v>
      </c>
      <c r="AI196" s="22">
        <f t="shared" si="197"/>
        <v>19.42366667</v>
      </c>
      <c r="AJ196" s="22"/>
      <c r="AK196" s="22"/>
      <c r="AL196" s="22"/>
      <c r="AM196" s="22"/>
    </row>
    <row r="197">
      <c r="A197" s="13" t="s">
        <v>20</v>
      </c>
      <c r="B197" s="26">
        <v>45691.0</v>
      </c>
      <c r="C197" s="13" t="s">
        <v>24</v>
      </c>
      <c r="D197" s="13">
        <v>7.4</v>
      </c>
      <c r="E197" s="13" t="s">
        <v>22</v>
      </c>
      <c r="F197" s="13">
        <v>4.0</v>
      </c>
      <c r="G197" s="13" t="s">
        <v>26</v>
      </c>
      <c r="H197" s="23">
        <v>11.4302</v>
      </c>
      <c r="I197" s="23">
        <v>487.2015</v>
      </c>
      <c r="J197" s="23">
        <v>4.781</v>
      </c>
      <c r="K197" s="23">
        <v>0.048</v>
      </c>
      <c r="L197" s="23">
        <v>171.933</v>
      </c>
      <c r="M197" s="23">
        <v>29.643</v>
      </c>
      <c r="N197" s="23">
        <v>136.237</v>
      </c>
      <c r="O197" s="23">
        <v>24.989</v>
      </c>
      <c r="P197" s="23">
        <v>88.798</v>
      </c>
      <c r="Q197" s="23">
        <v>19.057</v>
      </c>
      <c r="R197" s="23">
        <v>173.516</v>
      </c>
      <c r="S197" s="23">
        <v>27.796</v>
      </c>
      <c r="T197" s="23">
        <v>137.037</v>
      </c>
      <c r="U197" s="23">
        <v>24.127</v>
      </c>
      <c r="V197" s="23">
        <v>88.862</v>
      </c>
      <c r="W197" s="23">
        <v>18.821</v>
      </c>
      <c r="X197" s="23">
        <v>172.551</v>
      </c>
      <c r="Y197" s="23">
        <v>28.816</v>
      </c>
      <c r="Z197" s="23">
        <v>136.489</v>
      </c>
      <c r="AA197" s="23">
        <v>24.552</v>
      </c>
      <c r="AB197" s="23">
        <v>88.671</v>
      </c>
      <c r="AC197" s="23">
        <v>19.054</v>
      </c>
      <c r="AD197" s="22">
        <f t="shared" si="132"/>
        <v>172.6666667</v>
      </c>
      <c r="AE197" s="22">
        <f t="shared" ref="AE197:AI197" si="198">AVERAGE(M197,S197,Y197)</f>
        <v>28.75166667</v>
      </c>
      <c r="AF197" s="22">
        <f t="shared" si="198"/>
        <v>136.5876667</v>
      </c>
      <c r="AG197" s="22">
        <f t="shared" si="198"/>
        <v>24.556</v>
      </c>
      <c r="AH197" s="22">
        <f t="shared" si="198"/>
        <v>88.777</v>
      </c>
      <c r="AI197" s="22">
        <f t="shared" si="198"/>
        <v>18.97733333</v>
      </c>
      <c r="AJ197" s="22"/>
      <c r="AK197" s="22"/>
      <c r="AL197" s="22"/>
      <c r="AM197" s="22"/>
    </row>
    <row r="198">
      <c r="A198" s="13" t="s">
        <v>20</v>
      </c>
      <c r="B198" s="26">
        <v>45691.0</v>
      </c>
      <c r="C198" s="13" t="s">
        <v>24</v>
      </c>
      <c r="D198" s="13">
        <v>8.1</v>
      </c>
      <c r="E198" s="13" t="s">
        <v>22</v>
      </c>
      <c r="F198" s="13">
        <v>4.0</v>
      </c>
      <c r="G198" s="13" t="s">
        <v>26</v>
      </c>
      <c r="H198" s="23">
        <v>10.2368</v>
      </c>
      <c r="I198" s="23">
        <v>514.8503</v>
      </c>
      <c r="J198" s="23">
        <v>3.786</v>
      </c>
      <c r="K198" s="23">
        <v>0.015</v>
      </c>
      <c r="L198" s="23">
        <v>159.661</v>
      </c>
      <c r="M198" s="23">
        <v>27.184</v>
      </c>
      <c r="N198" s="23">
        <v>139.603</v>
      </c>
      <c r="O198" s="23">
        <v>26.257</v>
      </c>
      <c r="P198" s="23">
        <v>115.006</v>
      </c>
      <c r="Q198" s="23">
        <v>25.901</v>
      </c>
      <c r="R198" s="23">
        <v>160.729</v>
      </c>
      <c r="S198" s="23">
        <v>25.222</v>
      </c>
      <c r="T198" s="23">
        <v>140.568</v>
      </c>
      <c r="U198" s="23">
        <v>24.671</v>
      </c>
      <c r="V198" s="23">
        <v>115.838</v>
      </c>
      <c r="W198" s="23">
        <v>24.741</v>
      </c>
      <c r="X198" s="23">
        <v>161.26</v>
      </c>
      <c r="Y198" s="23">
        <v>24.432</v>
      </c>
      <c r="Z198" s="23">
        <v>141.027</v>
      </c>
      <c r="AA198" s="23">
        <v>24.012</v>
      </c>
      <c r="AB198" s="23">
        <v>116.203</v>
      </c>
      <c r="AC198" s="23">
        <v>24.397</v>
      </c>
      <c r="AD198" s="22">
        <f t="shared" si="132"/>
        <v>160.55</v>
      </c>
      <c r="AE198" s="22">
        <f t="shared" ref="AE198:AI198" si="199">AVERAGE(M198,S198,Y198)</f>
        <v>25.61266667</v>
      </c>
      <c r="AF198" s="22">
        <f t="shared" si="199"/>
        <v>140.3993333</v>
      </c>
      <c r="AG198" s="22">
        <f t="shared" si="199"/>
        <v>24.98</v>
      </c>
      <c r="AH198" s="22">
        <f t="shared" si="199"/>
        <v>115.6823333</v>
      </c>
      <c r="AI198" s="22">
        <f t="shared" si="199"/>
        <v>25.013</v>
      </c>
      <c r="AJ198" s="22"/>
      <c r="AK198" s="22"/>
      <c r="AL198" s="22"/>
      <c r="AM198" s="22"/>
    </row>
    <row r="199">
      <c r="A199" s="13" t="s">
        <v>20</v>
      </c>
      <c r="B199" s="26">
        <v>45691.0</v>
      </c>
      <c r="C199" s="13" t="s">
        <v>24</v>
      </c>
      <c r="D199" s="13">
        <v>8.2</v>
      </c>
      <c r="E199" s="13" t="s">
        <v>22</v>
      </c>
      <c r="F199" s="13">
        <v>4.0</v>
      </c>
      <c r="G199" s="13" t="s">
        <v>26</v>
      </c>
      <c r="H199" s="23">
        <v>11.7226</v>
      </c>
      <c r="I199" s="23">
        <v>522.0221</v>
      </c>
      <c r="J199" s="23">
        <v>4.34</v>
      </c>
      <c r="K199" s="23">
        <v>0.04</v>
      </c>
      <c r="L199" s="23">
        <v>139.344</v>
      </c>
      <c r="M199" s="23">
        <v>27.3</v>
      </c>
      <c r="N199" s="23">
        <v>116.339</v>
      </c>
      <c r="O199" s="23">
        <v>25.898</v>
      </c>
      <c r="P199" s="23">
        <v>96.733</v>
      </c>
      <c r="Q199" s="23">
        <v>26.395</v>
      </c>
      <c r="R199" s="23">
        <v>138.828</v>
      </c>
      <c r="S199" s="23">
        <v>27.806</v>
      </c>
      <c r="T199" s="23">
        <v>115.849</v>
      </c>
      <c r="U199" s="23">
        <v>26.355</v>
      </c>
      <c r="V199" s="23">
        <v>96.309</v>
      </c>
      <c r="W199" s="23">
        <v>26.806</v>
      </c>
      <c r="X199" s="23">
        <v>138.11</v>
      </c>
      <c r="Y199" s="23">
        <v>28.491</v>
      </c>
      <c r="Z199" s="23">
        <v>115.276</v>
      </c>
      <c r="AA199" s="23">
        <v>26.8</v>
      </c>
      <c r="AB199" s="23">
        <v>95.769</v>
      </c>
      <c r="AC199" s="23">
        <v>27.252</v>
      </c>
      <c r="AD199" s="22">
        <f t="shared" si="132"/>
        <v>138.7606667</v>
      </c>
      <c r="AE199" s="22">
        <f t="shared" ref="AE199:AI199" si="200">AVERAGE(M199,S199,Y199)</f>
        <v>27.86566667</v>
      </c>
      <c r="AF199" s="22">
        <f t="shared" si="200"/>
        <v>115.8213333</v>
      </c>
      <c r="AG199" s="22">
        <f t="shared" si="200"/>
        <v>26.351</v>
      </c>
      <c r="AH199" s="22">
        <f t="shared" si="200"/>
        <v>96.27033333</v>
      </c>
      <c r="AI199" s="22">
        <f t="shared" si="200"/>
        <v>26.81766667</v>
      </c>
      <c r="AJ199" s="22"/>
      <c r="AK199" s="22"/>
      <c r="AL199" s="22"/>
      <c r="AM199" s="22"/>
    </row>
    <row r="200">
      <c r="A200" s="13" t="s">
        <v>20</v>
      </c>
      <c r="B200" s="26">
        <v>45691.0</v>
      </c>
      <c r="C200" s="13" t="s">
        <v>24</v>
      </c>
      <c r="D200" s="13">
        <v>8.3</v>
      </c>
      <c r="E200" s="13" t="s">
        <v>22</v>
      </c>
      <c r="F200" s="13">
        <v>4.0</v>
      </c>
      <c r="G200" s="13" t="s">
        <v>26</v>
      </c>
      <c r="H200" s="23">
        <v>10.9647</v>
      </c>
      <c r="I200" s="23">
        <v>566.583</v>
      </c>
      <c r="J200" s="23">
        <v>4.697</v>
      </c>
      <c r="K200" s="23">
        <v>0.053</v>
      </c>
      <c r="L200" s="23">
        <v>149.604</v>
      </c>
      <c r="M200" s="23">
        <v>27.271</v>
      </c>
      <c r="N200" s="23">
        <v>121.453</v>
      </c>
      <c r="O200" s="23">
        <v>28.328</v>
      </c>
      <c r="P200" s="23">
        <v>90.885</v>
      </c>
      <c r="Q200" s="23">
        <v>30.505</v>
      </c>
      <c r="R200" s="23">
        <v>149.646</v>
      </c>
      <c r="S200" s="23">
        <v>27.203</v>
      </c>
      <c r="T200" s="23">
        <v>121.683</v>
      </c>
      <c r="U200" s="23">
        <v>28.245</v>
      </c>
      <c r="V200" s="23">
        <v>91.241</v>
      </c>
      <c r="W200" s="23">
        <v>30.428</v>
      </c>
      <c r="X200" s="23">
        <v>149.376</v>
      </c>
      <c r="Y200" s="23">
        <v>27.393</v>
      </c>
      <c r="Z200" s="23">
        <v>121.492</v>
      </c>
      <c r="AA200" s="23">
        <v>28.342</v>
      </c>
      <c r="AB200" s="23">
        <v>91.111</v>
      </c>
      <c r="AC200" s="23">
        <v>30.521</v>
      </c>
      <c r="AD200" s="22">
        <f t="shared" si="132"/>
        <v>149.542</v>
      </c>
      <c r="AE200" s="22">
        <f t="shared" ref="AE200:AI200" si="201">AVERAGE(M200,S200,Y200)</f>
        <v>27.289</v>
      </c>
      <c r="AF200" s="22">
        <f t="shared" si="201"/>
        <v>121.5426667</v>
      </c>
      <c r="AG200" s="22">
        <f t="shared" si="201"/>
        <v>28.305</v>
      </c>
      <c r="AH200" s="22">
        <f t="shared" si="201"/>
        <v>91.079</v>
      </c>
      <c r="AI200" s="22">
        <f t="shared" si="201"/>
        <v>30.48466667</v>
      </c>
      <c r="AJ200" s="22"/>
      <c r="AK200" s="22"/>
      <c r="AL200" s="22"/>
      <c r="AM200" s="22"/>
    </row>
    <row r="201">
      <c r="A201" s="13" t="s">
        <v>20</v>
      </c>
      <c r="B201" s="26">
        <v>45691.0</v>
      </c>
      <c r="C201" s="13" t="s">
        <v>24</v>
      </c>
      <c r="D201" s="13">
        <v>8.4</v>
      </c>
      <c r="E201" s="13" t="s">
        <v>22</v>
      </c>
      <c r="F201" s="13">
        <v>4.0</v>
      </c>
      <c r="G201" s="13" t="s">
        <v>26</v>
      </c>
      <c r="H201" s="23">
        <v>12.4347</v>
      </c>
      <c r="I201" s="23">
        <v>508.8014</v>
      </c>
      <c r="J201" s="23">
        <v>5.643</v>
      </c>
      <c r="K201" s="23">
        <v>0.022</v>
      </c>
      <c r="L201" s="23">
        <v>166.943</v>
      </c>
      <c r="M201" s="23">
        <v>26.31</v>
      </c>
      <c r="N201" s="23">
        <v>122.609</v>
      </c>
      <c r="O201" s="23">
        <v>22.964</v>
      </c>
      <c r="P201" s="23">
        <v>70.94</v>
      </c>
      <c r="Q201" s="23">
        <v>28.224</v>
      </c>
      <c r="R201" s="23">
        <v>166.273</v>
      </c>
      <c r="S201" s="23">
        <v>27.022</v>
      </c>
      <c r="T201" s="23">
        <v>122.29</v>
      </c>
      <c r="U201" s="23">
        <v>23.239</v>
      </c>
      <c r="V201" s="23">
        <v>71.07</v>
      </c>
      <c r="W201" s="23">
        <v>28.277</v>
      </c>
      <c r="X201" s="23">
        <v>167.517</v>
      </c>
      <c r="Y201" s="23">
        <v>25.358</v>
      </c>
      <c r="Z201" s="23">
        <v>122.883</v>
      </c>
      <c r="AA201" s="23">
        <v>22.445</v>
      </c>
      <c r="AB201" s="23">
        <v>70.849</v>
      </c>
      <c r="AC201" s="23">
        <v>28.071</v>
      </c>
      <c r="AD201" s="22">
        <f t="shared" si="132"/>
        <v>166.911</v>
      </c>
      <c r="AE201" s="22">
        <f t="shared" ref="AE201:AI201" si="202">AVERAGE(M201,S201,Y201)</f>
        <v>26.23</v>
      </c>
      <c r="AF201" s="22">
        <f t="shared" si="202"/>
        <v>122.594</v>
      </c>
      <c r="AG201" s="22">
        <f t="shared" si="202"/>
        <v>22.88266667</v>
      </c>
      <c r="AH201" s="22">
        <f t="shared" si="202"/>
        <v>70.953</v>
      </c>
      <c r="AI201" s="22">
        <f t="shared" si="202"/>
        <v>28.19066667</v>
      </c>
      <c r="AJ201" s="22"/>
      <c r="AK201" s="22"/>
      <c r="AL201" s="22"/>
      <c r="AM201" s="22"/>
    </row>
    <row r="202">
      <c r="A202" s="13" t="s">
        <v>20</v>
      </c>
      <c r="B202" s="26">
        <v>45691.0</v>
      </c>
      <c r="C202" s="13" t="s">
        <v>24</v>
      </c>
      <c r="D202" s="13">
        <v>9.1</v>
      </c>
      <c r="E202" s="13" t="s">
        <v>22</v>
      </c>
      <c r="F202" s="13">
        <v>4.0</v>
      </c>
      <c r="G202" s="13" t="s">
        <v>26</v>
      </c>
      <c r="H202" s="23">
        <v>10.7842</v>
      </c>
      <c r="I202" s="23">
        <v>532.8122</v>
      </c>
      <c r="J202" s="23">
        <v>4.405</v>
      </c>
      <c r="K202" s="23">
        <v>0.015</v>
      </c>
      <c r="L202" s="23">
        <v>131.301</v>
      </c>
      <c r="M202" s="23">
        <v>22.721</v>
      </c>
      <c r="N202" s="23">
        <v>112.427</v>
      </c>
      <c r="O202" s="23">
        <v>21.389</v>
      </c>
      <c r="P202" s="23">
        <v>96.841</v>
      </c>
      <c r="Q202" s="23">
        <v>19.174</v>
      </c>
      <c r="R202" s="23">
        <v>131.209</v>
      </c>
      <c r="S202" s="23">
        <v>22.984</v>
      </c>
      <c r="T202" s="23">
        <v>112.403</v>
      </c>
      <c r="U202" s="23">
        <v>21.713</v>
      </c>
      <c r="V202" s="23">
        <v>96.805</v>
      </c>
      <c r="W202" s="23">
        <v>19.492</v>
      </c>
      <c r="X202" s="23">
        <v>130.993</v>
      </c>
      <c r="Y202" s="23">
        <v>22.892</v>
      </c>
      <c r="Z202" s="23">
        <v>112.18</v>
      </c>
      <c r="AA202" s="23">
        <v>21.476</v>
      </c>
      <c r="AB202" s="23">
        <v>96.575</v>
      </c>
      <c r="AC202" s="23">
        <v>19.335</v>
      </c>
      <c r="AD202" s="22">
        <f t="shared" si="132"/>
        <v>131.1676667</v>
      </c>
      <c r="AE202" s="22">
        <f t="shared" ref="AE202:AI202" si="203">AVERAGE(M202,S202,Y202)</f>
        <v>22.86566667</v>
      </c>
      <c r="AF202" s="22">
        <f t="shared" si="203"/>
        <v>112.3366667</v>
      </c>
      <c r="AG202" s="22">
        <f t="shared" si="203"/>
        <v>21.526</v>
      </c>
      <c r="AH202" s="22">
        <f t="shared" si="203"/>
        <v>96.74033333</v>
      </c>
      <c r="AI202" s="22">
        <f t="shared" si="203"/>
        <v>19.33366667</v>
      </c>
      <c r="AJ202" s="22"/>
      <c r="AK202" s="22"/>
      <c r="AL202" s="22"/>
      <c r="AM202" s="22"/>
    </row>
    <row r="203">
      <c r="A203" s="13" t="s">
        <v>20</v>
      </c>
      <c r="B203" s="26">
        <v>45691.0</v>
      </c>
      <c r="C203" s="13" t="s">
        <v>24</v>
      </c>
      <c r="D203" s="13">
        <v>9.2</v>
      </c>
      <c r="E203" s="13" t="s">
        <v>22</v>
      </c>
      <c r="F203" s="13">
        <v>4.0</v>
      </c>
      <c r="G203" s="13" t="s">
        <v>26</v>
      </c>
      <c r="H203" s="23">
        <v>11.1115</v>
      </c>
      <c r="I203" s="23">
        <v>532.8054</v>
      </c>
      <c r="J203" s="23">
        <v>4.783</v>
      </c>
      <c r="K203" s="23">
        <v>0.008</v>
      </c>
      <c r="L203" s="23">
        <v>127.996</v>
      </c>
      <c r="M203" s="23">
        <v>22.314</v>
      </c>
      <c r="N203" s="23">
        <v>103.702</v>
      </c>
      <c r="O203" s="23">
        <v>21.477</v>
      </c>
      <c r="P203" s="23">
        <v>86.796</v>
      </c>
      <c r="Q203" s="23">
        <v>21.079</v>
      </c>
      <c r="R203" s="23">
        <v>127.635</v>
      </c>
      <c r="S203" s="23">
        <v>23.039</v>
      </c>
      <c r="T203" s="23">
        <v>103.336</v>
      </c>
      <c r="U203" s="23">
        <v>21.934</v>
      </c>
      <c r="V203" s="23">
        <v>86.461</v>
      </c>
      <c r="W203" s="23">
        <v>21.562</v>
      </c>
      <c r="X203" s="23">
        <v>127.844</v>
      </c>
      <c r="Y203" s="23">
        <v>22.709</v>
      </c>
      <c r="Z203" s="23">
        <v>103.447</v>
      </c>
      <c r="AA203" s="23">
        <v>21.69</v>
      </c>
      <c r="AB203" s="23">
        <v>86.566</v>
      </c>
      <c r="AC203" s="23">
        <v>21.438</v>
      </c>
      <c r="AD203" s="22">
        <f t="shared" si="132"/>
        <v>127.825</v>
      </c>
      <c r="AE203" s="22">
        <f t="shared" ref="AE203:AI203" si="204">AVERAGE(M203,S203,Y203)</f>
        <v>22.68733333</v>
      </c>
      <c r="AF203" s="22">
        <f t="shared" si="204"/>
        <v>103.495</v>
      </c>
      <c r="AG203" s="22">
        <f t="shared" si="204"/>
        <v>21.70033333</v>
      </c>
      <c r="AH203" s="22">
        <f t="shared" si="204"/>
        <v>86.60766667</v>
      </c>
      <c r="AI203" s="22">
        <f t="shared" si="204"/>
        <v>21.35966667</v>
      </c>
      <c r="AJ203" s="22"/>
      <c r="AK203" s="22"/>
      <c r="AL203" s="22"/>
      <c r="AM203" s="22"/>
    </row>
    <row r="204">
      <c r="A204" s="13" t="s">
        <v>20</v>
      </c>
      <c r="B204" s="26">
        <v>45691.0</v>
      </c>
      <c r="C204" s="13" t="s">
        <v>24</v>
      </c>
      <c r="D204" s="13">
        <v>9.3</v>
      </c>
      <c r="E204" s="13" t="s">
        <v>22</v>
      </c>
      <c r="F204" s="13">
        <v>4.0</v>
      </c>
      <c r="G204" s="13" t="s">
        <v>26</v>
      </c>
      <c r="H204" s="23">
        <v>10.3614</v>
      </c>
      <c r="I204" s="23">
        <v>549.6013</v>
      </c>
      <c r="J204" s="23">
        <v>3.984</v>
      </c>
      <c r="K204" s="23">
        <v>0.015</v>
      </c>
      <c r="L204" s="23">
        <v>134.943</v>
      </c>
      <c r="M204" s="23">
        <v>26.116</v>
      </c>
      <c r="N204" s="23">
        <v>110.469</v>
      </c>
      <c r="O204" s="23">
        <v>25.842</v>
      </c>
      <c r="P204" s="23">
        <v>87.572</v>
      </c>
      <c r="Q204" s="23">
        <v>24.848</v>
      </c>
      <c r="R204" s="23">
        <v>133.895</v>
      </c>
      <c r="S204" s="23">
        <v>27.358</v>
      </c>
      <c r="T204" s="23">
        <v>109.476</v>
      </c>
      <c r="U204" s="23">
        <v>26.556</v>
      </c>
      <c r="V204" s="23">
        <v>86.674</v>
      </c>
      <c r="W204" s="23">
        <v>25.25</v>
      </c>
      <c r="X204" s="23">
        <v>134.079</v>
      </c>
      <c r="Y204" s="23">
        <v>27.135</v>
      </c>
      <c r="Z204" s="23">
        <v>109.606</v>
      </c>
      <c r="AA204" s="23">
        <v>26.431</v>
      </c>
      <c r="AB204" s="23">
        <v>86.784</v>
      </c>
      <c r="AC204" s="23">
        <v>25.214</v>
      </c>
      <c r="AD204" s="22">
        <f t="shared" si="132"/>
        <v>134.3056667</v>
      </c>
      <c r="AE204" s="22">
        <f t="shared" ref="AE204:AI204" si="205">AVERAGE(M204,S204,Y204)</f>
        <v>26.86966667</v>
      </c>
      <c r="AF204" s="22">
        <f t="shared" si="205"/>
        <v>109.8503333</v>
      </c>
      <c r="AG204" s="22">
        <f t="shared" si="205"/>
        <v>26.27633333</v>
      </c>
      <c r="AH204" s="22">
        <f t="shared" si="205"/>
        <v>87.01</v>
      </c>
      <c r="AI204" s="22">
        <f t="shared" si="205"/>
        <v>25.104</v>
      </c>
      <c r="AJ204" s="22"/>
      <c r="AK204" s="22"/>
      <c r="AL204" s="22"/>
      <c r="AM204" s="22"/>
    </row>
    <row r="205">
      <c r="A205" s="13" t="s">
        <v>20</v>
      </c>
      <c r="B205" s="26">
        <v>45691.0</v>
      </c>
      <c r="C205" s="13" t="s">
        <v>24</v>
      </c>
      <c r="D205" s="13">
        <v>9.4</v>
      </c>
      <c r="E205" s="13" t="s">
        <v>22</v>
      </c>
      <c r="F205" s="13">
        <v>4.0</v>
      </c>
      <c r="G205" s="13" t="s">
        <v>26</v>
      </c>
      <c r="H205" s="23">
        <v>10.5935</v>
      </c>
      <c r="I205" s="23">
        <v>502.8129</v>
      </c>
      <c r="J205" s="23">
        <v>4.389</v>
      </c>
      <c r="K205" s="23">
        <v>0.046</v>
      </c>
      <c r="L205" s="23">
        <v>142.903</v>
      </c>
      <c r="M205" s="23">
        <v>37.997</v>
      </c>
      <c r="N205" s="23">
        <v>108.63</v>
      </c>
      <c r="O205" s="23">
        <v>33.118</v>
      </c>
      <c r="P205" s="23">
        <v>51.605</v>
      </c>
      <c r="Q205" s="23">
        <v>25.864</v>
      </c>
      <c r="R205" s="23">
        <v>142.807</v>
      </c>
      <c r="S205" s="23">
        <v>38.1</v>
      </c>
      <c r="T205" s="23">
        <v>108.552</v>
      </c>
      <c r="U205" s="23">
        <v>33.114</v>
      </c>
      <c r="V205" s="23">
        <v>51.467</v>
      </c>
      <c r="W205" s="23">
        <v>25.627</v>
      </c>
      <c r="X205" s="23">
        <v>142.796</v>
      </c>
      <c r="Y205" s="23">
        <v>37.93</v>
      </c>
      <c r="Z205" s="23">
        <v>108.678</v>
      </c>
      <c r="AA205" s="23">
        <v>32.987</v>
      </c>
      <c r="AB205" s="23">
        <v>51.716</v>
      </c>
      <c r="AC205" s="23">
        <v>25.709</v>
      </c>
      <c r="AD205" s="22">
        <f t="shared" si="132"/>
        <v>142.8353333</v>
      </c>
      <c r="AE205" s="22">
        <f t="shared" ref="AE205:AI205" si="206">AVERAGE(M205,S205,Y205)</f>
        <v>38.009</v>
      </c>
      <c r="AF205" s="22">
        <f t="shared" si="206"/>
        <v>108.62</v>
      </c>
      <c r="AG205" s="22">
        <f t="shared" si="206"/>
        <v>33.073</v>
      </c>
      <c r="AH205" s="22">
        <f t="shared" si="206"/>
        <v>51.596</v>
      </c>
      <c r="AI205" s="22">
        <f t="shared" si="206"/>
        <v>25.73333333</v>
      </c>
      <c r="AJ205" s="22"/>
      <c r="AK205" s="22"/>
      <c r="AL205" s="22"/>
      <c r="AM205" s="22"/>
    </row>
    <row r="206">
      <c r="A206" s="13" t="s">
        <v>20</v>
      </c>
      <c r="B206" s="26">
        <v>45691.0</v>
      </c>
      <c r="C206" s="13" t="s">
        <v>25</v>
      </c>
      <c r="D206" s="13">
        <v>7.1</v>
      </c>
      <c r="E206" s="13" t="s">
        <v>22</v>
      </c>
      <c r="F206" s="13">
        <v>4.0</v>
      </c>
      <c r="G206" s="13" t="s">
        <v>26</v>
      </c>
      <c r="H206" s="23">
        <v>14.1714</v>
      </c>
      <c r="I206" s="23">
        <v>538.8</v>
      </c>
      <c r="J206" s="23">
        <v>5.347</v>
      </c>
      <c r="K206" s="23">
        <v>0.026</v>
      </c>
      <c r="L206" s="23">
        <v>136.388</v>
      </c>
      <c r="M206" s="23">
        <v>25.236</v>
      </c>
      <c r="N206" s="23">
        <v>126.854</v>
      </c>
      <c r="O206" s="23">
        <v>34.04</v>
      </c>
      <c r="P206" s="23">
        <v>101.841</v>
      </c>
      <c r="Q206" s="23">
        <v>32.421</v>
      </c>
      <c r="R206" s="23">
        <v>136.414</v>
      </c>
      <c r="S206" s="23">
        <v>35.137</v>
      </c>
      <c r="T206" s="23">
        <v>126.921</v>
      </c>
      <c r="U206" s="23">
        <v>33.957</v>
      </c>
      <c r="V206" s="23">
        <v>101.903</v>
      </c>
      <c r="W206" s="23">
        <v>32.382</v>
      </c>
      <c r="X206" s="23">
        <v>136.507</v>
      </c>
      <c r="Y206" s="23">
        <v>35.185</v>
      </c>
      <c r="Z206" s="23">
        <v>126.944</v>
      </c>
      <c r="AA206" s="23">
        <v>34.007</v>
      </c>
      <c r="AB206" s="23">
        <v>101.865</v>
      </c>
      <c r="AC206" s="23">
        <v>32.436</v>
      </c>
      <c r="AD206" s="22">
        <f t="shared" si="132"/>
        <v>136.4363333</v>
      </c>
      <c r="AE206" s="22">
        <f t="shared" ref="AE206:AI206" si="207">AVERAGE(M206,S206,Y206)</f>
        <v>31.85266667</v>
      </c>
      <c r="AF206" s="22">
        <f t="shared" si="207"/>
        <v>126.9063333</v>
      </c>
      <c r="AG206" s="22">
        <f t="shared" si="207"/>
        <v>34.00133333</v>
      </c>
      <c r="AH206" s="22">
        <f t="shared" si="207"/>
        <v>101.8696667</v>
      </c>
      <c r="AI206" s="22">
        <f t="shared" si="207"/>
        <v>32.413</v>
      </c>
      <c r="AJ206" s="22"/>
      <c r="AK206" s="22"/>
      <c r="AL206" s="22"/>
      <c r="AM206" s="22"/>
    </row>
    <row r="207">
      <c r="A207" s="13" t="s">
        <v>20</v>
      </c>
      <c r="B207" s="26">
        <v>45691.0</v>
      </c>
      <c r="C207" s="13" t="s">
        <v>25</v>
      </c>
      <c r="D207" s="13">
        <v>7.2</v>
      </c>
      <c r="E207" s="13" t="s">
        <v>22</v>
      </c>
      <c r="F207" s="13">
        <v>4.0</v>
      </c>
      <c r="G207" s="13" t="s">
        <v>26</v>
      </c>
      <c r="H207" s="23">
        <v>10.7535</v>
      </c>
      <c r="I207" s="23">
        <v>550.8052</v>
      </c>
      <c r="J207" s="23">
        <v>3.974</v>
      </c>
      <c r="K207" s="23">
        <v>0.037</v>
      </c>
      <c r="L207" s="23">
        <v>134.685</v>
      </c>
      <c r="M207" s="23">
        <v>40.348</v>
      </c>
      <c r="N207" s="23">
        <v>121.178</v>
      </c>
      <c r="O207" s="23">
        <v>39.621</v>
      </c>
      <c r="P207" s="23">
        <v>88.407</v>
      </c>
      <c r="Q207" s="23">
        <v>37.958</v>
      </c>
      <c r="R207" s="23">
        <v>134.744</v>
      </c>
      <c r="S207" s="23">
        <v>40.449</v>
      </c>
      <c r="T207" s="23">
        <v>121.192</v>
      </c>
      <c r="U207" s="23">
        <v>39.709</v>
      </c>
      <c r="V207" s="23">
        <v>88.42</v>
      </c>
      <c r="W207" s="23">
        <v>38.022</v>
      </c>
      <c r="X207" s="23">
        <v>134.577</v>
      </c>
      <c r="Y207" s="23">
        <v>40.444</v>
      </c>
      <c r="Z207" s="23">
        <v>121.04</v>
      </c>
      <c r="AA207" s="23">
        <v>39.687</v>
      </c>
      <c r="AB207" s="23">
        <v>88.278</v>
      </c>
      <c r="AC207" s="23">
        <v>37.951</v>
      </c>
      <c r="AD207" s="22">
        <f t="shared" si="132"/>
        <v>134.6686667</v>
      </c>
      <c r="AE207" s="22">
        <f t="shared" ref="AE207:AI207" si="208">AVERAGE(M207,S207,Y207)</f>
        <v>40.41366667</v>
      </c>
      <c r="AF207" s="22">
        <f t="shared" si="208"/>
        <v>121.1366667</v>
      </c>
      <c r="AG207" s="22">
        <f t="shared" si="208"/>
        <v>39.67233333</v>
      </c>
      <c r="AH207" s="22">
        <f t="shared" si="208"/>
        <v>88.36833333</v>
      </c>
      <c r="AI207" s="22">
        <f t="shared" si="208"/>
        <v>37.977</v>
      </c>
      <c r="AJ207" s="22"/>
      <c r="AK207" s="22"/>
      <c r="AL207" s="22"/>
      <c r="AM207" s="22"/>
    </row>
    <row r="208">
      <c r="A208" s="13" t="s">
        <v>20</v>
      </c>
      <c r="B208" s="26">
        <v>45691.0</v>
      </c>
      <c r="C208" s="13" t="s">
        <v>25</v>
      </c>
      <c r="D208" s="13">
        <v>7.3</v>
      </c>
      <c r="E208" s="13" t="s">
        <v>22</v>
      </c>
      <c r="F208" s="13">
        <v>4.0</v>
      </c>
      <c r="G208" s="13" t="s">
        <v>26</v>
      </c>
      <c r="H208" s="23">
        <v>11.4944</v>
      </c>
      <c r="I208" s="23">
        <v>550.864</v>
      </c>
      <c r="J208" s="23">
        <v>4.657</v>
      </c>
      <c r="K208" s="23">
        <v>0.052</v>
      </c>
      <c r="L208" s="23">
        <v>136.358</v>
      </c>
      <c r="M208" s="23">
        <v>36.152</v>
      </c>
      <c r="N208" s="23">
        <v>122.618</v>
      </c>
      <c r="O208" s="23">
        <v>35.795</v>
      </c>
      <c r="P208" s="23">
        <v>87.322</v>
      </c>
      <c r="Q208" s="23">
        <v>35.168</v>
      </c>
      <c r="R208" s="23">
        <v>136.355</v>
      </c>
      <c r="S208" s="23">
        <v>36.268</v>
      </c>
      <c r="T208" s="23">
        <v>122.669</v>
      </c>
      <c r="U208" s="23">
        <v>35.921</v>
      </c>
      <c r="V208" s="23">
        <v>87.394</v>
      </c>
      <c r="W208" s="23">
        <v>35.221</v>
      </c>
      <c r="X208" s="23">
        <v>136.398</v>
      </c>
      <c r="Y208" s="23">
        <v>36.191</v>
      </c>
      <c r="Z208" s="23">
        <v>122.677</v>
      </c>
      <c r="AA208" s="23">
        <v>35.841</v>
      </c>
      <c r="AB208" s="23">
        <v>87.381</v>
      </c>
      <c r="AC208" s="23">
        <v>35.198</v>
      </c>
      <c r="AD208" s="22">
        <f t="shared" si="132"/>
        <v>136.3703333</v>
      </c>
      <c r="AE208" s="22">
        <f t="shared" ref="AE208:AI208" si="209">AVERAGE(M208,S208,Y208)</f>
        <v>36.20366667</v>
      </c>
      <c r="AF208" s="22">
        <f t="shared" si="209"/>
        <v>122.6546667</v>
      </c>
      <c r="AG208" s="22">
        <f t="shared" si="209"/>
        <v>35.85233333</v>
      </c>
      <c r="AH208" s="22">
        <f t="shared" si="209"/>
        <v>87.36566667</v>
      </c>
      <c r="AI208" s="22">
        <f t="shared" si="209"/>
        <v>35.19566667</v>
      </c>
      <c r="AJ208" s="22"/>
      <c r="AK208" s="22"/>
      <c r="AL208" s="22"/>
      <c r="AM208" s="22"/>
    </row>
    <row r="209">
      <c r="A209" s="13" t="s">
        <v>20</v>
      </c>
      <c r="B209" s="26">
        <v>45691.0</v>
      </c>
      <c r="C209" s="13" t="s">
        <v>25</v>
      </c>
      <c r="D209" s="13">
        <v>7.4</v>
      </c>
      <c r="E209" s="13" t="s">
        <v>22</v>
      </c>
      <c r="F209" s="13">
        <v>4.0</v>
      </c>
      <c r="G209" s="13" t="s">
        <v>26</v>
      </c>
      <c r="H209" s="23">
        <v>12.6968</v>
      </c>
      <c r="I209" s="23">
        <v>490.8367</v>
      </c>
      <c r="J209" s="23">
        <v>4.832</v>
      </c>
      <c r="K209" s="23">
        <v>0.033</v>
      </c>
      <c r="L209" s="23">
        <v>143.798</v>
      </c>
      <c r="M209" s="23">
        <v>33.828</v>
      </c>
      <c r="N209" s="23">
        <v>122.156</v>
      </c>
      <c r="O209" s="23">
        <v>31.522</v>
      </c>
      <c r="P209" s="23">
        <v>78.275</v>
      </c>
      <c r="Q209" s="23">
        <v>28.033</v>
      </c>
      <c r="R209" s="23">
        <v>144.048</v>
      </c>
      <c r="S209" s="23">
        <v>33.476</v>
      </c>
      <c r="T209" s="23">
        <v>122.347</v>
      </c>
      <c r="U209" s="23">
        <v>31.217</v>
      </c>
      <c r="V209" s="23">
        <v>78.499</v>
      </c>
      <c r="W209" s="23">
        <v>27.881</v>
      </c>
      <c r="X209" s="23">
        <v>144.011</v>
      </c>
      <c r="Y209" s="23">
        <v>33.612</v>
      </c>
      <c r="Z209" s="23">
        <v>122.3</v>
      </c>
      <c r="AA209" s="23">
        <v>31.346</v>
      </c>
      <c r="AB209" s="23">
        <v>78.458</v>
      </c>
      <c r="AC209" s="23">
        <v>27.916</v>
      </c>
      <c r="AD209" s="22">
        <f t="shared" si="132"/>
        <v>143.9523333</v>
      </c>
      <c r="AE209" s="22">
        <f t="shared" ref="AE209:AI209" si="210">AVERAGE(M209,S209,Y209)</f>
        <v>33.63866667</v>
      </c>
      <c r="AF209" s="22">
        <f t="shared" si="210"/>
        <v>122.2676667</v>
      </c>
      <c r="AG209" s="22">
        <f t="shared" si="210"/>
        <v>31.36166667</v>
      </c>
      <c r="AH209" s="22">
        <f t="shared" si="210"/>
        <v>78.41066667</v>
      </c>
      <c r="AI209" s="22">
        <f t="shared" si="210"/>
        <v>27.94333333</v>
      </c>
      <c r="AJ209" s="22"/>
      <c r="AK209" s="22"/>
      <c r="AL209" s="22"/>
      <c r="AM209" s="22"/>
    </row>
    <row r="210">
      <c r="A210" s="13" t="s">
        <v>20</v>
      </c>
      <c r="B210" s="26">
        <v>45691.0</v>
      </c>
      <c r="C210" s="13" t="s">
        <v>25</v>
      </c>
      <c r="D210" s="13">
        <v>8.1</v>
      </c>
      <c r="E210" s="13" t="s">
        <v>22</v>
      </c>
      <c r="F210" s="13">
        <v>4.0</v>
      </c>
      <c r="G210" s="13" t="s">
        <v>26</v>
      </c>
      <c r="H210" s="23">
        <v>12.7356</v>
      </c>
      <c r="I210" s="23">
        <v>544.8</v>
      </c>
      <c r="J210" s="23">
        <v>4.62</v>
      </c>
      <c r="K210" s="23">
        <v>0.026</v>
      </c>
      <c r="L210" s="23">
        <v>133.203</v>
      </c>
      <c r="M210" s="23">
        <v>38.241</v>
      </c>
      <c r="N210" s="23">
        <v>120.702</v>
      </c>
      <c r="O210" s="23">
        <v>37.226</v>
      </c>
      <c r="P210" s="23">
        <v>90.655</v>
      </c>
      <c r="Q210" s="23">
        <v>35.216</v>
      </c>
      <c r="R210" s="23">
        <v>133.136</v>
      </c>
      <c r="S210" s="23">
        <v>38.339</v>
      </c>
      <c r="T210" s="23">
        <v>120.633</v>
      </c>
      <c r="U210" s="23">
        <v>37.324</v>
      </c>
      <c r="V210" s="23">
        <v>90.579</v>
      </c>
      <c r="W210" s="23">
        <v>35.269</v>
      </c>
      <c r="X210" s="23">
        <v>133.485</v>
      </c>
      <c r="Y210" s="23">
        <v>38.224</v>
      </c>
      <c r="Z210" s="23">
        <v>120.951</v>
      </c>
      <c r="AA210" s="23">
        <v>37.237</v>
      </c>
      <c r="AB210" s="23">
        <v>90.886</v>
      </c>
      <c r="AC210" s="23">
        <v>35.219</v>
      </c>
      <c r="AD210" s="22">
        <f t="shared" si="132"/>
        <v>133.2746667</v>
      </c>
      <c r="AE210" s="22">
        <f t="shared" ref="AE210:AI210" si="211">AVERAGE(M210,S210,Y210)</f>
        <v>38.268</v>
      </c>
      <c r="AF210" s="22">
        <f t="shared" si="211"/>
        <v>120.762</v>
      </c>
      <c r="AG210" s="22">
        <f t="shared" si="211"/>
        <v>37.26233333</v>
      </c>
      <c r="AH210" s="22">
        <f t="shared" si="211"/>
        <v>90.70666667</v>
      </c>
      <c r="AI210" s="22">
        <f t="shared" si="211"/>
        <v>35.23466667</v>
      </c>
      <c r="AJ210" s="22"/>
      <c r="AK210" s="22"/>
      <c r="AL210" s="22"/>
      <c r="AM210" s="22"/>
    </row>
    <row r="211">
      <c r="A211" s="13" t="s">
        <v>20</v>
      </c>
      <c r="B211" s="26">
        <v>45691.0</v>
      </c>
      <c r="C211" s="13" t="s">
        <v>25</v>
      </c>
      <c r="D211" s="13">
        <v>8.2</v>
      </c>
      <c r="E211" s="13" t="s">
        <v>22</v>
      </c>
      <c r="F211" s="13">
        <v>4.0</v>
      </c>
      <c r="G211" s="13" t="s">
        <v>26</v>
      </c>
      <c r="H211" s="23">
        <v>13.2382</v>
      </c>
      <c r="I211" s="23">
        <v>507.6</v>
      </c>
      <c r="J211" s="23">
        <v>5.16</v>
      </c>
      <c r="K211" s="23">
        <v>0.011</v>
      </c>
      <c r="L211" s="23">
        <v>135.248</v>
      </c>
      <c r="M211" s="23">
        <v>36.127</v>
      </c>
      <c r="N211" s="23">
        <v>122.169</v>
      </c>
      <c r="O211" s="23">
        <v>35.116</v>
      </c>
      <c r="P211" s="23">
        <v>90.943</v>
      </c>
      <c r="Q211" s="23">
        <v>33.016</v>
      </c>
      <c r="R211" s="23">
        <v>135.198</v>
      </c>
      <c r="S211" s="23">
        <v>36.32</v>
      </c>
      <c r="T211" s="23">
        <v>122.112</v>
      </c>
      <c r="U211" s="23">
        <v>35.293</v>
      </c>
      <c r="V211" s="23">
        <v>90.928</v>
      </c>
      <c r="W211" s="23">
        <v>33.205</v>
      </c>
      <c r="X211" s="23">
        <v>135.242</v>
      </c>
      <c r="Y211" s="23">
        <v>36.254</v>
      </c>
      <c r="Z211" s="23">
        <v>122.221</v>
      </c>
      <c r="AA211" s="23">
        <v>35.253</v>
      </c>
      <c r="AB211" s="23">
        <v>90.935</v>
      </c>
      <c r="AC211" s="23">
        <v>33.164</v>
      </c>
      <c r="AD211" s="22">
        <f t="shared" si="132"/>
        <v>135.2293333</v>
      </c>
      <c r="AE211" s="22">
        <f t="shared" ref="AE211:AI211" si="212">AVERAGE(M211,S211,Y211)</f>
        <v>36.23366667</v>
      </c>
      <c r="AF211" s="22">
        <f t="shared" si="212"/>
        <v>122.1673333</v>
      </c>
      <c r="AG211" s="22">
        <f t="shared" si="212"/>
        <v>35.22066667</v>
      </c>
      <c r="AH211" s="22">
        <f t="shared" si="212"/>
        <v>90.93533333</v>
      </c>
      <c r="AI211" s="22">
        <f t="shared" si="212"/>
        <v>33.12833333</v>
      </c>
      <c r="AJ211" s="22"/>
      <c r="AK211" s="22"/>
      <c r="AL211" s="22"/>
      <c r="AM211" s="22"/>
    </row>
    <row r="212">
      <c r="A212" s="13" t="s">
        <v>20</v>
      </c>
      <c r="B212" s="26">
        <v>45691.0</v>
      </c>
      <c r="C212" s="13" t="s">
        <v>25</v>
      </c>
      <c r="D212" s="13">
        <v>8.3</v>
      </c>
      <c r="E212" s="13" t="s">
        <v>22</v>
      </c>
      <c r="F212" s="13">
        <v>4.0</v>
      </c>
      <c r="G212" s="13" t="s">
        <v>26</v>
      </c>
      <c r="H212" s="23">
        <v>10.3421</v>
      </c>
      <c r="I212" s="23">
        <v>524.4124</v>
      </c>
      <c r="J212" s="23">
        <v>3.592</v>
      </c>
      <c r="K212" s="23">
        <v>0.031</v>
      </c>
      <c r="L212" s="23">
        <v>144.83</v>
      </c>
      <c r="M212" s="23">
        <v>37.553</v>
      </c>
      <c r="N212" s="23">
        <v>130.385</v>
      </c>
      <c r="O212" s="23">
        <v>144.83</v>
      </c>
      <c r="P212" s="23">
        <v>93.613</v>
      </c>
      <c r="Q212" s="23">
        <v>36.542</v>
      </c>
      <c r="R212" s="23">
        <v>145.746</v>
      </c>
      <c r="S212" s="23">
        <v>36.619</v>
      </c>
      <c r="T212" s="23">
        <v>131.194</v>
      </c>
      <c r="U212" s="23">
        <v>36.252</v>
      </c>
      <c r="V212" s="23">
        <v>94.377</v>
      </c>
      <c r="W212" s="23">
        <v>36.011</v>
      </c>
      <c r="X212" s="23">
        <v>146.156</v>
      </c>
      <c r="Y212" s="23">
        <v>36.46</v>
      </c>
      <c r="Z212" s="23">
        <v>131.511</v>
      </c>
      <c r="AA212" s="23">
        <v>36.141</v>
      </c>
      <c r="AB212" s="23">
        <v>94.594</v>
      </c>
      <c r="AC212" s="23">
        <v>36.049</v>
      </c>
      <c r="AD212" s="22">
        <f t="shared" si="132"/>
        <v>145.5773333</v>
      </c>
      <c r="AE212" s="22">
        <f t="shared" ref="AE212:AI212" si="213">AVERAGE(M212,S212,Y212)</f>
        <v>36.87733333</v>
      </c>
      <c r="AF212" s="22">
        <f t="shared" si="213"/>
        <v>131.03</v>
      </c>
      <c r="AG212" s="22">
        <f t="shared" si="213"/>
        <v>72.40766667</v>
      </c>
      <c r="AH212" s="22">
        <f t="shared" si="213"/>
        <v>94.19466667</v>
      </c>
      <c r="AI212" s="22">
        <f t="shared" si="213"/>
        <v>36.20066667</v>
      </c>
      <c r="AJ212" s="22"/>
      <c r="AK212" s="22"/>
      <c r="AL212" s="22"/>
      <c r="AM212" s="22"/>
    </row>
    <row r="213">
      <c r="A213" s="13" t="s">
        <v>20</v>
      </c>
      <c r="B213" s="26">
        <v>45691.0</v>
      </c>
      <c r="C213" s="13" t="s">
        <v>25</v>
      </c>
      <c r="D213" s="13">
        <v>8.4</v>
      </c>
      <c r="E213" s="13" t="s">
        <v>22</v>
      </c>
      <c r="F213" s="13">
        <v>4.0</v>
      </c>
      <c r="G213" s="13" t="s">
        <v>26</v>
      </c>
      <c r="H213" s="23">
        <v>13.5296</v>
      </c>
      <c r="I213" s="23">
        <v>567.6317</v>
      </c>
      <c r="J213" s="23">
        <v>4.864</v>
      </c>
      <c r="K213" s="23">
        <v>0.019</v>
      </c>
      <c r="L213" s="23">
        <v>135.412</v>
      </c>
      <c r="M213" s="23">
        <v>37.646</v>
      </c>
      <c r="N213" s="23">
        <v>112.469</v>
      </c>
      <c r="O213" s="23">
        <v>35.843</v>
      </c>
      <c r="P213" s="23">
        <v>67.634</v>
      </c>
      <c r="Q213" s="23">
        <v>31.345</v>
      </c>
      <c r="R213" s="23">
        <v>135.898</v>
      </c>
      <c r="S213" s="23">
        <v>37.476</v>
      </c>
      <c r="T213" s="23">
        <v>112.888</v>
      </c>
      <c r="U213" s="23">
        <v>35.849</v>
      </c>
      <c r="V213" s="23">
        <v>67.802</v>
      </c>
      <c r="W213" s="23">
        <v>31.454</v>
      </c>
      <c r="X213" s="23">
        <v>135.686</v>
      </c>
      <c r="Y213" s="23">
        <v>37.512</v>
      </c>
      <c r="Z213" s="23">
        <v>112.702</v>
      </c>
      <c r="AA213" s="23">
        <v>35.839</v>
      </c>
      <c r="AB213" s="23">
        <v>67.821</v>
      </c>
      <c r="AC213" s="23">
        <v>31.424</v>
      </c>
      <c r="AD213" s="22">
        <f t="shared" si="132"/>
        <v>135.6653333</v>
      </c>
      <c r="AE213" s="22">
        <f t="shared" ref="AE213:AI213" si="214">AVERAGE(M213,S213,Y213)</f>
        <v>37.54466667</v>
      </c>
      <c r="AF213" s="22">
        <f t="shared" si="214"/>
        <v>112.6863333</v>
      </c>
      <c r="AG213" s="22">
        <f t="shared" si="214"/>
        <v>35.84366667</v>
      </c>
      <c r="AH213" s="22">
        <f t="shared" si="214"/>
        <v>67.75233333</v>
      </c>
      <c r="AI213" s="22">
        <f t="shared" si="214"/>
        <v>31.40766667</v>
      </c>
      <c r="AJ213" s="22"/>
      <c r="AK213" s="22"/>
      <c r="AL213" s="22"/>
      <c r="AM213" s="22"/>
    </row>
    <row r="214">
      <c r="A214" s="13" t="s">
        <v>20</v>
      </c>
      <c r="B214" s="26">
        <v>45691.0</v>
      </c>
      <c r="C214" s="13" t="s">
        <v>25</v>
      </c>
      <c r="D214" s="13">
        <v>9.1</v>
      </c>
      <c r="E214" s="13" t="s">
        <v>22</v>
      </c>
      <c r="F214" s="13">
        <v>4.0</v>
      </c>
      <c r="G214" s="13" t="s">
        <v>26</v>
      </c>
      <c r="H214" s="23">
        <v>12.0685</v>
      </c>
      <c r="I214" s="23">
        <v>518.4014</v>
      </c>
      <c r="J214" s="23">
        <v>4.725</v>
      </c>
      <c r="K214" s="23">
        <v>0.058</v>
      </c>
      <c r="L214" s="23">
        <v>140.882</v>
      </c>
      <c r="M214" s="23">
        <v>34.11</v>
      </c>
      <c r="N214" s="23">
        <v>131.459</v>
      </c>
      <c r="O214" s="23">
        <v>34.22</v>
      </c>
      <c r="P214" s="23">
        <v>108.057</v>
      </c>
      <c r="Q214" s="23">
        <v>37.291</v>
      </c>
      <c r="R214" s="23">
        <v>142.348</v>
      </c>
      <c r="S214" s="23">
        <v>32.559</v>
      </c>
      <c r="T214" s="23">
        <v>132.764</v>
      </c>
      <c r="U214" s="23">
        <v>32.977</v>
      </c>
      <c r="V214" s="23">
        <v>109.258</v>
      </c>
      <c r="W214" s="23">
        <v>36.493</v>
      </c>
      <c r="X214" s="23">
        <v>141.833</v>
      </c>
      <c r="Y214" s="23">
        <v>32.934</v>
      </c>
      <c r="Z214" s="23">
        <v>132.294</v>
      </c>
      <c r="AA214" s="23">
        <v>33.266</v>
      </c>
      <c r="AB214" s="23">
        <v>108.738</v>
      </c>
      <c r="AC214" s="23">
        <v>36.804</v>
      </c>
      <c r="AD214" s="22">
        <f t="shared" si="132"/>
        <v>141.6876667</v>
      </c>
      <c r="AE214" s="22">
        <f t="shared" ref="AE214:AI214" si="215">AVERAGE(M214,S214,Y214)</f>
        <v>33.201</v>
      </c>
      <c r="AF214" s="22">
        <f t="shared" si="215"/>
        <v>132.1723333</v>
      </c>
      <c r="AG214" s="22">
        <f t="shared" si="215"/>
        <v>33.48766667</v>
      </c>
      <c r="AH214" s="22">
        <f t="shared" si="215"/>
        <v>108.6843333</v>
      </c>
      <c r="AI214" s="22">
        <f t="shared" si="215"/>
        <v>36.86266667</v>
      </c>
      <c r="AJ214" s="22"/>
      <c r="AK214" s="22"/>
      <c r="AL214" s="22"/>
      <c r="AM214" s="22"/>
    </row>
    <row r="215">
      <c r="A215" s="13" t="s">
        <v>20</v>
      </c>
      <c r="B215" s="26">
        <v>45691.0</v>
      </c>
      <c r="C215" s="13" t="s">
        <v>25</v>
      </c>
      <c r="D215" s="13">
        <v>9.2</v>
      </c>
      <c r="E215" s="13" t="s">
        <v>22</v>
      </c>
      <c r="F215" s="13">
        <v>4.0</v>
      </c>
      <c r="G215" s="13" t="s">
        <v>26</v>
      </c>
      <c r="H215" s="23">
        <v>10.7099</v>
      </c>
      <c r="I215" s="23">
        <v>562.8461</v>
      </c>
      <c r="J215" s="23">
        <v>3.738</v>
      </c>
      <c r="K215" s="23">
        <v>0.044</v>
      </c>
      <c r="L215" s="23">
        <v>141.15</v>
      </c>
      <c r="M215" s="23">
        <v>34.709</v>
      </c>
      <c r="N215" s="23">
        <v>129.181</v>
      </c>
      <c r="O215" s="23">
        <v>33.78</v>
      </c>
      <c r="P215" s="23">
        <v>96.299</v>
      </c>
      <c r="Q215" s="23">
        <v>34.471</v>
      </c>
      <c r="R215" s="23">
        <v>140.923</v>
      </c>
      <c r="S215" s="23">
        <v>34.87</v>
      </c>
      <c r="T215" s="23">
        <v>129.006</v>
      </c>
      <c r="U215" s="23">
        <v>33.929</v>
      </c>
      <c r="V215" s="23">
        <v>96.335</v>
      </c>
      <c r="W215" s="23">
        <v>34.716</v>
      </c>
      <c r="X215" s="23">
        <v>140.752</v>
      </c>
      <c r="Y215" s="23">
        <v>35.079</v>
      </c>
      <c r="Z215" s="23">
        <v>128.821</v>
      </c>
      <c r="AA215" s="23">
        <v>34.121</v>
      </c>
      <c r="AB215" s="23">
        <v>96.089</v>
      </c>
      <c r="AC215" s="23">
        <v>34.77</v>
      </c>
      <c r="AD215" s="22">
        <f t="shared" si="132"/>
        <v>140.9416667</v>
      </c>
      <c r="AE215" s="22">
        <f t="shared" ref="AE215:AI215" si="216">AVERAGE(M215,S215,Y215)</f>
        <v>34.886</v>
      </c>
      <c r="AF215" s="22">
        <f t="shared" si="216"/>
        <v>129.0026667</v>
      </c>
      <c r="AG215" s="22">
        <f t="shared" si="216"/>
        <v>33.94333333</v>
      </c>
      <c r="AH215" s="22">
        <f t="shared" si="216"/>
        <v>96.241</v>
      </c>
      <c r="AI215" s="22">
        <f t="shared" si="216"/>
        <v>34.65233333</v>
      </c>
      <c r="AJ215" s="22"/>
      <c r="AK215" s="22"/>
      <c r="AL215" s="22"/>
      <c r="AM215" s="22"/>
    </row>
    <row r="216">
      <c r="A216" s="13" t="s">
        <v>20</v>
      </c>
      <c r="B216" s="26">
        <v>45691.0</v>
      </c>
      <c r="C216" s="13" t="s">
        <v>25</v>
      </c>
      <c r="D216" s="13">
        <v>9.3</v>
      </c>
      <c r="E216" s="13" t="s">
        <v>22</v>
      </c>
      <c r="F216" s="13">
        <v>4.0</v>
      </c>
      <c r="G216" s="13" t="s">
        <v>26</v>
      </c>
      <c r="H216" s="23">
        <v>10.7319</v>
      </c>
      <c r="I216" s="23">
        <v>529.2014</v>
      </c>
      <c r="J216" s="23">
        <v>3.719</v>
      </c>
      <c r="K216" s="23">
        <v>0.035</v>
      </c>
      <c r="L216" s="23">
        <v>140.55</v>
      </c>
      <c r="M216" s="23">
        <v>36.023</v>
      </c>
      <c r="N216" s="23">
        <v>127.587</v>
      </c>
      <c r="O216" s="23">
        <v>34.064</v>
      </c>
      <c r="P216" s="23">
        <v>99.196</v>
      </c>
      <c r="Q216" s="23">
        <v>32.881</v>
      </c>
      <c r="R216" s="23">
        <v>140.913</v>
      </c>
      <c r="S216" s="23">
        <v>35.724</v>
      </c>
      <c r="T216" s="23">
        <v>127.895</v>
      </c>
      <c r="U216" s="23">
        <v>33.82</v>
      </c>
      <c r="V216" s="23">
        <v>99.428</v>
      </c>
      <c r="W216" s="23">
        <v>32.715</v>
      </c>
      <c r="X216" s="23">
        <v>141.242</v>
      </c>
      <c r="Y216" s="23">
        <v>35.54</v>
      </c>
      <c r="Z216" s="23">
        <v>128.158</v>
      </c>
      <c r="AA216" s="23">
        <v>33.698</v>
      </c>
      <c r="AB216" s="23">
        <v>99.687</v>
      </c>
      <c r="AC216" s="23">
        <v>32.589</v>
      </c>
      <c r="AD216" s="22">
        <f t="shared" si="132"/>
        <v>140.9016667</v>
      </c>
      <c r="AE216" s="22">
        <f t="shared" ref="AE216:AI216" si="217">AVERAGE(M216,S216,Y216)</f>
        <v>35.76233333</v>
      </c>
      <c r="AF216" s="22">
        <f t="shared" si="217"/>
        <v>127.88</v>
      </c>
      <c r="AG216" s="22">
        <f t="shared" si="217"/>
        <v>33.86066667</v>
      </c>
      <c r="AH216" s="22">
        <f t="shared" si="217"/>
        <v>99.437</v>
      </c>
      <c r="AI216" s="22">
        <f t="shared" si="217"/>
        <v>32.72833333</v>
      </c>
      <c r="AJ216" s="22"/>
      <c r="AK216" s="22"/>
      <c r="AL216" s="22"/>
      <c r="AM216" s="22"/>
    </row>
    <row r="217">
      <c r="A217" s="13" t="s">
        <v>20</v>
      </c>
      <c r="B217" s="26">
        <v>45691.0</v>
      </c>
      <c r="C217" s="13" t="s">
        <v>25</v>
      </c>
      <c r="D217" s="13">
        <v>9.4</v>
      </c>
      <c r="E217" s="13" t="s">
        <v>22</v>
      </c>
      <c r="F217" s="13">
        <v>4.0</v>
      </c>
      <c r="G217" s="13" t="s">
        <v>26</v>
      </c>
      <c r="H217" s="23">
        <v>10.7223</v>
      </c>
      <c r="I217" s="23">
        <v>531.6024</v>
      </c>
      <c r="J217" s="23">
        <v>4.128</v>
      </c>
      <c r="K217" s="23">
        <v>0.017</v>
      </c>
      <c r="L217" s="23">
        <v>138.218</v>
      </c>
      <c r="M217" s="23">
        <v>30.126</v>
      </c>
      <c r="N217" s="23">
        <v>116.032</v>
      </c>
      <c r="O217" s="23">
        <v>28.001</v>
      </c>
      <c r="P217" s="23">
        <v>73.676</v>
      </c>
      <c r="Q217" s="23">
        <v>24.772</v>
      </c>
      <c r="R217" s="23">
        <v>138.088</v>
      </c>
      <c r="S217" s="23">
        <v>30.186</v>
      </c>
      <c r="T217" s="23">
        <v>116.08</v>
      </c>
      <c r="U217" s="23">
        <v>28.168</v>
      </c>
      <c r="V217" s="23">
        <v>73.886</v>
      </c>
      <c r="W217" s="23">
        <v>25.176</v>
      </c>
      <c r="X217" s="23">
        <v>137.48</v>
      </c>
      <c r="Y217" s="23">
        <v>30.844</v>
      </c>
      <c r="Z217" s="23">
        <v>115.402</v>
      </c>
      <c r="AA217" s="23">
        <v>28.556</v>
      </c>
      <c r="AB217" s="23">
        <v>73.232</v>
      </c>
      <c r="AC217" s="23">
        <v>24.886</v>
      </c>
      <c r="AD217" s="22">
        <f t="shared" si="132"/>
        <v>137.9286667</v>
      </c>
      <c r="AE217" s="22">
        <f t="shared" ref="AE217:AI217" si="218">AVERAGE(M217,S217,Y217)</f>
        <v>30.38533333</v>
      </c>
      <c r="AF217" s="22">
        <f t="shared" si="218"/>
        <v>115.838</v>
      </c>
      <c r="AG217" s="22">
        <f t="shared" si="218"/>
        <v>28.24166667</v>
      </c>
      <c r="AH217" s="22">
        <f t="shared" si="218"/>
        <v>73.598</v>
      </c>
      <c r="AI217" s="22">
        <f t="shared" si="218"/>
        <v>24.94466667</v>
      </c>
      <c r="AJ217" s="22"/>
      <c r="AK217" s="22"/>
      <c r="AL217" s="22"/>
      <c r="AM217" s="22"/>
    </row>
    <row r="218">
      <c r="A218" s="13" t="s">
        <v>20</v>
      </c>
      <c r="B218" s="26">
        <v>45691.0</v>
      </c>
      <c r="C218" s="13" t="s">
        <v>21</v>
      </c>
      <c r="D218" s="13">
        <v>10.1</v>
      </c>
      <c r="E218" s="13" t="s">
        <v>27</v>
      </c>
      <c r="F218" s="13">
        <v>3.0</v>
      </c>
      <c r="G218" s="13" t="s">
        <v>23</v>
      </c>
      <c r="H218" s="23">
        <v>18.0029</v>
      </c>
      <c r="I218" s="23">
        <v>507.6511</v>
      </c>
      <c r="J218" s="23">
        <v>3.383</v>
      </c>
      <c r="K218" s="23">
        <v>0.032</v>
      </c>
      <c r="L218" s="23">
        <v>141.33</v>
      </c>
      <c r="M218" s="23">
        <v>28.841</v>
      </c>
      <c r="N218" s="23">
        <v>117.483</v>
      </c>
      <c r="O218" s="23">
        <v>26.02</v>
      </c>
      <c r="P218" s="23">
        <v>76.548</v>
      </c>
      <c r="Q218" s="23">
        <v>23.381</v>
      </c>
      <c r="R218" s="23">
        <v>141.143</v>
      </c>
      <c r="S218" s="23">
        <v>28.887</v>
      </c>
      <c r="T218" s="23">
        <v>117.461</v>
      </c>
      <c r="U218" s="23">
        <v>26.102</v>
      </c>
      <c r="V218" s="23">
        <v>76.589</v>
      </c>
      <c r="W218" s="23">
        <v>23.461</v>
      </c>
      <c r="X218" s="23">
        <v>141.775</v>
      </c>
      <c r="Y218" s="23">
        <v>27.962</v>
      </c>
      <c r="Z218" s="23">
        <v>118.015</v>
      </c>
      <c r="AA218" s="23">
        <v>25.36</v>
      </c>
      <c r="AB218" s="23">
        <v>77.147</v>
      </c>
      <c r="AC218" s="23">
        <v>23.118</v>
      </c>
      <c r="AD218" s="22">
        <f t="shared" si="132"/>
        <v>141.416</v>
      </c>
      <c r="AE218" s="22">
        <f t="shared" ref="AE218:AI218" si="219">AVERAGE(M218,S218,Y218)</f>
        <v>28.56333333</v>
      </c>
      <c r="AF218" s="22">
        <f t="shared" si="219"/>
        <v>117.653</v>
      </c>
      <c r="AG218" s="22">
        <f t="shared" si="219"/>
        <v>25.82733333</v>
      </c>
      <c r="AH218" s="22">
        <f t="shared" si="219"/>
        <v>76.76133333</v>
      </c>
      <c r="AI218" s="22">
        <f t="shared" si="219"/>
        <v>23.32</v>
      </c>
      <c r="AJ218" s="22"/>
      <c r="AK218" s="22"/>
      <c r="AL218" s="22"/>
      <c r="AM218" s="22"/>
    </row>
    <row r="219">
      <c r="A219" s="13" t="s">
        <v>20</v>
      </c>
      <c r="B219" s="26">
        <v>45691.0</v>
      </c>
      <c r="C219" s="13" t="s">
        <v>21</v>
      </c>
      <c r="D219" s="13">
        <v>10.2</v>
      </c>
      <c r="E219" s="13" t="s">
        <v>27</v>
      </c>
      <c r="F219" s="13">
        <v>3.0</v>
      </c>
      <c r="G219" s="13" t="s">
        <v>23</v>
      </c>
      <c r="H219" s="23">
        <v>16.4246</v>
      </c>
      <c r="I219" s="23">
        <v>498.013</v>
      </c>
      <c r="J219" s="23">
        <v>3.588</v>
      </c>
      <c r="K219" s="23">
        <v>0.041</v>
      </c>
      <c r="L219" s="23">
        <v>156.136</v>
      </c>
      <c r="M219" s="23">
        <v>28.421</v>
      </c>
      <c r="N219" s="23">
        <v>130.559</v>
      </c>
      <c r="O219" s="23">
        <v>27.739</v>
      </c>
      <c r="P219" s="23">
        <v>85.557</v>
      </c>
      <c r="Q219" s="23">
        <v>27.377</v>
      </c>
      <c r="R219" s="23">
        <v>156.03</v>
      </c>
      <c r="S219" s="23">
        <v>28.616</v>
      </c>
      <c r="T219" s="23">
        <v>130.55</v>
      </c>
      <c r="U219" s="23">
        <v>27.853</v>
      </c>
      <c r="V219" s="23">
        <v>85.552</v>
      </c>
      <c r="W219" s="23">
        <v>27.373</v>
      </c>
      <c r="X219" s="23">
        <v>156.572</v>
      </c>
      <c r="Y219" s="23">
        <v>28.112</v>
      </c>
      <c r="Z219" s="23">
        <v>130.932</v>
      </c>
      <c r="AA219" s="23">
        <v>27.515</v>
      </c>
      <c r="AB219" s="23">
        <v>85.864</v>
      </c>
      <c r="AC219" s="23">
        <v>27.288</v>
      </c>
      <c r="AD219" s="22">
        <f t="shared" si="132"/>
        <v>156.246</v>
      </c>
      <c r="AE219" s="22">
        <f t="shared" ref="AE219:AI219" si="220">AVERAGE(M219,S219,Y219)</f>
        <v>28.383</v>
      </c>
      <c r="AF219" s="22">
        <f t="shared" si="220"/>
        <v>130.6803333</v>
      </c>
      <c r="AG219" s="22">
        <f t="shared" si="220"/>
        <v>27.70233333</v>
      </c>
      <c r="AH219" s="22">
        <f t="shared" si="220"/>
        <v>85.65766667</v>
      </c>
      <c r="AI219" s="22">
        <f t="shared" si="220"/>
        <v>27.346</v>
      </c>
      <c r="AJ219" s="22"/>
      <c r="AK219" s="22"/>
      <c r="AL219" s="22"/>
      <c r="AM219" s="22"/>
    </row>
    <row r="220">
      <c r="A220" s="13" t="s">
        <v>20</v>
      </c>
      <c r="B220" s="26">
        <v>45691.0</v>
      </c>
      <c r="C220" s="13" t="s">
        <v>21</v>
      </c>
      <c r="D220" s="13">
        <v>10.3</v>
      </c>
      <c r="E220" s="13" t="s">
        <v>27</v>
      </c>
      <c r="F220" s="13">
        <v>3.0</v>
      </c>
      <c r="G220" s="13" t="s">
        <v>23</v>
      </c>
      <c r="H220" s="23">
        <v>16.4622</v>
      </c>
      <c r="I220" s="23">
        <v>499.213</v>
      </c>
      <c r="J220" s="23">
        <v>3.51</v>
      </c>
      <c r="K220" s="23">
        <v>0.047</v>
      </c>
      <c r="L220" s="23">
        <v>134.041</v>
      </c>
      <c r="M220" s="23">
        <v>25.807</v>
      </c>
      <c r="N220" s="23">
        <v>113.697</v>
      </c>
      <c r="O220" s="23">
        <v>24.091</v>
      </c>
      <c r="P220" s="23">
        <v>81.835</v>
      </c>
      <c r="Q220" s="23">
        <v>25.603</v>
      </c>
      <c r="R220" s="23">
        <v>133.476</v>
      </c>
      <c r="S220" s="23">
        <v>26.228</v>
      </c>
      <c r="T220" s="23">
        <v>113.226</v>
      </c>
      <c r="U220" s="23">
        <v>24.455</v>
      </c>
      <c r="V220" s="23">
        <v>81.389</v>
      </c>
      <c r="W220" s="23">
        <v>25.902</v>
      </c>
      <c r="X220" s="23">
        <v>133.614</v>
      </c>
      <c r="Y220" s="23">
        <v>26.194</v>
      </c>
      <c r="Z220" s="23">
        <v>113.417</v>
      </c>
      <c r="AA220" s="23">
        <v>24.492</v>
      </c>
      <c r="AB220" s="23">
        <v>81.512</v>
      </c>
      <c r="AC220" s="23">
        <v>25.909</v>
      </c>
      <c r="AD220" s="22">
        <f t="shared" si="132"/>
        <v>133.7103333</v>
      </c>
      <c r="AE220" s="22">
        <f t="shared" ref="AE220:AI220" si="221">AVERAGE(M220,S220,Y220)</f>
        <v>26.07633333</v>
      </c>
      <c r="AF220" s="22">
        <f t="shared" si="221"/>
        <v>113.4466667</v>
      </c>
      <c r="AG220" s="22">
        <f t="shared" si="221"/>
        <v>24.346</v>
      </c>
      <c r="AH220" s="22">
        <f t="shared" si="221"/>
        <v>81.57866667</v>
      </c>
      <c r="AI220" s="22">
        <f t="shared" si="221"/>
        <v>25.80466667</v>
      </c>
      <c r="AJ220" s="22"/>
      <c r="AK220" s="22"/>
      <c r="AL220" s="22"/>
      <c r="AM220" s="22"/>
    </row>
    <row r="221">
      <c r="A221" s="13" t="s">
        <v>20</v>
      </c>
      <c r="B221" s="26">
        <v>45691.0</v>
      </c>
      <c r="C221" s="13" t="s">
        <v>21</v>
      </c>
      <c r="D221" s="13">
        <v>10.4</v>
      </c>
      <c r="E221" s="13" t="s">
        <v>27</v>
      </c>
      <c r="F221" s="13">
        <v>3.0</v>
      </c>
      <c r="G221" s="13" t="s">
        <v>23</v>
      </c>
      <c r="H221" s="23">
        <v>19.4405</v>
      </c>
      <c r="I221" s="23">
        <v>494.4015</v>
      </c>
      <c r="J221" s="23">
        <v>3.449</v>
      </c>
      <c r="K221" s="23">
        <v>0.018</v>
      </c>
      <c r="L221" s="23">
        <v>151.295</v>
      </c>
      <c r="M221" s="23">
        <v>32.849</v>
      </c>
      <c r="N221" s="23">
        <v>131.726</v>
      </c>
      <c r="O221" s="23">
        <v>31.161</v>
      </c>
      <c r="P221" s="23">
        <v>94.684</v>
      </c>
      <c r="Q221" s="23">
        <v>29.784</v>
      </c>
      <c r="R221" s="13">
        <v>151.218</v>
      </c>
      <c r="S221" s="13">
        <v>32.761</v>
      </c>
      <c r="T221" s="23">
        <v>131.846</v>
      </c>
      <c r="U221" s="23">
        <v>31.084</v>
      </c>
      <c r="V221" s="23">
        <v>94.674</v>
      </c>
      <c r="W221" s="23">
        <v>29.871</v>
      </c>
      <c r="X221" s="23">
        <v>151.183</v>
      </c>
      <c r="Y221" s="23">
        <v>32.693</v>
      </c>
      <c r="Z221" s="23">
        <v>131.596</v>
      </c>
      <c r="AA221" s="23">
        <v>31.079</v>
      </c>
      <c r="AB221" s="23">
        <v>94.365</v>
      </c>
      <c r="AC221" s="23">
        <v>29.764</v>
      </c>
      <c r="AD221" s="22">
        <f t="shared" ref="AD221:AE221" si="222">AVERAGE(L221,J221,X221)</f>
        <v>101.9756667</v>
      </c>
      <c r="AE221" s="22">
        <f t="shared" si="222"/>
        <v>21.85333333</v>
      </c>
      <c r="AF221" s="22">
        <f t="shared" ref="AF221:AI221" si="223">AVERAGE(N221,T221,Z221)</f>
        <v>131.7226667</v>
      </c>
      <c r="AG221" s="22">
        <f t="shared" si="223"/>
        <v>31.108</v>
      </c>
      <c r="AH221" s="22">
        <f t="shared" si="223"/>
        <v>94.57433333</v>
      </c>
      <c r="AI221" s="22">
        <f t="shared" si="223"/>
        <v>29.80633333</v>
      </c>
      <c r="AJ221" s="22"/>
      <c r="AK221" s="22"/>
      <c r="AL221" s="22"/>
      <c r="AM221" s="22"/>
    </row>
    <row r="222">
      <c r="A222" s="13" t="s">
        <v>20</v>
      </c>
      <c r="B222" s="26">
        <v>45691.0</v>
      </c>
      <c r="C222" s="13" t="s">
        <v>21</v>
      </c>
      <c r="D222" s="13">
        <v>11.1</v>
      </c>
      <c r="E222" s="13" t="s">
        <v>27</v>
      </c>
      <c r="F222" s="13">
        <v>3.0</v>
      </c>
      <c r="G222" s="13" t="s">
        <v>23</v>
      </c>
      <c r="H222" s="23">
        <v>17.885</v>
      </c>
      <c r="I222" s="23">
        <v>508.8354</v>
      </c>
      <c r="J222" s="23">
        <v>4.112</v>
      </c>
      <c r="K222" s="23">
        <v>0.008</v>
      </c>
      <c r="L222" s="23">
        <v>151.464</v>
      </c>
      <c r="M222" s="23">
        <v>31.756</v>
      </c>
      <c r="N222" s="23">
        <v>120.256</v>
      </c>
      <c r="O222" s="23">
        <v>30.405</v>
      </c>
      <c r="P222" s="23">
        <v>80.628</v>
      </c>
      <c r="Q222" s="23">
        <v>26.467</v>
      </c>
      <c r="R222" s="23">
        <v>151.083</v>
      </c>
      <c r="S222" s="23">
        <v>32.248</v>
      </c>
      <c r="T222" s="23">
        <v>119.844</v>
      </c>
      <c r="U222" s="23">
        <v>30.729</v>
      </c>
      <c r="V222" s="23">
        <v>80.291</v>
      </c>
      <c r="W222" s="23">
        <v>26.481</v>
      </c>
      <c r="X222" s="23">
        <v>151.083</v>
      </c>
      <c r="Y222" s="23">
        <v>32.248</v>
      </c>
      <c r="Z222" s="23">
        <v>119.844</v>
      </c>
      <c r="AA222" s="23">
        <v>30.729</v>
      </c>
      <c r="AB222" s="23">
        <v>80.291</v>
      </c>
      <c r="AC222" s="23">
        <v>26.481</v>
      </c>
      <c r="AD222" s="22">
        <f t="shared" ref="AD222:AI222" si="224">AVERAGE(L222,R222,X222)</f>
        <v>151.21</v>
      </c>
      <c r="AE222" s="22">
        <f t="shared" si="224"/>
        <v>32.084</v>
      </c>
      <c r="AF222" s="22">
        <f t="shared" si="224"/>
        <v>119.9813333</v>
      </c>
      <c r="AG222" s="22">
        <f t="shared" si="224"/>
        <v>30.621</v>
      </c>
      <c r="AH222" s="22">
        <f t="shared" si="224"/>
        <v>80.40333333</v>
      </c>
      <c r="AI222" s="22">
        <f t="shared" si="224"/>
        <v>26.47633333</v>
      </c>
      <c r="AJ222" s="22"/>
      <c r="AK222" s="22"/>
      <c r="AL222" s="22"/>
      <c r="AM222" s="22"/>
    </row>
    <row r="223">
      <c r="A223" s="13" t="s">
        <v>20</v>
      </c>
      <c r="B223" s="26">
        <v>45691.0</v>
      </c>
      <c r="C223" s="13" t="s">
        <v>21</v>
      </c>
      <c r="D223" s="13">
        <v>11.2</v>
      </c>
      <c r="E223" s="13" t="s">
        <v>27</v>
      </c>
      <c r="F223" s="13">
        <v>3.0</v>
      </c>
      <c r="G223" s="13" t="s">
        <v>23</v>
      </c>
      <c r="H223" s="23">
        <v>21.518</v>
      </c>
      <c r="I223" s="23">
        <v>488.4369</v>
      </c>
      <c r="J223" s="23">
        <v>4.848</v>
      </c>
      <c r="K223" s="23">
        <v>0.025</v>
      </c>
      <c r="L223" s="23">
        <v>163.557</v>
      </c>
      <c r="M223" s="23">
        <v>26.359</v>
      </c>
      <c r="N223" s="23">
        <v>125.233</v>
      </c>
      <c r="O223" s="23">
        <v>25.315</v>
      </c>
      <c r="P223" s="23">
        <v>65.121</v>
      </c>
      <c r="Q223" s="23">
        <v>24.621</v>
      </c>
      <c r="R223" s="23">
        <v>163.363</v>
      </c>
      <c r="S223" s="23">
        <v>26.654</v>
      </c>
      <c r="T223" s="23">
        <v>125.216</v>
      </c>
      <c r="U223" s="23">
        <v>25.425</v>
      </c>
      <c r="V223" s="23">
        <v>65.151</v>
      </c>
      <c r="W223" s="23">
        <v>24.696</v>
      </c>
      <c r="X223" s="23">
        <v>163.009</v>
      </c>
      <c r="Y223" s="23">
        <v>27.116</v>
      </c>
      <c r="Z223" s="23">
        <v>124.932</v>
      </c>
      <c r="AA223" s="23">
        <v>25.849</v>
      </c>
      <c r="AB223" s="23">
        <v>65.175</v>
      </c>
      <c r="AC223" s="23">
        <v>25.103</v>
      </c>
      <c r="AD223" s="22">
        <f t="shared" ref="AD223:AI223" si="225">AVERAGE(L223,R223,X223)</f>
        <v>163.3096667</v>
      </c>
      <c r="AE223" s="22">
        <f t="shared" si="225"/>
        <v>26.70966667</v>
      </c>
      <c r="AF223" s="22">
        <f t="shared" si="225"/>
        <v>125.127</v>
      </c>
      <c r="AG223" s="22">
        <f t="shared" si="225"/>
        <v>25.52966667</v>
      </c>
      <c r="AH223" s="22">
        <f t="shared" si="225"/>
        <v>65.149</v>
      </c>
      <c r="AI223" s="22">
        <f t="shared" si="225"/>
        <v>24.80666667</v>
      </c>
      <c r="AJ223" s="22"/>
      <c r="AK223" s="22"/>
      <c r="AL223" s="22"/>
      <c r="AM223" s="22"/>
    </row>
    <row r="224">
      <c r="A224" s="13" t="s">
        <v>20</v>
      </c>
      <c r="B224" s="26">
        <v>45691.0</v>
      </c>
      <c r="C224" s="13" t="s">
        <v>21</v>
      </c>
      <c r="D224" s="13">
        <v>11.3</v>
      </c>
      <c r="E224" s="13" t="s">
        <v>27</v>
      </c>
      <c r="F224" s="13">
        <v>3.0</v>
      </c>
      <c r="G224" s="13" t="s">
        <v>23</v>
      </c>
      <c r="H224" s="23">
        <v>20.0739</v>
      </c>
      <c r="I224" s="23">
        <v>504.0914</v>
      </c>
      <c r="J224" s="23">
        <v>5.462</v>
      </c>
      <c r="K224" s="23">
        <v>0.027</v>
      </c>
      <c r="L224" s="23">
        <v>162.046</v>
      </c>
      <c r="M224" s="23">
        <v>31.07</v>
      </c>
      <c r="N224" s="23">
        <v>129.507</v>
      </c>
      <c r="O224" s="23">
        <v>30.174</v>
      </c>
      <c r="P224" s="23">
        <v>86.599</v>
      </c>
      <c r="Q224" s="23">
        <v>28.112</v>
      </c>
      <c r="R224" s="23">
        <v>162.15</v>
      </c>
      <c r="S224" s="23">
        <v>30.962</v>
      </c>
      <c r="T224" s="23">
        <v>129.487</v>
      </c>
      <c r="U224" s="23">
        <v>30.089</v>
      </c>
      <c r="V224" s="23">
        <v>86.564</v>
      </c>
      <c r="W224" s="23">
        <v>28.061</v>
      </c>
      <c r="X224" s="23">
        <v>162.38</v>
      </c>
      <c r="Y224" s="23">
        <v>30.837</v>
      </c>
      <c r="Z224" s="23">
        <v>129.654</v>
      </c>
      <c r="AA224" s="23">
        <v>30.042</v>
      </c>
      <c r="AB224" s="23">
        <v>86.629</v>
      </c>
      <c r="AC224" s="23">
        <v>28.085</v>
      </c>
      <c r="AD224" s="22">
        <f t="shared" ref="AD224:AI224" si="226">AVERAGE(L224,R224,X224)</f>
        <v>162.192</v>
      </c>
      <c r="AE224" s="22">
        <f t="shared" si="226"/>
        <v>30.95633333</v>
      </c>
      <c r="AF224" s="22">
        <f t="shared" si="226"/>
        <v>129.5493333</v>
      </c>
      <c r="AG224" s="22">
        <f t="shared" si="226"/>
        <v>30.10166667</v>
      </c>
      <c r="AH224" s="22">
        <f t="shared" si="226"/>
        <v>86.59733333</v>
      </c>
      <c r="AI224" s="22">
        <f t="shared" si="226"/>
        <v>28.086</v>
      </c>
      <c r="AJ224" s="22"/>
      <c r="AK224" s="22"/>
      <c r="AL224" s="22"/>
      <c r="AM224" s="22"/>
    </row>
    <row r="225">
      <c r="A225" s="13" t="s">
        <v>20</v>
      </c>
      <c r="B225" s="26">
        <v>45691.0</v>
      </c>
      <c r="C225" s="13" t="s">
        <v>21</v>
      </c>
      <c r="D225" s="13">
        <v>11.4</v>
      </c>
      <c r="E225" s="13" t="s">
        <v>27</v>
      </c>
      <c r="F225" s="13">
        <v>3.0</v>
      </c>
      <c r="G225" s="13" t="s">
        <v>23</v>
      </c>
      <c r="H225" s="23">
        <v>17.1184</v>
      </c>
      <c r="I225" s="23">
        <v>512.4056</v>
      </c>
      <c r="J225" s="23">
        <v>2.936</v>
      </c>
      <c r="K225" s="23">
        <v>0.035</v>
      </c>
      <c r="L225" s="23">
        <v>167.316</v>
      </c>
      <c r="M225" s="23">
        <v>34.469</v>
      </c>
      <c r="N225" s="23">
        <v>136.05</v>
      </c>
      <c r="O225" s="23">
        <v>31.214</v>
      </c>
      <c r="P225" s="23">
        <v>85.003</v>
      </c>
      <c r="Q225" s="23">
        <v>26.19</v>
      </c>
      <c r="R225" s="23">
        <v>163.781</v>
      </c>
      <c r="S225" s="23">
        <v>37.428</v>
      </c>
      <c r="T225" s="23">
        <v>133.266</v>
      </c>
      <c r="U225" s="23">
        <v>33.275</v>
      </c>
      <c r="V225" s="23">
        <v>82.833</v>
      </c>
      <c r="W225" s="23">
        <v>27.725</v>
      </c>
      <c r="X225" s="23">
        <v>165.939</v>
      </c>
      <c r="Y225" s="23">
        <v>36.056</v>
      </c>
      <c r="Z225" s="23">
        <v>134.89</v>
      </c>
      <c r="AA225" s="23">
        <v>32.367</v>
      </c>
      <c r="AB225" s="23">
        <v>84.202</v>
      </c>
      <c r="AC225" s="23">
        <v>26.664</v>
      </c>
      <c r="AD225" s="22">
        <f t="shared" ref="AD225:AI225" si="227">AVERAGE(L225,R225,X225)</f>
        <v>165.6786667</v>
      </c>
      <c r="AE225" s="22">
        <f t="shared" si="227"/>
        <v>35.98433333</v>
      </c>
      <c r="AF225" s="22">
        <f t="shared" si="227"/>
        <v>134.7353333</v>
      </c>
      <c r="AG225" s="22">
        <f t="shared" si="227"/>
        <v>32.28533333</v>
      </c>
      <c r="AH225" s="22">
        <f t="shared" si="227"/>
        <v>84.01266667</v>
      </c>
      <c r="AI225" s="22">
        <f t="shared" si="227"/>
        <v>26.85966667</v>
      </c>
      <c r="AJ225" s="22"/>
      <c r="AK225" s="22"/>
      <c r="AL225" s="22"/>
      <c r="AM225" s="22"/>
    </row>
    <row r="226">
      <c r="A226" s="13" t="s">
        <v>20</v>
      </c>
      <c r="B226" s="26">
        <v>45691.0</v>
      </c>
      <c r="C226" s="13" t="s">
        <v>21</v>
      </c>
      <c r="D226" s="13">
        <v>12.1</v>
      </c>
      <c r="E226" s="13" t="s">
        <v>27</v>
      </c>
      <c r="F226" s="13">
        <v>3.0</v>
      </c>
      <c r="G226" s="13" t="s">
        <v>23</v>
      </c>
      <c r="H226" s="23">
        <v>17.2872</v>
      </c>
      <c r="I226" s="23">
        <v>504.0</v>
      </c>
      <c r="J226" s="23">
        <v>3.104</v>
      </c>
      <c r="K226" s="23">
        <v>0.064</v>
      </c>
      <c r="L226" s="23">
        <v>162.072</v>
      </c>
      <c r="M226" s="23">
        <v>29.897</v>
      </c>
      <c r="N226" s="23">
        <v>134.885</v>
      </c>
      <c r="O226" s="23">
        <v>26.749</v>
      </c>
      <c r="P226" s="23">
        <v>93.136</v>
      </c>
      <c r="Q226" s="23">
        <v>23.137</v>
      </c>
      <c r="R226" s="23">
        <v>162.147</v>
      </c>
      <c r="S226" s="23">
        <v>30.232</v>
      </c>
      <c r="T226" s="23">
        <v>134.683</v>
      </c>
      <c r="U226" s="23">
        <v>27.084</v>
      </c>
      <c r="V226" s="23">
        <v>92.878</v>
      </c>
      <c r="W226" s="23">
        <v>23.239</v>
      </c>
      <c r="X226" s="23">
        <v>161.152</v>
      </c>
      <c r="Y226" s="23">
        <v>31.57</v>
      </c>
      <c r="Z226" s="23">
        <v>133.88</v>
      </c>
      <c r="AA226" s="23">
        <v>28.123</v>
      </c>
      <c r="AB226" s="23">
        <v>92.522</v>
      </c>
      <c r="AC226" s="23">
        <v>23.83</v>
      </c>
      <c r="AD226" s="22">
        <f t="shared" ref="AD226:AI226" si="228">AVERAGE(L226,R226,X226)</f>
        <v>161.7903333</v>
      </c>
      <c r="AE226" s="22">
        <f t="shared" si="228"/>
        <v>30.56633333</v>
      </c>
      <c r="AF226" s="22">
        <f t="shared" si="228"/>
        <v>134.4826667</v>
      </c>
      <c r="AG226" s="22">
        <f t="shared" si="228"/>
        <v>27.31866667</v>
      </c>
      <c r="AH226" s="22">
        <f t="shared" si="228"/>
        <v>92.84533333</v>
      </c>
      <c r="AI226" s="22">
        <f t="shared" si="228"/>
        <v>23.402</v>
      </c>
      <c r="AJ226" s="22"/>
      <c r="AK226" s="22"/>
      <c r="AL226" s="22"/>
      <c r="AM226" s="22"/>
    </row>
    <row r="227">
      <c r="A227" s="13" t="s">
        <v>20</v>
      </c>
      <c r="B227" s="26">
        <v>45691.0</v>
      </c>
      <c r="C227" s="13" t="s">
        <v>21</v>
      </c>
      <c r="D227" s="13">
        <v>12.2</v>
      </c>
      <c r="E227" s="13" t="s">
        <v>27</v>
      </c>
      <c r="F227" s="13">
        <v>3.0</v>
      </c>
      <c r="G227" s="13" t="s">
        <v>23</v>
      </c>
      <c r="H227" s="23">
        <v>18.2269</v>
      </c>
      <c r="I227" s="23">
        <v>488.4236</v>
      </c>
      <c r="J227" s="23">
        <v>3.671</v>
      </c>
      <c r="K227" s="23">
        <v>0.056</v>
      </c>
      <c r="L227" s="23">
        <v>161.667</v>
      </c>
      <c r="M227" s="23">
        <v>31.857</v>
      </c>
      <c r="N227" s="23">
        <v>132.754</v>
      </c>
      <c r="O227" s="23">
        <v>28.311</v>
      </c>
      <c r="P227" s="23">
        <v>90.239</v>
      </c>
      <c r="Q227" s="23">
        <v>22.887</v>
      </c>
      <c r="R227" s="23">
        <v>162.903</v>
      </c>
      <c r="S227" s="23">
        <v>30.379</v>
      </c>
      <c r="T227" s="23">
        <v>133.601</v>
      </c>
      <c r="U227" s="23">
        <v>27.436</v>
      </c>
      <c r="V227" s="23">
        <v>90.62</v>
      </c>
      <c r="W227" s="23">
        <v>22.536</v>
      </c>
      <c r="X227" s="23">
        <v>162.903</v>
      </c>
      <c r="Y227" s="23">
        <v>30.951</v>
      </c>
      <c r="Z227" s="23">
        <v>133.554</v>
      </c>
      <c r="AA227" s="23">
        <v>27.931</v>
      </c>
      <c r="AB227" s="23">
        <v>90.524</v>
      </c>
      <c r="AC227" s="23">
        <v>22.838</v>
      </c>
      <c r="AD227" s="22">
        <f t="shared" ref="AD227:AI227" si="229">AVERAGE(L227,R227,X227)</f>
        <v>162.491</v>
      </c>
      <c r="AE227" s="22">
        <f t="shared" si="229"/>
        <v>31.06233333</v>
      </c>
      <c r="AF227" s="22">
        <f t="shared" si="229"/>
        <v>133.303</v>
      </c>
      <c r="AG227" s="22">
        <f t="shared" si="229"/>
        <v>27.89266667</v>
      </c>
      <c r="AH227" s="22">
        <f t="shared" si="229"/>
        <v>90.461</v>
      </c>
      <c r="AI227" s="22">
        <f t="shared" si="229"/>
        <v>22.75366667</v>
      </c>
      <c r="AJ227" s="22"/>
      <c r="AK227" s="22"/>
      <c r="AL227" s="22"/>
      <c r="AM227" s="22"/>
    </row>
    <row r="228">
      <c r="A228" s="13" t="s">
        <v>20</v>
      </c>
      <c r="B228" s="26">
        <v>45691.0</v>
      </c>
      <c r="C228" s="13" t="s">
        <v>21</v>
      </c>
      <c r="D228" s="13">
        <v>12.3</v>
      </c>
      <c r="E228" s="13" t="s">
        <v>27</v>
      </c>
      <c r="F228" s="13">
        <v>3.0</v>
      </c>
      <c r="G228" s="13" t="s">
        <v>23</v>
      </c>
      <c r="H228" s="23">
        <v>18.3921</v>
      </c>
      <c r="I228" s="23">
        <v>490.8132</v>
      </c>
      <c r="J228" s="23">
        <v>3.127</v>
      </c>
      <c r="K228" s="23">
        <v>0.036</v>
      </c>
      <c r="L228" s="23">
        <v>161.141</v>
      </c>
      <c r="M228" s="23">
        <v>31.539</v>
      </c>
      <c r="N228" s="23">
        <v>133.443</v>
      </c>
      <c r="O228" s="23">
        <v>27.25</v>
      </c>
      <c r="P228" s="23">
        <v>86.118</v>
      </c>
      <c r="Q228" s="23">
        <v>20.92</v>
      </c>
      <c r="R228" s="23">
        <v>161.78</v>
      </c>
      <c r="S228" s="23">
        <v>30.725</v>
      </c>
      <c r="T228" s="23">
        <v>133.958</v>
      </c>
      <c r="U228" s="23">
        <v>26.62</v>
      </c>
      <c r="V228" s="23">
        <v>86.429</v>
      </c>
      <c r="W228" s="23">
        <v>20.563</v>
      </c>
      <c r="X228" s="23">
        <v>162.96</v>
      </c>
      <c r="Y228" s="23">
        <v>30.023</v>
      </c>
      <c r="Z228" s="23">
        <v>134.707</v>
      </c>
      <c r="AA228" s="23">
        <v>26.353</v>
      </c>
      <c r="AB228" s="23">
        <v>86.846</v>
      </c>
      <c r="AC228" s="23">
        <v>20.414</v>
      </c>
      <c r="AD228" s="22">
        <f t="shared" ref="AD228:AI228" si="230">AVERAGE(L228,R228,X228)</f>
        <v>161.9603333</v>
      </c>
      <c r="AE228" s="22">
        <f t="shared" si="230"/>
        <v>30.76233333</v>
      </c>
      <c r="AF228" s="22">
        <f t="shared" si="230"/>
        <v>134.036</v>
      </c>
      <c r="AG228" s="22">
        <f t="shared" si="230"/>
        <v>26.741</v>
      </c>
      <c r="AH228" s="22">
        <f t="shared" si="230"/>
        <v>86.46433333</v>
      </c>
      <c r="AI228" s="22">
        <f t="shared" si="230"/>
        <v>20.63233333</v>
      </c>
      <c r="AJ228" s="22"/>
      <c r="AK228" s="22"/>
      <c r="AL228" s="22"/>
      <c r="AM228" s="22"/>
    </row>
    <row r="229">
      <c r="A229" s="13" t="s">
        <v>20</v>
      </c>
      <c r="B229" s="26">
        <v>45691.0</v>
      </c>
      <c r="C229" s="13" t="s">
        <v>21</v>
      </c>
      <c r="D229" s="13">
        <v>12.4</v>
      </c>
      <c r="E229" s="13" t="s">
        <v>27</v>
      </c>
      <c r="F229" s="13">
        <v>3.0</v>
      </c>
      <c r="G229" s="13" t="s">
        <v>23</v>
      </c>
      <c r="H229" s="23">
        <v>16.2486</v>
      </c>
      <c r="I229" s="23">
        <v>490.8939</v>
      </c>
      <c r="J229" s="23">
        <v>4.628</v>
      </c>
      <c r="K229" s="23">
        <v>0.044</v>
      </c>
      <c r="L229" s="23">
        <v>153.074</v>
      </c>
      <c r="M229" s="23">
        <v>35.511</v>
      </c>
      <c r="N229" s="23">
        <v>120.087</v>
      </c>
      <c r="O229" s="23">
        <v>33.451</v>
      </c>
      <c r="P229" s="23">
        <v>73.584</v>
      </c>
      <c r="Q229" s="23">
        <v>29.29</v>
      </c>
      <c r="R229" s="23">
        <v>153.167</v>
      </c>
      <c r="S229" s="23">
        <v>35.401</v>
      </c>
      <c r="T229" s="23">
        <v>120.081</v>
      </c>
      <c r="U229" s="23">
        <v>33.357</v>
      </c>
      <c r="V229" s="23">
        <v>73.358</v>
      </c>
      <c r="W229" s="23">
        <v>29.394</v>
      </c>
      <c r="X229" s="23">
        <v>152.927</v>
      </c>
      <c r="Y229" s="23">
        <v>35.556</v>
      </c>
      <c r="Z229" s="23">
        <v>119.931</v>
      </c>
      <c r="AA229" s="23">
        <v>33.446</v>
      </c>
      <c r="AB229" s="23">
        <v>73.16</v>
      </c>
      <c r="AC229" s="23">
        <v>29.355</v>
      </c>
      <c r="AD229" s="22">
        <f t="shared" ref="AD229:AI229" si="231">AVERAGE(L229,R229,X229)</f>
        <v>153.056</v>
      </c>
      <c r="AE229" s="22">
        <f t="shared" si="231"/>
        <v>35.48933333</v>
      </c>
      <c r="AF229" s="22">
        <f t="shared" si="231"/>
        <v>120.033</v>
      </c>
      <c r="AG229" s="22">
        <f t="shared" si="231"/>
        <v>33.418</v>
      </c>
      <c r="AH229" s="22">
        <f t="shared" si="231"/>
        <v>73.36733333</v>
      </c>
      <c r="AI229" s="22">
        <f t="shared" si="231"/>
        <v>29.34633333</v>
      </c>
      <c r="AJ229" s="22"/>
      <c r="AK229" s="22"/>
      <c r="AL229" s="22"/>
      <c r="AM229" s="22"/>
    </row>
    <row r="230">
      <c r="A230" s="13" t="s">
        <v>20</v>
      </c>
      <c r="B230" s="26">
        <v>45691.0</v>
      </c>
      <c r="C230" s="13" t="s">
        <v>24</v>
      </c>
      <c r="D230" s="13">
        <v>10.1</v>
      </c>
      <c r="E230" s="13" t="s">
        <v>27</v>
      </c>
      <c r="F230" s="13">
        <v>3.0</v>
      </c>
      <c r="G230" s="13" t="s">
        <v>23</v>
      </c>
      <c r="H230" s="23">
        <v>20.0834</v>
      </c>
      <c r="I230" s="23">
        <v>505.2057</v>
      </c>
      <c r="J230" s="23">
        <v>9.46</v>
      </c>
      <c r="K230" s="23">
        <v>0.046</v>
      </c>
      <c r="L230" s="23">
        <v>160.552</v>
      </c>
      <c r="M230" s="23">
        <v>24.547</v>
      </c>
      <c r="N230" s="23">
        <v>122.652</v>
      </c>
      <c r="O230" s="23">
        <v>22.44</v>
      </c>
      <c r="P230" s="23">
        <v>71.65</v>
      </c>
      <c r="Q230" s="23">
        <v>23.878</v>
      </c>
      <c r="R230" s="23">
        <v>161.343</v>
      </c>
      <c r="S230" s="23">
        <v>23.017</v>
      </c>
      <c r="T230" s="23">
        <v>123.03</v>
      </c>
      <c r="U230" s="23">
        <v>21.491</v>
      </c>
      <c r="V230" s="23">
        <v>71.656</v>
      </c>
      <c r="W230" s="23">
        <v>23.564</v>
      </c>
      <c r="X230" s="23">
        <v>161.41</v>
      </c>
      <c r="Y230" s="23">
        <v>22.927</v>
      </c>
      <c r="Z230" s="23">
        <v>123.025</v>
      </c>
      <c r="AA230" s="23">
        <v>21.421</v>
      </c>
      <c r="AB230" s="23">
        <v>71.621</v>
      </c>
      <c r="AC230" s="23">
        <v>23.5</v>
      </c>
      <c r="AD230" s="22">
        <f t="shared" ref="AD230:AI230" si="232">AVERAGE(L230,R230,X230)</f>
        <v>161.1016667</v>
      </c>
      <c r="AE230" s="22">
        <f t="shared" si="232"/>
        <v>23.497</v>
      </c>
      <c r="AF230" s="22">
        <f t="shared" si="232"/>
        <v>122.9023333</v>
      </c>
      <c r="AG230" s="22">
        <f t="shared" si="232"/>
        <v>21.784</v>
      </c>
      <c r="AH230" s="22">
        <f t="shared" si="232"/>
        <v>71.64233333</v>
      </c>
      <c r="AI230" s="22">
        <f t="shared" si="232"/>
        <v>23.64733333</v>
      </c>
      <c r="AJ230" s="22"/>
      <c r="AK230" s="22"/>
      <c r="AL230" s="22"/>
      <c r="AM230" s="22"/>
    </row>
    <row r="231">
      <c r="A231" s="13" t="s">
        <v>20</v>
      </c>
      <c r="B231" s="26">
        <v>45691.0</v>
      </c>
      <c r="C231" s="13" t="s">
        <v>24</v>
      </c>
      <c r="D231" s="13">
        <v>10.2</v>
      </c>
      <c r="E231" s="13" t="s">
        <v>27</v>
      </c>
      <c r="F231" s="13">
        <v>3.0</v>
      </c>
      <c r="G231" s="13" t="s">
        <v>23</v>
      </c>
      <c r="H231" s="23">
        <v>16.035</v>
      </c>
      <c r="I231" s="23">
        <v>504.0129</v>
      </c>
      <c r="J231" s="23">
        <v>7.598</v>
      </c>
      <c r="K231" s="23">
        <v>0.032</v>
      </c>
      <c r="L231" s="23">
        <v>161.846</v>
      </c>
      <c r="M231" s="23">
        <v>28.669</v>
      </c>
      <c r="N231" s="23">
        <v>121.598</v>
      </c>
      <c r="O231" s="23">
        <v>25.621</v>
      </c>
      <c r="P231" s="23">
        <v>67.849</v>
      </c>
      <c r="Q231" s="23">
        <v>25.516</v>
      </c>
      <c r="R231" s="23">
        <v>161.97</v>
      </c>
      <c r="S231" s="23">
        <v>28.487</v>
      </c>
      <c r="T231" s="23">
        <v>121.406</v>
      </c>
      <c r="U231" s="23">
        <v>25.292</v>
      </c>
      <c r="V231" s="23">
        <v>67.639</v>
      </c>
      <c r="W231" s="23">
        <v>25.281</v>
      </c>
      <c r="X231" s="23">
        <v>161.565</v>
      </c>
      <c r="Y231" s="23">
        <v>28.809</v>
      </c>
      <c r="Z231" s="23">
        <v>121.461</v>
      </c>
      <c r="AA231" s="23">
        <v>25.492</v>
      </c>
      <c r="AB231" s="23">
        <v>67.832</v>
      </c>
      <c r="AC231" s="23">
        <v>25.522</v>
      </c>
      <c r="AD231" s="22">
        <f t="shared" ref="AD231:AI231" si="233">AVERAGE(L231,R231,X231)</f>
        <v>161.7936667</v>
      </c>
      <c r="AE231" s="22">
        <f t="shared" si="233"/>
        <v>28.655</v>
      </c>
      <c r="AF231" s="22">
        <f t="shared" si="233"/>
        <v>121.4883333</v>
      </c>
      <c r="AG231" s="22">
        <f t="shared" si="233"/>
        <v>25.46833333</v>
      </c>
      <c r="AH231" s="22">
        <f t="shared" si="233"/>
        <v>67.77333333</v>
      </c>
      <c r="AI231" s="22">
        <f t="shared" si="233"/>
        <v>25.43966667</v>
      </c>
      <c r="AJ231" s="22"/>
      <c r="AK231" s="22"/>
      <c r="AL231" s="22"/>
      <c r="AM231" s="22"/>
    </row>
    <row r="232">
      <c r="A232" s="13" t="s">
        <v>20</v>
      </c>
      <c r="B232" s="26">
        <v>45691.0</v>
      </c>
      <c r="C232" s="13" t="s">
        <v>24</v>
      </c>
      <c r="D232" s="13">
        <v>10.3</v>
      </c>
      <c r="E232" s="13" t="s">
        <v>27</v>
      </c>
      <c r="F232" s="13">
        <v>3.0</v>
      </c>
      <c r="G232" s="13" t="s">
        <v>23</v>
      </c>
      <c r="H232" s="23">
        <v>16.1695</v>
      </c>
      <c r="I232" s="23">
        <v>502.8129</v>
      </c>
      <c r="J232" s="23">
        <v>9.648</v>
      </c>
      <c r="K232" s="23">
        <v>0.059</v>
      </c>
      <c r="L232" s="23">
        <v>163.522</v>
      </c>
      <c r="M232" s="23">
        <v>27.467</v>
      </c>
      <c r="N232" s="23">
        <v>126.915</v>
      </c>
      <c r="O232" s="23">
        <v>26.176</v>
      </c>
      <c r="P232" s="23">
        <v>84.61</v>
      </c>
      <c r="Q232" s="23">
        <v>28.759</v>
      </c>
      <c r="R232" s="23">
        <v>162.426</v>
      </c>
      <c r="S232" s="23">
        <v>28.819</v>
      </c>
      <c r="T232" s="23">
        <v>126.269</v>
      </c>
      <c r="U232" s="23">
        <v>26.864</v>
      </c>
      <c r="V232" s="23">
        <v>84.312</v>
      </c>
      <c r="W232" s="23">
        <v>28.93</v>
      </c>
      <c r="X232" s="23">
        <v>163.114</v>
      </c>
      <c r="Y232" s="23">
        <v>28.17</v>
      </c>
      <c r="Z232" s="23">
        <v>126.614</v>
      </c>
      <c r="AA232" s="23">
        <v>26.623</v>
      </c>
      <c r="AB232" s="23">
        <v>84.406</v>
      </c>
      <c r="AC232" s="23">
        <v>28.826</v>
      </c>
      <c r="AD232" s="22">
        <f t="shared" ref="AD232:AI232" si="234">AVERAGE(L232,R232,X232)</f>
        <v>163.0206667</v>
      </c>
      <c r="AE232" s="22">
        <f t="shared" si="234"/>
        <v>28.152</v>
      </c>
      <c r="AF232" s="22">
        <f t="shared" si="234"/>
        <v>126.5993333</v>
      </c>
      <c r="AG232" s="22">
        <f t="shared" si="234"/>
        <v>26.55433333</v>
      </c>
      <c r="AH232" s="22">
        <f t="shared" si="234"/>
        <v>84.44266667</v>
      </c>
      <c r="AI232" s="22">
        <f t="shared" si="234"/>
        <v>28.83833333</v>
      </c>
      <c r="AJ232" s="22"/>
      <c r="AK232" s="22"/>
      <c r="AL232" s="22"/>
      <c r="AM232" s="22"/>
    </row>
    <row r="233">
      <c r="A233" s="13" t="s">
        <v>20</v>
      </c>
      <c r="B233" s="26">
        <v>45691.0</v>
      </c>
      <c r="C233" s="13" t="s">
        <v>24</v>
      </c>
      <c r="D233" s="13">
        <v>10.4</v>
      </c>
      <c r="E233" s="13" t="s">
        <v>27</v>
      </c>
      <c r="F233" s="13">
        <v>3.0</v>
      </c>
      <c r="G233" s="13" t="s">
        <v>23</v>
      </c>
      <c r="H233" s="23">
        <v>19.4165</v>
      </c>
      <c r="I233" s="23">
        <v>480.006</v>
      </c>
      <c r="J233" s="23">
        <v>9.766</v>
      </c>
      <c r="K233" s="23">
        <v>0.077</v>
      </c>
      <c r="L233" s="23">
        <v>170.886</v>
      </c>
      <c r="M233" s="23">
        <v>24.843</v>
      </c>
      <c r="N233" s="23">
        <v>135.231</v>
      </c>
      <c r="O233" s="23">
        <v>20.746</v>
      </c>
      <c r="P233" s="23">
        <v>91.853</v>
      </c>
      <c r="Q233" s="23">
        <v>21.673</v>
      </c>
      <c r="R233" s="23">
        <v>170.662</v>
      </c>
      <c r="S233" s="23">
        <v>25.259</v>
      </c>
      <c r="T233" s="23">
        <v>135.091</v>
      </c>
      <c r="U233" s="23">
        <v>21.032</v>
      </c>
      <c r="V233" s="23">
        <v>91.855</v>
      </c>
      <c r="W233" s="23">
        <v>21.682</v>
      </c>
      <c r="X233" s="23">
        <v>170.598</v>
      </c>
      <c r="Y233" s="23">
        <v>25.406</v>
      </c>
      <c r="Z233" s="23">
        <v>135.063</v>
      </c>
      <c r="AA233" s="23">
        <v>21.103</v>
      </c>
      <c r="AB233" s="23">
        <v>91.895</v>
      </c>
      <c r="AC233" s="23">
        <v>21.682</v>
      </c>
      <c r="AD233" s="22">
        <f t="shared" ref="AD233:AI233" si="235">AVERAGE(L233,R233,X233)</f>
        <v>170.7153333</v>
      </c>
      <c r="AE233" s="22">
        <f t="shared" si="235"/>
        <v>25.16933333</v>
      </c>
      <c r="AF233" s="22">
        <f t="shared" si="235"/>
        <v>135.1283333</v>
      </c>
      <c r="AG233" s="22">
        <f t="shared" si="235"/>
        <v>20.96033333</v>
      </c>
      <c r="AH233" s="22">
        <f t="shared" si="235"/>
        <v>91.86766667</v>
      </c>
      <c r="AI233" s="22">
        <f t="shared" si="235"/>
        <v>21.679</v>
      </c>
      <c r="AJ233" s="22"/>
      <c r="AK233" s="22"/>
      <c r="AL233" s="22"/>
      <c r="AM233" s="22"/>
    </row>
    <row r="234">
      <c r="A234" s="13" t="s">
        <v>20</v>
      </c>
      <c r="B234" s="26">
        <v>45691.0</v>
      </c>
      <c r="C234" s="13" t="s">
        <v>24</v>
      </c>
      <c r="D234" s="13">
        <v>11.1</v>
      </c>
      <c r="E234" s="13" t="s">
        <v>27</v>
      </c>
      <c r="F234" s="13">
        <v>3.0</v>
      </c>
      <c r="G234" s="13" t="s">
        <v>23</v>
      </c>
      <c r="H234" s="23">
        <v>27.588</v>
      </c>
      <c r="I234" s="23">
        <v>499.2519</v>
      </c>
      <c r="J234" s="23">
        <v>9.306</v>
      </c>
      <c r="K234" s="23">
        <v>0.028</v>
      </c>
      <c r="L234" s="23">
        <v>155.255</v>
      </c>
      <c r="M234" s="23">
        <v>38.881</v>
      </c>
      <c r="N234" s="23">
        <v>119.131</v>
      </c>
      <c r="O234" s="23">
        <v>34.542</v>
      </c>
      <c r="P234" s="23">
        <v>72.439</v>
      </c>
      <c r="Q234" s="23">
        <v>28.977</v>
      </c>
      <c r="R234" s="23">
        <v>155.378</v>
      </c>
      <c r="S234" s="23">
        <v>38.849</v>
      </c>
      <c r="T234" s="23">
        <v>119.197</v>
      </c>
      <c r="U234" s="23">
        <v>34.564</v>
      </c>
      <c r="V234" s="23">
        <v>72.384</v>
      </c>
      <c r="W234" s="23">
        <v>28.962</v>
      </c>
      <c r="X234" s="23">
        <v>155.239</v>
      </c>
      <c r="Y234" s="23">
        <v>38.909</v>
      </c>
      <c r="Z234" s="23">
        <v>118.97</v>
      </c>
      <c r="AA234" s="23">
        <v>34.462</v>
      </c>
      <c r="AB234" s="23">
        <v>72.038</v>
      </c>
      <c r="AC234" s="23">
        <v>28.595</v>
      </c>
      <c r="AD234" s="22">
        <f t="shared" ref="AD234:AI234" si="236">AVERAGE(L234,R234,X234)</f>
        <v>155.2906667</v>
      </c>
      <c r="AE234" s="22">
        <f t="shared" si="236"/>
        <v>38.87966667</v>
      </c>
      <c r="AF234" s="22">
        <f t="shared" si="236"/>
        <v>119.0993333</v>
      </c>
      <c r="AG234" s="22">
        <f t="shared" si="236"/>
        <v>34.52266667</v>
      </c>
      <c r="AH234" s="22">
        <f t="shared" si="236"/>
        <v>72.287</v>
      </c>
      <c r="AI234" s="22">
        <f t="shared" si="236"/>
        <v>28.84466667</v>
      </c>
      <c r="AJ234" s="22"/>
      <c r="AK234" s="22"/>
      <c r="AL234" s="22"/>
      <c r="AM234" s="22"/>
    </row>
    <row r="235">
      <c r="A235" s="13" t="s">
        <v>20</v>
      </c>
      <c r="B235" s="26">
        <v>45691.0</v>
      </c>
      <c r="C235" s="13" t="s">
        <v>24</v>
      </c>
      <c r="D235" s="13">
        <v>11.2</v>
      </c>
      <c r="E235" s="13" t="s">
        <v>27</v>
      </c>
      <c r="F235" s="13">
        <v>3.0</v>
      </c>
      <c r="G235" s="13" t="s">
        <v>23</v>
      </c>
      <c r="H235" s="23">
        <v>18.9871</v>
      </c>
      <c r="I235" s="23">
        <v>462.039</v>
      </c>
      <c r="J235" s="23">
        <v>6.113</v>
      </c>
      <c r="K235" s="23">
        <v>0.047</v>
      </c>
      <c r="L235" s="23">
        <v>158.757</v>
      </c>
      <c r="M235" s="23">
        <v>19.194</v>
      </c>
      <c r="N235" s="23">
        <v>119.878</v>
      </c>
      <c r="O235" s="23">
        <v>16.316</v>
      </c>
      <c r="P235" s="23">
        <v>69.983</v>
      </c>
      <c r="Q235" s="23">
        <v>23.56</v>
      </c>
      <c r="R235" s="23">
        <v>158.874</v>
      </c>
      <c r="S235" s="23">
        <v>19.227</v>
      </c>
      <c r="T235" s="23">
        <v>119.867</v>
      </c>
      <c r="U235" s="23">
        <v>16.518</v>
      </c>
      <c r="V235" s="23">
        <v>69.99</v>
      </c>
      <c r="W235" s="23">
        <v>23.782</v>
      </c>
      <c r="X235" s="23">
        <v>158.023</v>
      </c>
      <c r="Y235" s="23">
        <v>21.023</v>
      </c>
      <c r="Z235" s="23">
        <v>119.203</v>
      </c>
      <c r="AA235" s="23">
        <v>17.54</v>
      </c>
      <c r="AB235" s="23">
        <v>69.51</v>
      </c>
      <c r="AC235" s="23">
        <v>23.667</v>
      </c>
      <c r="AD235" s="22">
        <f t="shared" ref="AD235:AI235" si="237">AVERAGE(L235,R235,X235)</f>
        <v>158.5513333</v>
      </c>
      <c r="AE235" s="22">
        <f t="shared" si="237"/>
        <v>19.81466667</v>
      </c>
      <c r="AF235" s="22">
        <f t="shared" si="237"/>
        <v>119.6493333</v>
      </c>
      <c r="AG235" s="22">
        <f t="shared" si="237"/>
        <v>16.79133333</v>
      </c>
      <c r="AH235" s="22">
        <f t="shared" si="237"/>
        <v>69.82766667</v>
      </c>
      <c r="AI235" s="22">
        <f t="shared" si="237"/>
        <v>23.66966667</v>
      </c>
      <c r="AJ235" s="22"/>
      <c r="AK235" s="22"/>
      <c r="AL235" s="22"/>
      <c r="AM235" s="22"/>
    </row>
    <row r="236">
      <c r="A236" s="13" t="s">
        <v>20</v>
      </c>
      <c r="B236" s="26">
        <v>45691.0</v>
      </c>
      <c r="C236" s="13" t="s">
        <v>24</v>
      </c>
      <c r="D236" s="13">
        <v>11.3</v>
      </c>
      <c r="E236" s="13" t="s">
        <v>27</v>
      </c>
      <c r="F236" s="13">
        <v>3.0</v>
      </c>
      <c r="G236" s="13" t="s">
        <v>23</v>
      </c>
      <c r="H236" s="23">
        <v>15.0083</v>
      </c>
      <c r="I236" s="23">
        <v>516.0502</v>
      </c>
      <c r="J236" s="23">
        <v>5.844</v>
      </c>
      <c r="K236" s="23">
        <v>0.045</v>
      </c>
      <c r="L236" s="23">
        <v>140.292</v>
      </c>
      <c r="M236" s="23">
        <v>39.075</v>
      </c>
      <c r="N236" s="23">
        <v>104.126</v>
      </c>
      <c r="O236" s="23">
        <v>36.002</v>
      </c>
      <c r="P236" s="23">
        <v>66.527</v>
      </c>
      <c r="Q236" s="23">
        <v>31.9</v>
      </c>
      <c r="R236" s="23">
        <v>139.823</v>
      </c>
      <c r="S236" s="23">
        <v>39.126</v>
      </c>
      <c r="T236" s="23">
        <v>103.594</v>
      </c>
      <c r="U236" s="23">
        <v>35.656</v>
      </c>
      <c r="V236" s="23">
        <v>65.947</v>
      </c>
      <c r="W236" s="23">
        <v>30.989</v>
      </c>
      <c r="X236" s="23">
        <v>140.175</v>
      </c>
      <c r="Y236" s="23">
        <v>38.828</v>
      </c>
      <c r="Z236" s="23">
        <v>103.971</v>
      </c>
      <c r="AA236" s="23">
        <v>35.572</v>
      </c>
      <c r="AB236" s="23">
        <v>66.301</v>
      </c>
      <c r="AC236" s="23">
        <v>31.083</v>
      </c>
      <c r="AD236" s="22">
        <f t="shared" ref="AD236:AI236" si="238">AVERAGE(L236,R236,X236)</f>
        <v>140.0966667</v>
      </c>
      <c r="AE236" s="22">
        <f t="shared" si="238"/>
        <v>39.00966667</v>
      </c>
      <c r="AF236" s="22">
        <f t="shared" si="238"/>
        <v>103.897</v>
      </c>
      <c r="AG236" s="22">
        <f t="shared" si="238"/>
        <v>35.74333333</v>
      </c>
      <c r="AH236" s="22">
        <f t="shared" si="238"/>
        <v>66.25833333</v>
      </c>
      <c r="AI236" s="22">
        <f t="shared" si="238"/>
        <v>31.324</v>
      </c>
      <c r="AJ236" s="22"/>
      <c r="AK236" s="22"/>
      <c r="AL236" s="22"/>
      <c r="AM236" s="22"/>
    </row>
    <row r="237">
      <c r="A237" s="13" t="s">
        <v>20</v>
      </c>
      <c r="B237" s="26">
        <v>45691.0</v>
      </c>
      <c r="C237" s="13" t="s">
        <v>24</v>
      </c>
      <c r="D237" s="13">
        <v>11.4</v>
      </c>
      <c r="E237" s="13" t="s">
        <v>27</v>
      </c>
      <c r="F237" s="13">
        <v>3.0</v>
      </c>
      <c r="G237" s="13" t="s">
        <v>23</v>
      </c>
      <c r="H237" s="23">
        <v>13.4425</v>
      </c>
      <c r="I237" s="23">
        <v>560.4321</v>
      </c>
      <c r="J237" s="23">
        <v>4.734</v>
      </c>
      <c r="K237" s="23">
        <v>0.023</v>
      </c>
      <c r="L237" s="23">
        <v>142.859</v>
      </c>
      <c r="M237" s="23">
        <v>35.692</v>
      </c>
      <c r="N237" s="23">
        <v>102.584</v>
      </c>
      <c r="O237" s="23">
        <v>32.212</v>
      </c>
      <c r="P237" s="23">
        <v>58.424</v>
      </c>
      <c r="Q237" s="23">
        <v>27.454</v>
      </c>
      <c r="R237" s="23">
        <v>142.221</v>
      </c>
      <c r="S237" s="23">
        <v>36.185</v>
      </c>
      <c r="T237" s="23">
        <v>101.957</v>
      </c>
      <c r="U237" s="23">
        <v>32.202</v>
      </c>
      <c r="V237" s="23">
        <v>57.742</v>
      </c>
      <c r="W237" s="23">
        <v>26.748</v>
      </c>
      <c r="X237" s="23">
        <v>142.102</v>
      </c>
      <c r="Y237" s="23">
        <v>36.2</v>
      </c>
      <c r="Z237" s="23">
        <v>101.863</v>
      </c>
      <c r="AA237" s="23">
        <v>32.157</v>
      </c>
      <c r="AB237" s="23">
        <v>57.659</v>
      </c>
      <c r="AC237" s="23">
        <v>26.583</v>
      </c>
      <c r="AD237" s="22">
        <f t="shared" ref="AD237:AI237" si="239">AVERAGE(L237,R237,X237)</f>
        <v>142.394</v>
      </c>
      <c r="AE237" s="22">
        <f t="shared" si="239"/>
        <v>36.02566667</v>
      </c>
      <c r="AF237" s="22">
        <f t="shared" si="239"/>
        <v>102.1346667</v>
      </c>
      <c r="AG237" s="22">
        <f t="shared" si="239"/>
        <v>32.19033333</v>
      </c>
      <c r="AH237" s="22">
        <f t="shared" si="239"/>
        <v>57.94166667</v>
      </c>
      <c r="AI237" s="22">
        <f t="shared" si="239"/>
        <v>26.92833333</v>
      </c>
      <c r="AJ237" s="22"/>
      <c r="AK237" s="22"/>
      <c r="AL237" s="22"/>
      <c r="AM237" s="22"/>
    </row>
    <row r="238">
      <c r="A238" s="13" t="s">
        <v>20</v>
      </c>
      <c r="B238" s="26">
        <v>45691.0</v>
      </c>
      <c r="C238" s="13" t="s">
        <v>24</v>
      </c>
      <c r="D238" s="13">
        <v>12.1</v>
      </c>
      <c r="E238" s="13" t="s">
        <v>27</v>
      </c>
      <c r="F238" s="13">
        <v>3.0</v>
      </c>
      <c r="G238" s="13" t="s">
        <v>23</v>
      </c>
      <c r="H238" s="23">
        <v>14.1683</v>
      </c>
      <c r="I238" s="23">
        <v>565.2115</v>
      </c>
      <c r="J238" s="23">
        <v>5.21</v>
      </c>
      <c r="K238" s="23">
        <v>0.035</v>
      </c>
      <c r="L238" s="23">
        <v>134.206</v>
      </c>
      <c r="M238" s="23">
        <v>36.064</v>
      </c>
      <c r="N238" s="23">
        <v>92.534</v>
      </c>
      <c r="O238" s="23">
        <v>36.031</v>
      </c>
      <c r="P238" s="23">
        <v>50.534</v>
      </c>
      <c r="Q238" s="23">
        <v>30.689</v>
      </c>
      <c r="R238" s="23">
        <v>133.915</v>
      </c>
      <c r="S238" s="23">
        <v>36.134</v>
      </c>
      <c r="T238" s="23">
        <v>92.232</v>
      </c>
      <c r="U238" s="23">
        <v>35.845</v>
      </c>
      <c r="V238" s="23">
        <v>50.187</v>
      </c>
      <c r="W238" s="23">
        <v>30.296</v>
      </c>
      <c r="X238" s="23">
        <v>133.781</v>
      </c>
      <c r="Y238" s="23">
        <v>36.209</v>
      </c>
      <c r="Z238" s="23">
        <v>91.939</v>
      </c>
      <c r="AA238" s="23">
        <v>35.752</v>
      </c>
      <c r="AB238" s="23">
        <v>49.8</v>
      </c>
      <c r="AC238" s="23">
        <v>29.959</v>
      </c>
      <c r="AD238" s="22">
        <f t="shared" ref="AD238:AI238" si="240">AVERAGE(L238,R238,X238)</f>
        <v>133.9673333</v>
      </c>
      <c r="AE238" s="22">
        <f t="shared" si="240"/>
        <v>36.13566667</v>
      </c>
      <c r="AF238" s="22">
        <f t="shared" si="240"/>
        <v>92.235</v>
      </c>
      <c r="AG238" s="22">
        <f t="shared" si="240"/>
        <v>35.876</v>
      </c>
      <c r="AH238" s="22">
        <f t="shared" si="240"/>
        <v>50.17366667</v>
      </c>
      <c r="AI238" s="22">
        <f t="shared" si="240"/>
        <v>30.31466667</v>
      </c>
      <c r="AJ238" s="22"/>
      <c r="AK238" s="22"/>
      <c r="AL238" s="22"/>
      <c r="AM238" s="22"/>
    </row>
    <row r="239">
      <c r="A239" s="13" t="s">
        <v>20</v>
      </c>
      <c r="B239" s="26">
        <v>45691.0</v>
      </c>
      <c r="C239" s="13" t="s">
        <v>24</v>
      </c>
      <c r="D239" s="13">
        <v>12.2</v>
      </c>
      <c r="E239" s="13" t="s">
        <v>27</v>
      </c>
      <c r="F239" s="13">
        <v>3.0</v>
      </c>
      <c r="G239" s="13" t="s">
        <v>23</v>
      </c>
      <c r="H239" s="23">
        <v>16.1563</v>
      </c>
      <c r="I239" s="23">
        <v>517.2014</v>
      </c>
      <c r="J239" s="23">
        <v>6.988</v>
      </c>
      <c r="K239" s="23">
        <v>0.023</v>
      </c>
      <c r="L239" s="23">
        <v>141.991</v>
      </c>
      <c r="M239" s="23">
        <v>28.439</v>
      </c>
      <c r="N239" s="23">
        <v>102.895</v>
      </c>
      <c r="O239" s="23">
        <v>29.267</v>
      </c>
      <c r="P239" s="23">
        <v>58.47</v>
      </c>
      <c r="Q239" s="23">
        <v>29.285</v>
      </c>
      <c r="R239" s="23">
        <v>142.094</v>
      </c>
      <c r="S239" s="23">
        <v>28.359</v>
      </c>
      <c r="T239" s="23">
        <v>102.772</v>
      </c>
      <c r="U239" s="23">
        <v>29.119</v>
      </c>
      <c r="V239" s="23">
        <v>58.354</v>
      </c>
      <c r="W239" s="23">
        <v>29.254</v>
      </c>
      <c r="X239" s="23">
        <v>142.339</v>
      </c>
      <c r="Y239" s="23">
        <v>28.155</v>
      </c>
      <c r="Z239" s="23">
        <v>103.05</v>
      </c>
      <c r="AA239" s="23">
        <v>29.155</v>
      </c>
      <c r="AB239" s="23">
        <v>58.522</v>
      </c>
      <c r="AC239" s="23">
        <v>29.321</v>
      </c>
      <c r="AD239" s="22">
        <f t="shared" ref="AD239:AI239" si="241">AVERAGE(L239,R239,X239)</f>
        <v>142.1413333</v>
      </c>
      <c r="AE239" s="22">
        <f t="shared" si="241"/>
        <v>28.31766667</v>
      </c>
      <c r="AF239" s="22">
        <f t="shared" si="241"/>
        <v>102.9056667</v>
      </c>
      <c r="AG239" s="22">
        <f t="shared" si="241"/>
        <v>29.18033333</v>
      </c>
      <c r="AH239" s="22">
        <f t="shared" si="241"/>
        <v>58.44866667</v>
      </c>
      <c r="AI239" s="22">
        <f t="shared" si="241"/>
        <v>29.28666667</v>
      </c>
      <c r="AJ239" s="22"/>
      <c r="AK239" s="22"/>
      <c r="AL239" s="22"/>
      <c r="AM239" s="22"/>
    </row>
    <row r="240">
      <c r="A240" s="13" t="s">
        <v>20</v>
      </c>
      <c r="B240" s="26">
        <v>45691.0</v>
      </c>
      <c r="C240" s="13" t="s">
        <v>24</v>
      </c>
      <c r="D240" s="13">
        <v>12.3</v>
      </c>
      <c r="E240" s="13" t="s">
        <v>27</v>
      </c>
      <c r="F240" s="13">
        <v>3.0</v>
      </c>
      <c r="G240" s="13" t="s">
        <v>23</v>
      </c>
      <c r="H240" s="23">
        <v>16.7848</v>
      </c>
      <c r="I240" s="23">
        <v>512.4056</v>
      </c>
      <c r="J240" s="23">
        <v>6.753</v>
      </c>
      <c r="K240" s="23">
        <v>0.035</v>
      </c>
      <c r="L240" s="23">
        <v>146.944</v>
      </c>
      <c r="M240" s="23">
        <v>29.13</v>
      </c>
      <c r="N240" s="23">
        <v>112.62</v>
      </c>
      <c r="O240" s="23">
        <v>30.57</v>
      </c>
      <c r="P240" s="23">
        <v>69.287</v>
      </c>
      <c r="Q240" s="23">
        <v>30.362</v>
      </c>
      <c r="R240" s="23">
        <v>146.73</v>
      </c>
      <c r="S240" s="23">
        <v>29.286</v>
      </c>
      <c r="T240" s="23">
        <v>112.496</v>
      </c>
      <c r="U240" s="23">
        <v>30.632</v>
      </c>
      <c r="V240" s="23">
        <v>69.346</v>
      </c>
      <c r="W240" s="23">
        <v>30.427</v>
      </c>
      <c r="X240" s="23">
        <v>146.811</v>
      </c>
      <c r="Y240" s="23">
        <v>29.076</v>
      </c>
      <c r="Z240" s="23">
        <v>112.532</v>
      </c>
      <c r="AA240" s="23">
        <v>30.498</v>
      </c>
      <c r="AB240" s="23">
        <v>69.343</v>
      </c>
      <c r="AC240" s="23">
        <v>30.366</v>
      </c>
      <c r="AD240" s="22">
        <f t="shared" ref="AD240:AI240" si="242">AVERAGE(L240,R240,X240)</f>
        <v>146.8283333</v>
      </c>
      <c r="AE240" s="22">
        <f t="shared" si="242"/>
        <v>29.164</v>
      </c>
      <c r="AF240" s="22">
        <f t="shared" si="242"/>
        <v>112.5493333</v>
      </c>
      <c r="AG240" s="22">
        <f t="shared" si="242"/>
        <v>30.56666667</v>
      </c>
      <c r="AH240" s="22">
        <f t="shared" si="242"/>
        <v>69.32533333</v>
      </c>
      <c r="AI240" s="22">
        <f t="shared" si="242"/>
        <v>30.385</v>
      </c>
      <c r="AJ240" s="22"/>
      <c r="AK240" s="22"/>
      <c r="AL240" s="22"/>
      <c r="AM240" s="22"/>
    </row>
    <row r="241">
      <c r="A241" s="13" t="s">
        <v>20</v>
      </c>
      <c r="B241" s="26">
        <v>45691.0</v>
      </c>
      <c r="C241" s="13" t="s">
        <v>24</v>
      </c>
      <c r="D241" s="13">
        <v>12.4</v>
      </c>
      <c r="E241" s="13" t="s">
        <v>27</v>
      </c>
      <c r="F241" s="13">
        <v>3.0</v>
      </c>
      <c r="G241" s="13" t="s">
        <v>23</v>
      </c>
      <c r="H241" s="23">
        <v>18.195</v>
      </c>
      <c r="I241" s="23">
        <v>520.8124</v>
      </c>
      <c r="J241" s="23">
        <v>7.446</v>
      </c>
      <c r="K241" s="23">
        <v>0.042</v>
      </c>
      <c r="L241" s="23">
        <v>134.491</v>
      </c>
      <c r="M241" s="23">
        <v>32.795</v>
      </c>
      <c r="N241" s="23">
        <v>93.227</v>
      </c>
      <c r="O241" s="23">
        <v>31.844</v>
      </c>
      <c r="P241" s="23">
        <v>47.118</v>
      </c>
      <c r="Q241" s="23">
        <v>25.794</v>
      </c>
      <c r="R241" s="23">
        <v>134.813</v>
      </c>
      <c r="S241" s="23">
        <v>32.593</v>
      </c>
      <c r="T241" s="23">
        <v>93.187</v>
      </c>
      <c r="U241" s="23">
        <v>31.663</v>
      </c>
      <c r="V241" s="23">
        <v>46.812</v>
      </c>
      <c r="W241" s="23">
        <v>25.283</v>
      </c>
      <c r="X241" s="23">
        <v>134.83</v>
      </c>
      <c r="Y241" s="23">
        <v>32.53</v>
      </c>
      <c r="Z241" s="23">
        <v>93.144</v>
      </c>
      <c r="AA241" s="23">
        <v>31.542</v>
      </c>
      <c r="AB241" s="23">
        <v>46.688</v>
      </c>
      <c r="AC241" s="23">
        <v>25.023</v>
      </c>
      <c r="AD241" s="22">
        <f t="shared" ref="AD241:AI241" si="243">AVERAGE(L241,R241,X241)</f>
        <v>134.7113333</v>
      </c>
      <c r="AE241" s="22">
        <f t="shared" si="243"/>
        <v>32.63933333</v>
      </c>
      <c r="AF241" s="22">
        <f t="shared" si="243"/>
        <v>93.186</v>
      </c>
      <c r="AG241" s="22">
        <f t="shared" si="243"/>
        <v>31.683</v>
      </c>
      <c r="AH241" s="22">
        <f t="shared" si="243"/>
        <v>46.87266667</v>
      </c>
      <c r="AI241" s="22">
        <f t="shared" si="243"/>
        <v>25.36666667</v>
      </c>
      <c r="AJ241" s="22"/>
      <c r="AK241" s="22"/>
      <c r="AL241" s="22"/>
      <c r="AM241" s="22"/>
    </row>
    <row r="242">
      <c r="A242" s="13" t="s">
        <v>20</v>
      </c>
      <c r="B242" s="26">
        <v>45691.0</v>
      </c>
      <c r="C242" s="13" t="s">
        <v>25</v>
      </c>
      <c r="D242" s="13">
        <v>10.1</v>
      </c>
      <c r="E242" s="13" t="s">
        <v>27</v>
      </c>
      <c r="F242" s="13">
        <v>3.0</v>
      </c>
      <c r="G242" s="13" t="s">
        <v>23</v>
      </c>
      <c r="H242" s="23">
        <v>11.7725</v>
      </c>
      <c r="I242" s="23">
        <v>538.8214</v>
      </c>
      <c r="J242" s="23">
        <v>3.887</v>
      </c>
      <c r="K242" s="23">
        <v>0.049</v>
      </c>
      <c r="L242" s="23">
        <v>128.935</v>
      </c>
      <c r="M242" s="23">
        <v>37.344</v>
      </c>
      <c r="N242" s="23">
        <v>110.596</v>
      </c>
      <c r="O242" s="23">
        <v>36.322</v>
      </c>
      <c r="P242" s="23">
        <v>83.729</v>
      </c>
      <c r="Q242" s="23">
        <v>35.335</v>
      </c>
      <c r="R242" s="23">
        <v>128.569</v>
      </c>
      <c r="S242" s="23">
        <v>37.77</v>
      </c>
      <c r="T242" s="23">
        <v>110.3</v>
      </c>
      <c r="U242" s="23">
        <v>36.669</v>
      </c>
      <c r="V242" s="23">
        <v>83.525</v>
      </c>
      <c r="W242" s="23">
        <v>35.517</v>
      </c>
      <c r="X242" s="23">
        <v>129.619</v>
      </c>
      <c r="Y242" s="23">
        <v>37.002</v>
      </c>
      <c r="Z242" s="23">
        <v>111.269</v>
      </c>
      <c r="AA242" s="23">
        <v>36.148</v>
      </c>
      <c r="AB242" s="23">
        <v>84.278</v>
      </c>
      <c r="AC242" s="23">
        <v>35.257</v>
      </c>
      <c r="AD242" s="22">
        <f t="shared" ref="AD242:AI242" si="244">AVERAGE(L242,R242,X242)</f>
        <v>129.041</v>
      </c>
      <c r="AE242" s="22">
        <f t="shared" si="244"/>
        <v>37.372</v>
      </c>
      <c r="AF242" s="22">
        <f t="shared" si="244"/>
        <v>110.7216667</v>
      </c>
      <c r="AG242" s="22">
        <f t="shared" si="244"/>
        <v>36.37966667</v>
      </c>
      <c r="AH242" s="22">
        <f t="shared" si="244"/>
        <v>83.844</v>
      </c>
      <c r="AI242" s="22">
        <f t="shared" si="244"/>
        <v>35.36966667</v>
      </c>
      <c r="AJ242" s="22"/>
      <c r="AK242" s="22"/>
      <c r="AL242" s="22"/>
      <c r="AM242" s="22"/>
    </row>
    <row r="243">
      <c r="A243" s="13" t="s">
        <v>20</v>
      </c>
      <c r="B243" s="26">
        <v>45691.0</v>
      </c>
      <c r="C243" s="13" t="s">
        <v>25</v>
      </c>
      <c r="D243" s="13">
        <v>10.2</v>
      </c>
      <c r="E243" s="13" t="s">
        <v>27</v>
      </c>
      <c r="F243" s="13">
        <v>3.0</v>
      </c>
      <c r="G243" s="13" t="s">
        <v>23</v>
      </c>
      <c r="H243" s="23">
        <v>11.5487</v>
      </c>
      <c r="I243" s="23">
        <v>482.406</v>
      </c>
      <c r="J243" s="23">
        <v>4.716</v>
      </c>
      <c r="K243" s="23">
        <v>0.064</v>
      </c>
      <c r="L243" s="23">
        <v>151.154</v>
      </c>
      <c r="M243" s="23">
        <v>29.577</v>
      </c>
      <c r="N243" s="23">
        <v>129.481</v>
      </c>
      <c r="O243" s="23">
        <v>29.797</v>
      </c>
      <c r="P243" s="23">
        <v>94.431</v>
      </c>
      <c r="Q243" s="23">
        <v>30.035</v>
      </c>
      <c r="R243" s="23">
        <v>150.695</v>
      </c>
      <c r="S243" s="23">
        <v>30.329</v>
      </c>
      <c r="T243" s="23">
        <v>129.049</v>
      </c>
      <c r="U243" s="23">
        <v>30.271</v>
      </c>
      <c r="V243" s="23">
        <v>94.084</v>
      </c>
      <c r="W243" s="23">
        <v>30.197</v>
      </c>
      <c r="X243" s="23">
        <v>151.669</v>
      </c>
      <c r="Y243" s="23">
        <v>29.108</v>
      </c>
      <c r="Z243" s="23">
        <v>129.839</v>
      </c>
      <c r="AA243" s="23">
        <v>29.387</v>
      </c>
      <c r="AB243" s="23">
        <v>94.539</v>
      </c>
      <c r="AC243" s="23">
        <v>29.815</v>
      </c>
      <c r="AD243" s="22">
        <f t="shared" ref="AD243:AI243" si="245">AVERAGE(L243,R243,X243)</f>
        <v>151.1726667</v>
      </c>
      <c r="AE243" s="22">
        <f t="shared" si="245"/>
        <v>29.67133333</v>
      </c>
      <c r="AF243" s="22">
        <f t="shared" si="245"/>
        <v>129.4563333</v>
      </c>
      <c r="AG243" s="22">
        <f t="shared" si="245"/>
        <v>29.81833333</v>
      </c>
      <c r="AH243" s="22">
        <f t="shared" si="245"/>
        <v>94.35133333</v>
      </c>
      <c r="AI243" s="22">
        <f t="shared" si="245"/>
        <v>30.01566667</v>
      </c>
      <c r="AJ243" s="22"/>
      <c r="AK243" s="22"/>
      <c r="AL243" s="22"/>
      <c r="AM243" s="22"/>
    </row>
    <row r="244">
      <c r="A244" s="13" t="s">
        <v>20</v>
      </c>
      <c r="B244" s="26">
        <v>45691.0</v>
      </c>
      <c r="C244" s="13" t="s">
        <v>25</v>
      </c>
      <c r="D244" s="13">
        <v>10.3</v>
      </c>
      <c r="E244" s="13" t="s">
        <v>27</v>
      </c>
      <c r="F244" s="13">
        <v>3.0</v>
      </c>
      <c r="G244" s="13" t="s">
        <v>23</v>
      </c>
      <c r="H244" s="23">
        <v>10.5973</v>
      </c>
      <c r="I244" s="23">
        <v>541.2213</v>
      </c>
      <c r="J244" s="23">
        <v>4.212</v>
      </c>
      <c r="K244" s="23">
        <v>0.016</v>
      </c>
      <c r="L244" s="23">
        <v>134.004</v>
      </c>
      <c r="M244" s="23">
        <v>31.439</v>
      </c>
      <c r="N244" s="23">
        <v>113.377</v>
      </c>
      <c r="O244" s="23">
        <v>31.988</v>
      </c>
      <c r="P244" s="23">
        <v>79.786</v>
      </c>
      <c r="Q244" s="23">
        <v>31.782</v>
      </c>
      <c r="R244" s="23">
        <v>133.984</v>
      </c>
      <c r="S244" s="23">
        <v>31.352</v>
      </c>
      <c r="T244" s="23">
        <v>113.483</v>
      </c>
      <c r="U244" s="23">
        <v>31.9</v>
      </c>
      <c r="V244" s="23">
        <v>80.01</v>
      </c>
      <c r="W244" s="23">
        <v>31.855</v>
      </c>
      <c r="X244" s="23">
        <v>133.788</v>
      </c>
      <c r="Y244" s="23">
        <v>31.557</v>
      </c>
      <c r="Z244" s="23">
        <v>113.259</v>
      </c>
      <c r="AA244" s="23">
        <v>32.061</v>
      </c>
      <c r="AB244" s="23">
        <v>79.79</v>
      </c>
      <c r="AC244" s="23">
        <v>31.847</v>
      </c>
      <c r="AD244" s="22">
        <f t="shared" ref="AD244:AI244" si="246">AVERAGE(L244,R244,X244)</f>
        <v>133.9253333</v>
      </c>
      <c r="AE244" s="22">
        <f t="shared" si="246"/>
        <v>31.44933333</v>
      </c>
      <c r="AF244" s="22">
        <f t="shared" si="246"/>
        <v>113.373</v>
      </c>
      <c r="AG244" s="22">
        <f t="shared" si="246"/>
        <v>31.983</v>
      </c>
      <c r="AH244" s="22">
        <f t="shared" si="246"/>
        <v>79.862</v>
      </c>
      <c r="AI244" s="22">
        <f t="shared" si="246"/>
        <v>31.828</v>
      </c>
      <c r="AJ244" s="22"/>
      <c r="AK244" s="22"/>
      <c r="AL244" s="22"/>
      <c r="AM244" s="22"/>
    </row>
    <row r="245">
      <c r="A245" s="13" t="s">
        <v>20</v>
      </c>
      <c r="B245" s="26">
        <v>45691.0</v>
      </c>
      <c r="C245" s="13" t="s">
        <v>25</v>
      </c>
      <c r="D245" s="13">
        <v>10.4</v>
      </c>
      <c r="E245" s="13" t="s">
        <v>27</v>
      </c>
      <c r="F245" s="13">
        <v>3.0</v>
      </c>
      <c r="G245" s="13" t="s">
        <v>23</v>
      </c>
      <c r="H245" s="23">
        <v>10.3868</v>
      </c>
      <c r="I245" s="23">
        <v>498.0231</v>
      </c>
      <c r="J245" s="23">
        <v>4.063</v>
      </c>
      <c r="K245" s="23">
        <v>0.026</v>
      </c>
      <c r="L245" s="23">
        <v>141.474</v>
      </c>
      <c r="M245" s="23">
        <v>33.318</v>
      </c>
      <c r="N245" s="23">
        <v>119.126</v>
      </c>
      <c r="O245" s="23">
        <v>31.692</v>
      </c>
      <c r="P245" s="23">
        <v>76.724</v>
      </c>
      <c r="Q245" s="23">
        <v>28.3</v>
      </c>
      <c r="R245" s="23">
        <v>141.276</v>
      </c>
      <c r="S245" s="23">
        <v>33.049</v>
      </c>
      <c r="T245" s="23">
        <v>118.989</v>
      </c>
      <c r="U245" s="23">
        <v>31.492</v>
      </c>
      <c r="V245" s="23">
        <v>76.865</v>
      </c>
      <c r="W245" s="23">
        <v>28.103</v>
      </c>
      <c r="X245" s="23">
        <v>141.016</v>
      </c>
      <c r="Y245" s="23">
        <v>33.228</v>
      </c>
      <c r="Z245" s="23">
        <v>118.808</v>
      </c>
      <c r="AA245" s="23">
        <v>31.634</v>
      </c>
      <c r="AB245" s="23">
        <v>76.835</v>
      </c>
      <c r="AC245" s="23">
        <v>28.096</v>
      </c>
      <c r="AD245" s="22">
        <f t="shared" ref="AD245:AI245" si="247">AVERAGE(L245,R245,X245)</f>
        <v>141.2553333</v>
      </c>
      <c r="AE245" s="22">
        <f t="shared" si="247"/>
        <v>33.19833333</v>
      </c>
      <c r="AF245" s="22">
        <f t="shared" si="247"/>
        <v>118.9743333</v>
      </c>
      <c r="AG245" s="22">
        <f t="shared" si="247"/>
        <v>31.606</v>
      </c>
      <c r="AH245" s="22">
        <f t="shared" si="247"/>
        <v>76.808</v>
      </c>
      <c r="AI245" s="22">
        <f t="shared" si="247"/>
        <v>28.16633333</v>
      </c>
      <c r="AJ245" s="22"/>
      <c r="AK245" s="22"/>
      <c r="AL245" s="22"/>
      <c r="AM245" s="22"/>
    </row>
    <row r="246">
      <c r="A246" s="13" t="s">
        <v>20</v>
      </c>
      <c r="B246" s="26">
        <v>45691.0</v>
      </c>
      <c r="C246" s="13" t="s">
        <v>25</v>
      </c>
      <c r="D246" s="13">
        <v>11.1</v>
      </c>
      <c r="E246" s="13" t="s">
        <v>27</v>
      </c>
      <c r="F246" s="13">
        <v>3.0</v>
      </c>
      <c r="G246" s="13" t="s">
        <v>23</v>
      </c>
      <c r="H246" s="23">
        <v>13.2242</v>
      </c>
      <c r="I246" s="23">
        <v>478.806</v>
      </c>
      <c r="J246" s="23">
        <v>4.602</v>
      </c>
      <c r="K246" s="23">
        <v>0.035</v>
      </c>
      <c r="L246" s="23">
        <v>136.331</v>
      </c>
      <c r="M246" s="23">
        <v>30.058</v>
      </c>
      <c r="N246" s="23">
        <v>116.198</v>
      </c>
      <c r="O246" s="23">
        <v>30.983</v>
      </c>
      <c r="P246" s="23">
        <v>82.528</v>
      </c>
      <c r="Q246" s="23">
        <v>32.969</v>
      </c>
      <c r="R246" s="23">
        <v>136.683</v>
      </c>
      <c r="S246" s="23">
        <v>29.939</v>
      </c>
      <c r="T246" s="23">
        <v>116.774</v>
      </c>
      <c r="U246" s="23">
        <v>31.056</v>
      </c>
      <c r="V246" s="23">
        <v>83.166</v>
      </c>
      <c r="W246" s="23">
        <v>33.14</v>
      </c>
      <c r="X246" s="23">
        <v>136.637</v>
      </c>
      <c r="Y246" s="23">
        <v>30.118</v>
      </c>
      <c r="Z246" s="23">
        <v>116.608</v>
      </c>
      <c r="AA246" s="23">
        <v>31.118</v>
      </c>
      <c r="AB246" s="23">
        <v>83.076</v>
      </c>
      <c r="AC246" s="23">
        <v>33.107</v>
      </c>
      <c r="AD246" s="22">
        <f t="shared" ref="AD246:AI246" si="248">AVERAGE(L246,R246,X246)</f>
        <v>136.5503333</v>
      </c>
      <c r="AE246" s="22">
        <f t="shared" si="248"/>
        <v>30.03833333</v>
      </c>
      <c r="AF246" s="22">
        <f t="shared" si="248"/>
        <v>116.5266667</v>
      </c>
      <c r="AG246" s="22">
        <f t="shared" si="248"/>
        <v>31.05233333</v>
      </c>
      <c r="AH246" s="22">
        <f t="shared" si="248"/>
        <v>82.92333333</v>
      </c>
      <c r="AI246" s="22">
        <f t="shared" si="248"/>
        <v>33.072</v>
      </c>
      <c r="AJ246" s="22"/>
      <c r="AK246" s="22"/>
      <c r="AL246" s="22"/>
      <c r="AM246" s="22"/>
    </row>
    <row r="247">
      <c r="A247" s="13" t="s">
        <v>20</v>
      </c>
      <c r="B247" s="26">
        <v>45691.0</v>
      </c>
      <c r="C247" s="13" t="s">
        <v>25</v>
      </c>
      <c r="D247" s="13">
        <v>11.2</v>
      </c>
      <c r="E247" s="13" t="s">
        <v>27</v>
      </c>
      <c r="F247" s="13">
        <v>3.0</v>
      </c>
      <c r="G247" s="13" t="s">
        <v>23</v>
      </c>
      <c r="H247" s="23">
        <v>11.3019</v>
      </c>
      <c r="I247" s="23">
        <v>517.2223</v>
      </c>
      <c r="J247" s="23">
        <v>3.887</v>
      </c>
      <c r="K247" s="23">
        <v>0.061</v>
      </c>
      <c r="L247" s="23">
        <v>143.596</v>
      </c>
      <c r="M247" s="23">
        <v>32.499</v>
      </c>
      <c r="N247" s="23">
        <v>120.911</v>
      </c>
      <c r="O247" s="23">
        <v>32.728</v>
      </c>
      <c r="P247" s="23">
        <v>81.346</v>
      </c>
      <c r="Q247" s="23">
        <v>33.211</v>
      </c>
      <c r="R247" s="23">
        <v>142.61</v>
      </c>
      <c r="S247" s="23">
        <v>33.231</v>
      </c>
      <c r="T247" s="23">
        <v>120.185</v>
      </c>
      <c r="U247" s="23">
        <v>33.174</v>
      </c>
      <c r="V247" s="23">
        <v>80.966</v>
      </c>
      <c r="W247" s="23">
        <v>33.295</v>
      </c>
      <c r="X247" s="23">
        <v>142.77</v>
      </c>
      <c r="Y247" s="23">
        <v>33.115</v>
      </c>
      <c r="Z247" s="23">
        <v>120.406</v>
      </c>
      <c r="AA247" s="23">
        <v>33.105</v>
      </c>
      <c r="AB247" s="23">
        <v>81.348</v>
      </c>
      <c r="AC247" s="23">
        <v>33.314</v>
      </c>
      <c r="AD247" s="22">
        <f t="shared" ref="AD247:AI247" si="249">AVERAGE(L247,R247,X247)</f>
        <v>142.992</v>
      </c>
      <c r="AE247" s="22">
        <f t="shared" si="249"/>
        <v>32.94833333</v>
      </c>
      <c r="AF247" s="22">
        <f t="shared" si="249"/>
        <v>120.5006667</v>
      </c>
      <c r="AG247" s="22">
        <f t="shared" si="249"/>
        <v>33.00233333</v>
      </c>
      <c r="AH247" s="22">
        <f t="shared" si="249"/>
        <v>81.22</v>
      </c>
      <c r="AI247" s="22">
        <f t="shared" si="249"/>
        <v>33.27333333</v>
      </c>
      <c r="AJ247" s="22"/>
      <c r="AK247" s="22"/>
      <c r="AL247" s="22"/>
      <c r="AM247" s="22"/>
    </row>
    <row r="248">
      <c r="A248" s="13" t="s">
        <v>20</v>
      </c>
      <c r="B248" s="26">
        <v>45691.0</v>
      </c>
      <c r="C248" s="13" t="s">
        <v>25</v>
      </c>
      <c r="D248" s="13">
        <v>11.3</v>
      </c>
      <c r="E248" s="13" t="s">
        <v>27</v>
      </c>
      <c r="F248" s="13">
        <v>3.0</v>
      </c>
      <c r="G248" s="13" t="s">
        <v>23</v>
      </c>
      <c r="H248" s="23">
        <v>11.2708</v>
      </c>
      <c r="I248" s="23">
        <v>490.8015</v>
      </c>
      <c r="J248" s="23">
        <v>4.057</v>
      </c>
      <c r="K248" s="23">
        <v>0.094</v>
      </c>
      <c r="L248" s="23">
        <v>136.802</v>
      </c>
      <c r="M248" s="23">
        <v>34.107</v>
      </c>
      <c r="N248" s="23">
        <v>117.054</v>
      </c>
      <c r="O248" s="23">
        <v>34.42</v>
      </c>
      <c r="P248" s="23">
        <v>84.996</v>
      </c>
      <c r="Q248" s="23">
        <v>33.389</v>
      </c>
      <c r="R248" s="23">
        <v>137.367</v>
      </c>
      <c r="S248" s="23">
        <v>33.897</v>
      </c>
      <c r="T248" s="23">
        <v>117.693</v>
      </c>
      <c r="U248" s="23">
        <v>34.357</v>
      </c>
      <c r="V248" s="23">
        <v>85.55</v>
      </c>
      <c r="W248" s="23">
        <v>33.495</v>
      </c>
      <c r="X248" s="23">
        <v>137.637</v>
      </c>
      <c r="Y248" s="23">
        <v>33.602</v>
      </c>
      <c r="Z248" s="23">
        <v>117.941</v>
      </c>
      <c r="AA248" s="23">
        <v>34.032</v>
      </c>
      <c r="AB248" s="23">
        <v>85.643</v>
      </c>
      <c r="AC248" s="23">
        <v>33.289</v>
      </c>
      <c r="AD248" s="22">
        <f t="shared" ref="AD248:AI248" si="250">AVERAGE(L248,R248,X248)</f>
        <v>137.2686667</v>
      </c>
      <c r="AE248" s="22">
        <f t="shared" si="250"/>
        <v>33.86866667</v>
      </c>
      <c r="AF248" s="22">
        <f t="shared" si="250"/>
        <v>117.5626667</v>
      </c>
      <c r="AG248" s="22">
        <f t="shared" si="250"/>
        <v>34.26966667</v>
      </c>
      <c r="AH248" s="22">
        <f t="shared" si="250"/>
        <v>85.39633333</v>
      </c>
      <c r="AI248" s="22">
        <f t="shared" si="250"/>
        <v>33.391</v>
      </c>
      <c r="AJ248" s="22"/>
      <c r="AK248" s="22"/>
      <c r="AL248" s="22"/>
      <c r="AM248" s="22"/>
    </row>
    <row r="249">
      <c r="A249" s="13" t="s">
        <v>20</v>
      </c>
      <c r="B249" s="26">
        <v>45691.0</v>
      </c>
      <c r="C249" s="13" t="s">
        <v>25</v>
      </c>
      <c r="D249" s="13">
        <v>11.4</v>
      </c>
      <c r="E249" s="13" t="s">
        <v>27</v>
      </c>
      <c r="F249" s="13">
        <v>3.0</v>
      </c>
      <c r="G249" s="13" t="s">
        <v>23</v>
      </c>
      <c r="H249" s="23">
        <v>12.0648</v>
      </c>
      <c r="I249" s="23">
        <v>501.6014</v>
      </c>
      <c r="J249" s="23">
        <v>4.083</v>
      </c>
      <c r="K249" s="23">
        <v>0.072</v>
      </c>
      <c r="L249" s="23">
        <v>139.358</v>
      </c>
      <c r="M249" s="23">
        <v>31.358</v>
      </c>
      <c r="N249" s="23">
        <v>118.429</v>
      </c>
      <c r="O249" s="23">
        <v>30.549</v>
      </c>
      <c r="P249" s="23">
        <v>77.206</v>
      </c>
      <c r="Q249" s="23">
        <v>28.324</v>
      </c>
      <c r="R249" s="23">
        <v>139.657</v>
      </c>
      <c r="S249" s="23">
        <v>31.287</v>
      </c>
      <c r="T249" s="23">
        <v>118.523</v>
      </c>
      <c r="U249" s="23">
        <v>30.491</v>
      </c>
      <c r="V249" s="23">
        <v>77.06</v>
      </c>
      <c r="W249" s="23">
        <v>28.169</v>
      </c>
      <c r="X249" s="23">
        <v>139.695</v>
      </c>
      <c r="Y249" s="23">
        <v>31.097</v>
      </c>
      <c r="Z249" s="23">
        <v>118.495</v>
      </c>
      <c r="AA249" s="23">
        <v>30.295</v>
      </c>
      <c r="AB249" s="23">
        <v>76.886</v>
      </c>
      <c r="AC249" s="23">
        <v>27.947</v>
      </c>
      <c r="AD249" s="22">
        <f t="shared" ref="AD249:AI249" si="251">AVERAGE(L249,R249,X249)</f>
        <v>139.57</v>
      </c>
      <c r="AE249" s="22">
        <f t="shared" si="251"/>
        <v>31.24733333</v>
      </c>
      <c r="AF249" s="22">
        <f t="shared" si="251"/>
        <v>118.4823333</v>
      </c>
      <c r="AG249" s="22">
        <f t="shared" si="251"/>
        <v>30.445</v>
      </c>
      <c r="AH249" s="22">
        <f t="shared" si="251"/>
        <v>77.05066667</v>
      </c>
      <c r="AI249" s="22">
        <f t="shared" si="251"/>
        <v>28.14666667</v>
      </c>
      <c r="AJ249" s="22"/>
      <c r="AK249" s="22"/>
      <c r="AL249" s="22"/>
      <c r="AM249" s="22"/>
    </row>
    <row r="250">
      <c r="A250" s="13" t="s">
        <v>20</v>
      </c>
      <c r="B250" s="26">
        <v>45691.0</v>
      </c>
      <c r="C250" s="13" t="s">
        <v>25</v>
      </c>
      <c r="D250" s="13">
        <v>12.1</v>
      </c>
      <c r="E250" s="13" t="s">
        <v>27</v>
      </c>
      <c r="F250" s="13">
        <v>3.0</v>
      </c>
      <c r="G250" s="13" t="s">
        <v>23</v>
      </c>
      <c r="H250" s="23">
        <v>14.2207</v>
      </c>
      <c r="I250" s="23">
        <v>520.8055</v>
      </c>
      <c r="J250" s="23">
        <v>6.847</v>
      </c>
      <c r="K250" s="23">
        <v>0.059</v>
      </c>
      <c r="L250" s="23">
        <v>140.208</v>
      </c>
      <c r="M250" s="23">
        <v>30.862</v>
      </c>
      <c r="N250" s="23">
        <v>119.979</v>
      </c>
      <c r="O250" s="23">
        <v>31.013</v>
      </c>
      <c r="P250" s="23">
        <v>83.897</v>
      </c>
      <c r="Q250" s="23">
        <v>29.49</v>
      </c>
      <c r="R250" s="23">
        <v>140.419</v>
      </c>
      <c r="S250" s="23">
        <v>30.666</v>
      </c>
      <c r="T250" s="23">
        <v>130.093</v>
      </c>
      <c r="U250" s="23">
        <v>30.872</v>
      </c>
      <c r="V250" s="23">
        <v>83.869</v>
      </c>
      <c r="W250" s="23">
        <v>29.484</v>
      </c>
      <c r="X250" s="23">
        <v>140.146</v>
      </c>
      <c r="Y250" s="23">
        <v>30.849</v>
      </c>
      <c r="Z250" s="23">
        <v>119.919</v>
      </c>
      <c r="AA250" s="23">
        <v>30.969</v>
      </c>
      <c r="AB250" s="23">
        <v>83.922</v>
      </c>
      <c r="AC250" s="23">
        <v>29.505</v>
      </c>
      <c r="AD250" s="22">
        <f t="shared" ref="AD250:AI250" si="252">AVERAGE(L250,R250,X250)</f>
        <v>140.2576667</v>
      </c>
      <c r="AE250" s="22">
        <f t="shared" si="252"/>
        <v>30.79233333</v>
      </c>
      <c r="AF250" s="22">
        <f t="shared" si="252"/>
        <v>123.3303333</v>
      </c>
      <c r="AG250" s="22">
        <f t="shared" si="252"/>
        <v>30.95133333</v>
      </c>
      <c r="AH250" s="22">
        <f t="shared" si="252"/>
        <v>83.896</v>
      </c>
      <c r="AI250" s="22">
        <f t="shared" si="252"/>
        <v>29.493</v>
      </c>
      <c r="AJ250" s="22"/>
      <c r="AK250" s="22"/>
      <c r="AL250" s="22"/>
      <c r="AM250" s="22"/>
    </row>
    <row r="251">
      <c r="A251" s="13" t="s">
        <v>20</v>
      </c>
      <c r="B251" s="26">
        <v>45691.0</v>
      </c>
      <c r="C251" s="13" t="s">
        <v>25</v>
      </c>
      <c r="D251" s="13">
        <v>12.2</v>
      </c>
      <c r="E251" s="13" t="s">
        <v>27</v>
      </c>
      <c r="F251" s="13">
        <v>3.0</v>
      </c>
      <c r="G251" s="13" t="s">
        <v>23</v>
      </c>
      <c r="H251" s="23">
        <v>12.0054</v>
      </c>
      <c r="I251" s="23">
        <v>475.2545</v>
      </c>
      <c r="J251" s="23">
        <v>5.473</v>
      </c>
      <c r="K251" s="23">
        <v>0.024</v>
      </c>
      <c r="L251" s="23">
        <v>131.827</v>
      </c>
      <c r="M251" s="23">
        <v>27.59</v>
      </c>
      <c r="N251" s="23">
        <v>110.891</v>
      </c>
      <c r="O251" s="23">
        <v>27.28</v>
      </c>
      <c r="P251" s="23">
        <v>71.607</v>
      </c>
      <c r="Q251" s="23">
        <v>23.294</v>
      </c>
      <c r="R251" s="23">
        <v>131.363</v>
      </c>
      <c r="S251" s="23">
        <v>27.841</v>
      </c>
      <c r="T251" s="23">
        <v>110.322</v>
      </c>
      <c r="U251" s="23">
        <v>27.371</v>
      </c>
      <c r="V251" s="23">
        <v>70.952</v>
      </c>
      <c r="W251" s="23">
        <v>23.169</v>
      </c>
      <c r="X251" s="23">
        <v>131.818</v>
      </c>
      <c r="Y251" s="23">
        <v>27.462</v>
      </c>
      <c r="Z251" s="23">
        <v>110.673</v>
      </c>
      <c r="AA251" s="23">
        <v>27.09</v>
      </c>
      <c r="AB251" s="23">
        <v>71.115</v>
      </c>
      <c r="AC251" s="23">
        <v>23.041</v>
      </c>
      <c r="AD251" s="22">
        <f t="shared" ref="AD251:AI251" si="253">AVERAGE(L251,R251,X251)</f>
        <v>131.6693333</v>
      </c>
      <c r="AE251" s="22">
        <f t="shared" si="253"/>
        <v>27.631</v>
      </c>
      <c r="AF251" s="22">
        <f t="shared" si="253"/>
        <v>110.6286667</v>
      </c>
      <c r="AG251" s="22">
        <f t="shared" si="253"/>
        <v>27.247</v>
      </c>
      <c r="AH251" s="22">
        <f t="shared" si="253"/>
        <v>71.22466667</v>
      </c>
      <c r="AI251" s="22">
        <f t="shared" si="253"/>
        <v>23.168</v>
      </c>
      <c r="AJ251" s="22"/>
      <c r="AK251" s="22"/>
      <c r="AL251" s="22"/>
      <c r="AM251" s="22"/>
    </row>
    <row r="252">
      <c r="A252" s="13" t="s">
        <v>20</v>
      </c>
      <c r="B252" s="26">
        <v>45691.0</v>
      </c>
      <c r="C252" s="13" t="s">
        <v>25</v>
      </c>
      <c r="D252" s="13">
        <v>12.3</v>
      </c>
      <c r="E252" s="13" t="s">
        <v>27</v>
      </c>
      <c r="F252" s="13">
        <v>3.0</v>
      </c>
      <c r="G252" s="13" t="s">
        <v>23</v>
      </c>
      <c r="H252" s="23">
        <v>12.8213</v>
      </c>
      <c r="I252" s="23">
        <v>498.0014</v>
      </c>
      <c r="J252" s="23">
        <v>5.989</v>
      </c>
      <c r="K252" s="23">
        <v>0.021</v>
      </c>
      <c r="L252" s="23">
        <v>133.222</v>
      </c>
      <c r="M252" s="23">
        <v>29.649</v>
      </c>
      <c r="N252" s="23">
        <v>11.07</v>
      </c>
      <c r="O252" s="23">
        <v>30.026</v>
      </c>
      <c r="P252" s="23">
        <v>69.14</v>
      </c>
      <c r="Q252" s="23">
        <v>30.153</v>
      </c>
      <c r="R252" s="23">
        <v>133.385</v>
      </c>
      <c r="S252" s="23">
        <v>29.577</v>
      </c>
      <c r="T252" s="23">
        <v>110.308</v>
      </c>
      <c r="U252" s="23">
        <v>30.004</v>
      </c>
      <c r="V252" s="23">
        <v>69.476</v>
      </c>
      <c r="W252" s="23">
        <v>30.248</v>
      </c>
      <c r="X252" s="23">
        <v>132.961</v>
      </c>
      <c r="Y252" s="23">
        <v>29.942</v>
      </c>
      <c r="Z252" s="23">
        <v>109.905</v>
      </c>
      <c r="AA252" s="23">
        <v>30.145</v>
      </c>
      <c r="AB252" s="23">
        <v>69.187</v>
      </c>
      <c r="AC252" s="23">
        <v>30.095</v>
      </c>
      <c r="AD252" s="22">
        <f t="shared" ref="AD252:AI252" si="254">AVERAGE(L252,R252,X252)</f>
        <v>133.1893333</v>
      </c>
      <c r="AE252" s="22">
        <f t="shared" si="254"/>
        <v>29.72266667</v>
      </c>
      <c r="AF252" s="22">
        <f t="shared" si="254"/>
        <v>77.09433333</v>
      </c>
      <c r="AG252" s="22">
        <f t="shared" si="254"/>
        <v>30.05833333</v>
      </c>
      <c r="AH252" s="22">
        <f t="shared" si="254"/>
        <v>69.26766667</v>
      </c>
      <c r="AI252" s="22">
        <f t="shared" si="254"/>
        <v>30.16533333</v>
      </c>
      <c r="AJ252" s="22"/>
      <c r="AK252" s="22"/>
      <c r="AL252" s="22"/>
      <c r="AM252" s="22"/>
    </row>
    <row r="253">
      <c r="A253" s="13" t="s">
        <v>20</v>
      </c>
      <c r="B253" s="26">
        <v>45691.0</v>
      </c>
      <c r="C253" s="13" t="s">
        <v>25</v>
      </c>
      <c r="D253" s="13">
        <v>12.4</v>
      </c>
      <c r="E253" s="13" t="s">
        <v>27</v>
      </c>
      <c r="F253" s="13">
        <v>3.0</v>
      </c>
      <c r="G253" s="13" t="s">
        <v>23</v>
      </c>
      <c r="H253" s="23">
        <v>11.9378</v>
      </c>
      <c r="I253" s="23">
        <v>535.2013</v>
      </c>
      <c r="J253" s="23">
        <v>5.707</v>
      </c>
      <c r="K253" s="23">
        <v>0.054</v>
      </c>
      <c r="L253" s="23">
        <v>137.585</v>
      </c>
      <c r="M253" s="23">
        <v>29.23</v>
      </c>
      <c r="N253" s="23">
        <v>114.756</v>
      </c>
      <c r="O253" s="23">
        <v>28.55</v>
      </c>
      <c r="P253" s="23">
        <v>71.129</v>
      </c>
      <c r="Q253" s="23">
        <v>25.638</v>
      </c>
      <c r="R253" s="23">
        <v>137.91</v>
      </c>
      <c r="S253" s="23">
        <v>28.939</v>
      </c>
      <c r="T253" s="23">
        <v>114.914</v>
      </c>
      <c r="U253" s="23">
        <v>28.3488</v>
      </c>
      <c r="V253" s="23">
        <v>71.073</v>
      </c>
      <c r="W253" s="23">
        <v>25.544</v>
      </c>
      <c r="X253" s="23">
        <v>137.784</v>
      </c>
      <c r="Y253" s="23">
        <v>28.997</v>
      </c>
      <c r="Z253" s="23">
        <v>114.8</v>
      </c>
      <c r="AA253" s="23">
        <v>28.334</v>
      </c>
      <c r="AB253" s="23">
        <v>70.998</v>
      </c>
      <c r="AC253" s="23">
        <v>25.496</v>
      </c>
      <c r="AD253" s="22">
        <f t="shared" ref="AD253:AI253" si="255">AVERAGE(L253,R253,X253)</f>
        <v>137.7596667</v>
      </c>
      <c r="AE253" s="22">
        <f t="shared" si="255"/>
        <v>29.05533333</v>
      </c>
      <c r="AF253" s="22">
        <f t="shared" si="255"/>
        <v>114.8233333</v>
      </c>
      <c r="AG253" s="22">
        <f t="shared" si="255"/>
        <v>28.41093333</v>
      </c>
      <c r="AH253" s="22">
        <f t="shared" si="255"/>
        <v>71.06666667</v>
      </c>
      <c r="AI253" s="22">
        <f t="shared" si="255"/>
        <v>25.55933333</v>
      </c>
      <c r="AJ253" s="22"/>
      <c r="AK253" s="22"/>
      <c r="AL253" s="22"/>
      <c r="AM253" s="22"/>
    </row>
    <row r="254">
      <c r="A254" s="13" t="s">
        <v>20</v>
      </c>
      <c r="B254" s="26">
        <v>45743.0</v>
      </c>
      <c r="C254" s="13" t="s">
        <v>21</v>
      </c>
      <c r="D254" s="13">
        <v>10.1</v>
      </c>
      <c r="E254" s="13" t="s">
        <v>27</v>
      </c>
      <c r="F254" s="13">
        <v>3.0</v>
      </c>
      <c r="G254" s="13" t="s">
        <v>26</v>
      </c>
      <c r="H254" s="23">
        <v>18.0122</v>
      </c>
      <c r="I254" s="23">
        <v>437.2626</v>
      </c>
      <c r="J254" s="23">
        <v>3.626</v>
      </c>
      <c r="K254" s="23">
        <v>0.065</v>
      </c>
      <c r="L254" s="23">
        <v>101.278</v>
      </c>
      <c r="M254" s="23">
        <v>27.365</v>
      </c>
      <c r="N254" s="23">
        <v>73.517</v>
      </c>
      <c r="O254" s="23">
        <v>28.031</v>
      </c>
      <c r="P254" s="23">
        <v>46.626</v>
      </c>
      <c r="Q254" s="23">
        <v>25.268</v>
      </c>
      <c r="R254" s="23">
        <v>101.421</v>
      </c>
      <c r="S254" s="23">
        <v>27.516</v>
      </c>
      <c r="T254" s="23">
        <v>73.636</v>
      </c>
      <c r="U254" s="23">
        <v>28.094</v>
      </c>
      <c r="V254" s="23">
        <v>46.756</v>
      </c>
      <c r="W254" s="23">
        <v>25.069</v>
      </c>
      <c r="X254" s="23">
        <v>101.443</v>
      </c>
      <c r="Y254" s="23">
        <v>27.249</v>
      </c>
      <c r="Z254" s="23">
        <v>73.552</v>
      </c>
      <c r="AA254" s="23">
        <v>27.663</v>
      </c>
      <c r="AB254" s="23">
        <v>46.753</v>
      </c>
      <c r="AC254" s="23">
        <v>24.289</v>
      </c>
      <c r="AD254" s="22">
        <f t="shared" ref="AD254:AI254" si="256">AVERAGE(L254,R254,X254)</f>
        <v>101.3806667</v>
      </c>
      <c r="AE254" s="22">
        <f t="shared" si="256"/>
        <v>27.37666667</v>
      </c>
      <c r="AF254" s="22">
        <f t="shared" si="256"/>
        <v>73.56833333</v>
      </c>
      <c r="AG254" s="22">
        <f t="shared" si="256"/>
        <v>27.92933333</v>
      </c>
      <c r="AH254" s="22">
        <f t="shared" si="256"/>
        <v>46.71166667</v>
      </c>
      <c r="AI254" s="22">
        <f t="shared" si="256"/>
        <v>24.87533333</v>
      </c>
      <c r="AJ254" s="22"/>
      <c r="AK254" s="22"/>
      <c r="AL254" s="22"/>
      <c r="AM254" s="22"/>
    </row>
    <row r="255">
      <c r="A255" s="13" t="s">
        <v>20</v>
      </c>
      <c r="B255" s="26">
        <v>45743.0</v>
      </c>
      <c r="C255" s="13" t="s">
        <v>21</v>
      </c>
      <c r="D255" s="13">
        <v>10.2</v>
      </c>
      <c r="E255" s="13" t="s">
        <v>27</v>
      </c>
      <c r="F255" s="13">
        <v>3.0</v>
      </c>
      <c r="G255" s="13" t="s">
        <v>26</v>
      </c>
      <c r="H255" s="23">
        <v>16.6569</v>
      </c>
      <c r="I255" s="23">
        <v>475.2852</v>
      </c>
      <c r="J255" s="23">
        <v>3.634</v>
      </c>
      <c r="K255" s="23">
        <v>0.013</v>
      </c>
      <c r="L255" s="23">
        <v>106.857</v>
      </c>
      <c r="M255" s="23">
        <v>28.805</v>
      </c>
      <c r="N255" s="23">
        <v>79.85</v>
      </c>
      <c r="O255" s="23">
        <v>28.621</v>
      </c>
      <c r="P255" s="23">
        <v>51.112</v>
      </c>
      <c r="Q255" s="23">
        <v>24.077</v>
      </c>
      <c r="R255" s="23">
        <v>106.995</v>
      </c>
      <c r="S255" s="23">
        <v>28.892</v>
      </c>
      <c r="T255" s="23">
        <v>80.03</v>
      </c>
      <c r="U255" s="23">
        <v>28.818</v>
      </c>
      <c r="V255" s="23">
        <v>51.352</v>
      </c>
      <c r="W255" s="23">
        <v>24.432</v>
      </c>
      <c r="X255" s="23">
        <v>106.9</v>
      </c>
      <c r="Y255" s="23">
        <v>28.68</v>
      </c>
      <c r="Z255" s="23">
        <v>79.868</v>
      </c>
      <c r="AA255" s="23">
        <v>28.562</v>
      </c>
      <c r="AB255" s="23">
        <v>51.094</v>
      </c>
      <c r="AC255" s="23">
        <v>24.016</v>
      </c>
      <c r="AD255" s="22">
        <f t="shared" ref="AD255:AI255" si="257">AVERAGE(L255,R255,X255)</f>
        <v>106.9173333</v>
      </c>
      <c r="AE255" s="22">
        <f t="shared" si="257"/>
        <v>28.79233333</v>
      </c>
      <c r="AF255" s="22">
        <f t="shared" si="257"/>
        <v>79.916</v>
      </c>
      <c r="AG255" s="22">
        <f t="shared" si="257"/>
        <v>28.667</v>
      </c>
      <c r="AH255" s="22">
        <f t="shared" si="257"/>
        <v>51.186</v>
      </c>
      <c r="AI255" s="22">
        <f t="shared" si="257"/>
        <v>24.175</v>
      </c>
      <c r="AJ255" s="22"/>
      <c r="AK255" s="22"/>
      <c r="AL255" s="22"/>
      <c r="AM255" s="22"/>
    </row>
    <row r="256">
      <c r="A256" s="13" t="s">
        <v>20</v>
      </c>
      <c r="B256" s="26">
        <v>45743.0</v>
      </c>
      <c r="C256" s="13" t="s">
        <v>21</v>
      </c>
      <c r="D256" s="13">
        <v>10.3</v>
      </c>
      <c r="E256" s="13" t="s">
        <v>27</v>
      </c>
      <c r="F256" s="13">
        <v>3.0</v>
      </c>
      <c r="G256" s="13" t="s">
        <v>26</v>
      </c>
      <c r="H256" s="23">
        <v>16.5442</v>
      </c>
      <c r="I256" s="23">
        <v>446.5032</v>
      </c>
      <c r="J256" s="23">
        <v>3.605</v>
      </c>
      <c r="K256" s="23">
        <v>0.026</v>
      </c>
      <c r="L256" s="23">
        <v>106.439</v>
      </c>
      <c r="M256" s="23">
        <v>27.63</v>
      </c>
      <c r="N256" s="23">
        <v>80.367</v>
      </c>
      <c r="O256" s="23">
        <v>28.326</v>
      </c>
      <c r="P256" s="23">
        <v>50.221</v>
      </c>
      <c r="Q256" s="23">
        <v>23.453</v>
      </c>
      <c r="R256" s="23">
        <v>107.084</v>
      </c>
      <c r="S256" s="23">
        <v>27.25</v>
      </c>
      <c r="T256" s="23">
        <v>80.72</v>
      </c>
      <c r="U256" s="23">
        <v>28.133</v>
      </c>
      <c r="V256" s="23">
        <v>50.592</v>
      </c>
      <c r="W256" s="23">
        <v>23.038</v>
      </c>
      <c r="X256" s="23">
        <v>106.87</v>
      </c>
      <c r="Y256" s="23">
        <v>27.313</v>
      </c>
      <c r="Z256" s="23">
        <v>80.495</v>
      </c>
      <c r="AA256" s="23">
        <v>28.156</v>
      </c>
      <c r="AB256" s="23">
        <v>50.276</v>
      </c>
      <c r="AC256" s="23">
        <v>23.125</v>
      </c>
      <c r="AD256" s="22">
        <f t="shared" ref="AD256:AI256" si="258">AVERAGE(L256,R256,X256)</f>
        <v>106.7976667</v>
      </c>
      <c r="AE256" s="22">
        <f t="shared" si="258"/>
        <v>27.39766667</v>
      </c>
      <c r="AF256" s="22">
        <f t="shared" si="258"/>
        <v>80.52733333</v>
      </c>
      <c r="AG256" s="22">
        <f t="shared" si="258"/>
        <v>28.205</v>
      </c>
      <c r="AH256" s="22">
        <f t="shared" si="258"/>
        <v>50.363</v>
      </c>
      <c r="AI256" s="22">
        <f t="shared" si="258"/>
        <v>23.20533333</v>
      </c>
      <c r="AJ256" s="22"/>
      <c r="AK256" s="22"/>
      <c r="AL256" s="22"/>
      <c r="AM256" s="22"/>
    </row>
    <row r="257">
      <c r="A257" s="13" t="s">
        <v>20</v>
      </c>
      <c r="B257" s="26">
        <v>45743.0</v>
      </c>
      <c r="C257" s="13" t="s">
        <v>21</v>
      </c>
      <c r="D257" s="13">
        <v>10.4</v>
      </c>
      <c r="E257" s="13" t="s">
        <v>27</v>
      </c>
      <c r="F257" s="13">
        <v>3.0</v>
      </c>
      <c r="G257" s="13" t="s">
        <v>26</v>
      </c>
      <c r="H257" s="23">
        <v>19.2881</v>
      </c>
      <c r="I257" s="23">
        <v>419.2374</v>
      </c>
      <c r="J257" s="23">
        <v>3.48</v>
      </c>
      <c r="K257" s="23">
        <v>0.064</v>
      </c>
      <c r="L257" s="23">
        <v>141.123</v>
      </c>
      <c r="M257" s="23">
        <v>29.799</v>
      </c>
      <c r="N257" s="23">
        <v>123.157</v>
      </c>
      <c r="O257" s="23">
        <v>27.141</v>
      </c>
      <c r="P257" s="23">
        <v>97.521</v>
      </c>
      <c r="Q257" s="23">
        <v>25.924</v>
      </c>
      <c r="R257" s="23">
        <v>140.706</v>
      </c>
      <c r="S257" s="23">
        <v>30.253</v>
      </c>
      <c r="T257" s="23">
        <v>122.766</v>
      </c>
      <c r="U257" s="23">
        <v>27.54</v>
      </c>
      <c r="V257" s="23">
        <v>97.2</v>
      </c>
      <c r="W257" s="23">
        <v>26.194</v>
      </c>
      <c r="X257" s="23">
        <v>141.053</v>
      </c>
      <c r="Y257" s="23">
        <v>29.594</v>
      </c>
      <c r="Z257" s="23">
        <v>122.98</v>
      </c>
      <c r="AA257" s="23">
        <v>26.988</v>
      </c>
      <c r="AB257" s="23">
        <v>97.134</v>
      </c>
      <c r="AC257" s="23">
        <v>26.051</v>
      </c>
      <c r="AD257" s="22">
        <f t="shared" ref="AD257:AI257" si="259">AVERAGE(L257,R257,X257)</f>
        <v>140.9606667</v>
      </c>
      <c r="AE257" s="22">
        <f t="shared" si="259"/>
        <v>29.882</v>
      </c>
      <c r="AF257" s="22">
        <f t="shared" si="259"/>
        <v>122.9676667</v>
      </c>
      <c r="AG257" s="22">
        <f t="shared" si="259"/>
        <v>27.223</v>
      </c>
      <c r="AH257" s="22">
        <f t="shared" si="259"/>
        <v>97.285</v>
      </c>
      <c r="AI257" s="22">
        <f t="shared" si="259"/>
        <v>26.05633333</v>
      </c>
      <c r="AJ257" s="22"/>
      <c r="AK257" s="22"/>
      <c r="AL257" s="22"/>
      <c r="AM257" s="22"/>
    </row>
    <row r="258">
      <c r="A258" s="13" t="s">
        <v>20</v>
      </c>
      <c r="B258" s="26">
        <v>45743.0</v>
      </c>
      <c r="C258" s="13" t="s">
        <v>21</v>
      </c>
      <c r="D258" s="13">
        <v>11.1</v>
      </c>
      <c r="E258" s="13" t="s">
        <v>27</v>
      </c>
      <c r="F258" s="13">
        <v>3.0</v>
      </c>
      <c r="G258" s="13" t="s">
        <v>26</v>
      </c>
      <c r="H258" s="23">
        <v>18.4255</v>
      </c>
      <c r="I258" s="23">
        <v>454.4254</v>
      </c>
      <c r="J258" s="23">
        <v>4.089</v>
      </c>
      <c r="K258" s="23">
        <v>0.048</v>
      </c>
      <c r="L258" s="23">
        <v>112.331</v>
      </c>
      <c r="M258" s="23">
        <v>25.513</v>
      </c>
      <c r="N258" s="23">
        <v>71.389</v>
      </c>
      <c r="O258" s="23">
        <v>23.728</v>
      </c>
      <c r="P258" s="23">
        <v>33.357</v>
      </c>
      <c r="Q258" s="23">
        <v>17.661</v>
      </c>
      <c r="R258" s="23">
        <v>112.416</v>
      </c>
      <c r="S258" s="23">
        <v>25.313</v>
      </c>
      <c r="T258" s="23">
        <v>71.337</v>
      </c>
      <c r="U258" s="23">
        <v>23.459</v>
      </c>
      <c r="V258" s="23">
        <v>33.246</v>
      </c>
      <c r="W258" s="23">
        <v>17.156</v>
      </c>
      <c r="X258" s="23">
        <v>112.372</v>
      </c>
      <c r="Y258" s="23">
        <v>25.51</v>
      </c>
      <c r="Z258" s="23">
        <v>71.272</v>
      </c>
      <c r="AA258" s="23">
        <v>23.514</v>
      </c>
      <c r="AB258" s="23">
        <v>33.148</v>
      </c>
      <c r="AC258" s="23">
        <v>17.296</v>
      </c>
      <c r="AD258" s="22">
        <f t="shared" ref="AD258:AI258" si="260">AVERAGE(L258,R258,X258)</f>
        <v>112.373</v>
      </c>
      <c r="AE258" s="22">
        <f t="shared" si="260"/>
        <v>25.44533333</v>
      </c>
      <c r="AF258" s="22">
        <f t="shared" si="260"/>
        <v>71.33266667</v>
      </c>
      <c r="AG258" s="22">
        <f t="shared" si="260"/>
        <v>23.567</v>
      </c>
      <c r="AH258" s="22">
        <f t="shared" si="260"/>
        <v>33.25033333</v>
      </c>
      <c r="AI258" s="22">
        <f t="shared" si="260"/>
        <v>17.371</v>
      </c>
      <c r="AJ258" s="22"/>
      <c r="AK258" s="22"/>
      <c r="AL258" s="22"/>
      <c r="AM258" s="22"/>
    </row>
    <row r="259">
      <c r="A259" s="13" t="s">
        <v>20</v>
      </c>
      <c r="B259" s="26">
        <v>45743.0</v>
      </c>
      <c r="C259" s="13" t="s">
        <v>21</v>
      </c>
      <c r="D259" s="13">
        <v>11.2</v>
      </c>
      <c r="E259" s="13" t="s">
        <v>27</v>
      </c>
      <c r="F259" s="13">
        <v>3.0</v>
      </c>
      <c r="G259" s="13" t="s">
        <v>26</v>
      </c>
      <c r="H259" s="23">
        <v>21.6687</v>
      </c>
      <c r="I259" s="23">
        <v>440.4</v>
      </c>
      <c r="J259" s="23">
        <v>4.929</v>
      </c>
      <c r="K259" s="23">
        <v>0.066</v>
      </c>
      <c r="L259" s="23">
        <v>108.243</v>
      </c>
      <c r="M259" s="23">
        <v>25.999</v>
      </c>
      <c r="N259" s="23">
        <v>67.871</v>
      </c>
      <c r="O259" s="23">
        <v>26.13</v>
      </c>
      <c r="P259" s="23">
        <v>25.253</v>
      </c>
      <c r="Q259" s="23">
        <v>23.66</v>
      </c>
      <c r="R259" s="23">
        <v>108.11</v>
      </c>
      <c r="S259" s="23">
        <v>25.568</v>
      </c>
      <c r="T259" s="23">
        <v>67.418</v>
      </c>
      <c r="U259" s="23">
        <v>25.295</v>
      </c>
      <c r="V259" s="23">
        <v>34.649</v>
      </c>
      <c r="W259" s="23">
        <v>22.055</v>
      </c>
      <c r="X259" s="23">
        <v>107.676</v>
      </c>
      <c r="Y259" s="23">
        <v>25.409</v>
      </c>
      <c r="Z259" s="23">
        <v>67.126</v>
      </c>
      <c r="AA259" s="23">
        <v>24.493</v>
      </c>
      <c r="AB259" s="23">
        <v>34.254</v>
      </c>
      <c r="AC259" s="23">
        <v>20.665</v>
      </c>
      <c r="AD259" s="22">
        <f t="shared" ref="AD259:AI259" si="261">AVERAGE(L259,R259,X259)</f>
        <v>108.0096667</v>
      </c>
      <c r="AE259" s="22">
        <f t="shared" si="261"/>
        <v>25.65866667</v>
      </c>
      <c r="AF259" s="22">
        <f t="shared" si="261"/>
        <v>67.47166667</v>
      </c>
      <c r="AG259" s="22">
        <f t="shared" si="261"/>
        <v>25.306</v>
      </c>
      <c r="AH259" s="22">
        <f t="shared" si="261"/>
        <v>31.38533333</v>
      </c>
      <c r="AI259" s="22">
        <f t="shared" si="261"/>
        <v>22.12666667</v>
      </c>
      <c r="AJ259" s="22"/>
      <c r="AK259" s="22"/>
      <c r="AL259" s="22"/>
      <c r="AM259" s="22"/>
    </row>
    <row r="260">
      <c r="A260" s="13" t="s">
        <v>20</v>
      </c>
      <c r="B260" s="26">
        <v>45743.0</v>
      </c>
      <c r="C260" s="13" t="s">
        <v>21</v>
      </c>
      <c r="D260" s="13">
        <v>11.3</v>
      </c>
      <c r="E260" s="13" t="s">
        <v>27</v>
      </c>
      <c r="F260" s="13">
        <v>3.0</v>
      </c>
      <c r="G260" s="13" t="s">
        <v>26</v>
      </c>
      <c r="H260" s="23">
        <v>20.1452</v>
      </c>
      <c r="I260" s="23">
        <v>438.1052</v>
      </c>
      <c r="J260" s="23">
        <v>4.949</v>
      </c>
      <c r="K260" s="23">
        <v>0.023</v>
      </c>
      <c r="L260" s="23">
        <v>112.992</v>
      </c>
      <c r="M260" s="23">
        <v>28.127</v>
      </c>
      <c r="N260" s="23">
        <v>72.081</v>
      </c>
      <c r="O260" s="23">
        <v>26.552</v>
      </c>
      <c r="P260" s="23">
        <v>26.856</v>
      </c>
      <c r="Q260" s="23">
        <v>24.415</v>
      </c>
      <c r="R260" s="23">
        <v>112.852</v>
      </c>
      <c r="S260" s="23">
        <v>27.817</v>
      </c>
      <c r="T260" s="23">
        <v>71.688</v>
      </c>
      <c r="U260" s="23">
        <v>25.667</v>
      </c>
      <c r="V260" s="23">
        <v>36.314</v>
      </c>
      <c r="W260" s="23">
        <v>22.691</v>
      </c>
      <c r="X260" s="23">
        <v>112.746</v>
      </c>
      <c r="Y260" s="23">
        <v>28.21</v>
      </c>
      <c r="Z260" s="23">
        <v>71.939</v>
      </c>
      <c r="AA260" s="23">
        <v>26.51</v>
      </c>
      <c r="AB260" s="23">
        <v>36.735</v>
      </c>
      <c r="AC260" s="23">
        <v>23.606</v>
      </c>
      <c r="AD260" s="22">
        <f t="shared" ref="AD260:AI260" si="262">AVERAGE(L260,R260,X260)</f>
        <v>112.8633333</v>
      </c>
      <c r="AE260" s="22">
        <f t="shared" si="262"/>
        <v>28.05133333</v>
      </c>
      <c r="AF260" s="22">
        <f t="shared" si="262"/>
        <v>71.90266667</v>
      </c>
      <c r="AG260" s="22">
        <f t="shared" si="262"/>
        <v>26.243</v>
      </c>
      <c r="AH260" s="22">
        <f t="shared" si="262"/>
        <v>33.30166667</v>
      </c>
      <c r="AI260" s="22">
        <f t="shared" si="262"/>
        <v>23.57066667</v>
      </c>
      <c r="AJ260" s="22"/>
      <c r="AK260" s="22"/>
      <c r="AL260" s="22"/>
      <c r="AM260" s="22"/>
    </row>
    <row r="261">
      <c r="A261" s="13" t="s">
        <v>20</v>
      </c>
      <c r="B261" s="26">
        <v>45743.0</v>
      </c>
      <c r="C261" s="13" t="s">
        <v>21</v>
      </c>
      <c r="D261" s="13">
        <v>11.4</v>
      </c>
      <c r="E261" s="13" t="s">
        <v>27</v>
      </c>
      <c r="F261" s="13">
        <v>3.0</v>
      </c>
      <c r="G261" s="13" t="s">
        <v>26</v>
      </c>
      <c r="H261" s="23">
        <v>17.1523</v>
      </c>
      <c r="I261" s="23">
        <v>414.0852</v>
      </c>
      <c r="J261" s="23">
        <v>4.785</v>
      </c>
      <c r="K261" s="23">
        <v>0.045</v>
      </c>
      <c r="L261" s="23">
        <v>155.468</v>
      </c>
      <c r="M261" s="23">
        <v>32.491</v>
      </c>
      <c r="N261" s="23">
        <v>126.559</v>
      </c>
      <c r="O261" s="23">
        <v>30.598</v>
      </c>
      <c r="P261" s="23">
        <v>88.589</v>
      </c>
      <c r="Q261" s="23">
        <v>27.091</v>
      </c>
      <c r="R261" s="23">
        <v>155.625</v>
      </c>
      <c r="S261" s="23">
        <v>32.248</v>
      </c>
      <c r="T261" s="23">
        <v>126.614</v>
      </c>
      <c r="U261" s="23">
        <v>30.394</v>
      </c>
      <c r="V261" s="23">
        <v>88.469</v>
      </c>
      <c r="W261" s="23">
        <v>26.876</v>
      </c>
      <c r="X261" s="23">
        <v>156.053</v>
      </c>
      <c r="Y261" s="23">
        <v>31.563</v>
      </c>
      <c r="Z261" s="23">
        <v>126.978</v>
      </c>
      <c r="AA261" s="23">
        <v>29.932</v>
      </c>
      <c r="AB261" s="23">
        <v>88.777</v>
      </c>
      <c r="AC261" s="23">
        <v>26.567</v>
      </c>
      <c r="AD261" s="22">
        <f t="shared" ref="AD261:AI261" si="263">AVERAGE(L261,R261,X261)</f>
        <v>155.7153333</v>
      </c>
      <c r="AE261" s="22">
        <f t="shared" si="263"/>
        <v>32.10066667</v>
      </c>
      <c r="AF261" s="22">
        <f t="shared" si="263"/>
        <v>126.717</v>
      </c>
      <c r="AG261" s="22">
        <f t="shared" si="263"/>
        <v>30.308</v>
      </c>
      <c r="AH261" s="22">
        <f t="shared" si="263"/>
        <v>88.61166667</v>
      </c>
      <c r="AI261" s="22">
        <f t="shared" si="263"/>
        <v>26.84466667</v>
      </c>
      <c r="AJ261" s="22"/>
      <c r="AK261" s="22"/>
      <c r="AL261" s="22"/>
      <c r="AM261" s="22"/>
    </row>
    <row r="262">
      <c r="A262" s="13" t="s">
        <v>20</v>
      </c>
      <c r="B262" s="26">
        <v>45743.0</v>
      </c>
      <c r="C262" s="13" t="s">
        <v>21</v>
      </c>
      <c r="D262" s="13">
        <v>12.1</v>
      </c>
      <c r="E262" s="13" t="s">
        <v>27</v>
      </c>
      <c r="F262" s="13">
        <v>3.0</v>
      </c>
      <c r="G262" s="13" t="s">
        <v>26</v>
      </c>
      <c r="H262" s="23">
        <v>17.8061</v>
      </c>
      <c r="I262" s="23">
        <v>439.2148</v>
      </c>
      <c r="J262" s="23">
        <v>2.981</v>
      </c>
      <c r="K262" s="23">
        <v>0.024</v>
      </c>
      <c r="L262" s="23">
        <v>129.323</v>
      </c>
      <c r="M262" s="23">
        <v>24.793</v>
      </c>
      <c r="N262" s="23">
        <v>93.208</v>
      </c>
      <c r="O262" s="23">
        <v>21.982</v>
      </c>
      <c r="P262" s="23">
        <v>44.683</v>
      </c>
      <c r="Q262" s="23">
        <v>19.024</v>
      </c>
      <c r="R262" s="23">
        <v>129.601</v>
      </c>
      <c r="S262" s="23">
        <v>24.565</v>
      </c>
      <c r="T262" s="23">
        <v>93.638</v>
      </c>
      <c r="U262" s="23">
        <v>22.067</v>
      </c>
      <c r="V262" s="23">
        <v>45.294</v>
      </c>
      <c r="W262" s="23">
        <v>19.955</v>
      </c>
      <c r="X262" s="23">
        <v>129.684</v>
      </c>
      <c r="Y262" s="23">
        <v>24.987</v>
      </c>
      <c r="Z262" s="23">
        <v>94.033</v>
      </c>
      <c r="AA262" s="23">
        <v>22.964</v>
      </c>
      <c r="AB262" s="23">
        <v>46.067</v>
      </c>
      <c r="AC262" s="23">
        <v>22.37</v>
      </c>
      <c r="AD262" s="22">
        <f t="shared" ref="AD262:AI262" si="264">AVERAGE(L262,R262,X262)</f>
        <v>129.536</v>
      </c>
      <c r="AE262" s="22">
        <f t="shared" si="264"/>
        <v>24.78166667</v>
      </c>
      <c r="AF262" s="22">
        <f t="shared" si="264"/>
        <v>93.62633333</v>
      </c>
      <c r="AG262" s="22">
        <f t="shared" si="264"/>
        <v>22.33766667</v>
      </c>
      <c r="AH262" s="22">
        <f t="shared" si="264"/>
        <v>45.348</v>
      </c>
      <c r="AI262" s="22">
        <f t="shared" si="264"/>
        <v>20.44966667</v>
      </c>
      <c r="AJ262" s="22"/>
      <c r="AK262" s="22"/>
      <c r="AL262" s="22"/>
      <c r="AM262" s="22"/>
    </row>
    <row r="263">
      <c r="A263" s="13" t="s">
        <v>20</v>
      </c>
      <c r="B263" s="26">
        <v>45743.0</v>
      </c>
      <c r="C263" s="13" t="s">
        <v>21</v>
      </c>
      <c r="D263" s="13">
        <v>12.2</v>
      </c>
      <c r="E263" s="13" t="s">
        <v>27</v>
      </c>
      <c r="F263" s="13">
        <v>3.0</v>
      </c>
      <c r="G263" s="13" t="s">
        <v>26</v>
      </c>
      <c r="H263" s="23">
        <v>18.2317</v>
      </c>
      <c r="I263" s="23">
        <v>439.2389</v>
      </c>
      <c r="J263" s="23">
        <v>3.495</v>
      </c>
      <c r="K263" s="23">
        <v>0.036</v>
      </c>
      <c r="L263" s="23">
        <v>136.428</v>
      </c>
      <c r="M263" s="23">
        <v>24.453</v>
      </c>
      <c r="N263" s="23">
        <v>98.664</v>
      </c>
      <c r="O263" s="23">
        <v>22.078</v>
      </c>
      <c r="P263" s="23">
        <v>49.149</v>
      </c>
      <c r="Q263" s="23">
        <v>24.341</v>
      </c>
      <c r="R263" s="23">
        <v>135.446</v>
      </c>
      <c r="S263" s="23">
        <v>25.307</v>
      </c>
      <c r="T263" s="23">
        <v>98.151</v>
      </c>
      <c r="U263" s="23">
        <v>22.347</v>
      </c>
      <c r="V263" s="23">
        <v>49.109</v>
      </c>
      <c r="W263" s="23">
        <v>24.126</v>
      </c>
      <c r="X263" s="23">
        <v>135.487</v>
      </c>
      <c r="Y263" s="23">
        <v>25.434</v>
      </c>
      <c r="Z263" s="23">
        <v>98.074</v>
      </c>
      <c r="AA263" s="23">
        <v>22.314</v>
      </c>
      <c r="AB263" s="23">
        <v>48.876</v>
      </c>
      <c r="AC263" s="23">
        <v>23.838</v>
      </c>
      <c r="AD263" s="22">
        <f t="shared" ref="AD263:AI263" si="265">AVERAGE(L263,R263,X263)</f>
        <v>135.787</v>
      </c>
      <c r="AE263" s="22">
        <f t="shared" si="265"/>
        <v>25.06466667</v>
      </c>
      <c r="AF263" s="22">
        <f t="shared" si="265"/>
        <v>98.29633333</v>
      </c>
      <c r="AG263" s="22">
        <f t="shared" si="265"/>
        <v>22.24633333</v>
      </c>
      <c r="AH263" s="22">
        <f t="shared" si="265"/>
        <v>49.04466667</v>
      </c>
      <c r="AI263" s="22">
        <f t="shared" si="265"/>
        <v>24.10166667</v>
      </c>
      <c r="AJ263" s="22"/>
      <c r="AK263" s="22"/>
      <c r="AL263" s="22"/>
      <c r="AM263" s="22"/>
    </row>
    <row r="264">
      <c r="A264" s="13" t="s">
        <v>20</v>
      </c>
      <c r="B264" s="26">
        <v>45743.0</v>
      </c>
      <c r="C264" s="13" t="s">
        <v>21</v>
      </c>
      <c r="D264" s="13">
        <v>12.3</v>
      </c>
      <c r="E264" s="13" t="s">
        <v>27</v>
      </c>
      <c r="F264" s="13">
        <v>3.0</v>
      </c>
      <c r="G264" s="13" t="s">
        <v>26</v>
      </c>
      <c r="H264" s="23">
        <v>18.7269</v>
      </c>
      <c r="I264" s="23">
        <v>441.6016</v>
      </c>
      <c r="J264" s="23">
        <v>2.841</v>
      </c>
      <c r="K264" s="23">
        <v>0.03</v>
      </c>
      <c r="L264" s="23">
        <v>139.829</v>
      </c>
      <c r="M264" s="23">
        <v>23.54</v>
      </c>
      <c r="N264" s="23">
        <v>102.46</v>
      </c>
      <c r="O264" s="23">
        <v>20.286</v>
      </c>
      <c r="P264" s="23">
        <v>52.659</v>
      </c>
      <c r="Q264" s="23">
        <v>20.354</v>
      </c>
      <c r="R264" s="23">
        <v>140.871</v>
      </c>
      <c r="S264" s="23">
        <v>22.725</v>
      </c>
      <c r="T264" s="23">
        <v>103.241</v>
      </c>
      <c r="U264" s="23">
        <v>19.648</v>
      </c>
      <c r="V264" s="23">
        <v>52.923</v>
      </c>
      <c r="W264" s="23">
        <v>20.443</v>
      </c>
      <c r="X264" s="23">
        <v>139.378</v>
      </c>
      <c r="Y264" s="23">
        <v>24.433</v>
      </c>
      <c r="Z264" s="23">
        <v>102.138</v>
      </c>
      <c r="AA264" s="23">
        <v>20.988</v>
      </c>
      <c r="AB264" s="23">
        <v>52.569</v>
      </c>
      <c r="AC264" s="23">
        <v>20.797</v>
      </c>
      <c r="AD264" s="22">
        <f t="shared" ref="AD264:AI264" si="266">AVERAGE(L264,R264,X264)</f>
        <v>140.026</v>
      </c>
      <c r="AE264" s="22">
        <f t="shared" si="266"/>
        <v>23.566</v>
      </c>
      <c r="AF264" s="22">
        <f t="shared" si="266"/>
        <v>102.613</v>
      </c>
      <c r="AG264" s="22">
        <f t="shared" si="266"/>
        <v>20.30733333</v>
      </c>
      <c r="AH264" s="22">
        <f t="shared" si="266"/>
        <v>52.717</v>
      </c>
      <c r="AI264" s="22">
        <f t="shared" si="266"/>
        <v>20.53133333</v>
      </c>
      <c r="AJ264" s="22"/>
      <c r="AK264" s="22"/>
      <c r="AL264" s="22"/>
      <c r="AM264" s="22"/>
    </row>
    <row r="265">
      <c r="A265" s="13" t="s">
        <v>20</v>
      </c>
      <c r="B265" s="26">
        <v>45743.0</v>
      </c>
      <c r="C265" s="13" t="s">
        <v>21</v>
      </c>
      <c r="D265" s="13">
        <v>12.4</v>
      </c>
      <c r="E265" s="13" t="s">
        <v>27</v>
      </c>
      <c r="F265" s="13">
        <v>3.0</v>
      </c>
      <c r="G265" s="13" t="s">
        <v>26</v>
      </c>
      <c r="H265" s="23">
        <v>16.2416</v>
      </c>
      <c r="I265" s="23">
        <v>423.7088</v>
      </c>
      <c r="J265" s="23">
        <v>2.968</v>
      </c>
      <c r="K265" s="23">
        <v>0.019</v>
      </c>
      <c r="L265" s="23">
        <v>164.591</v>
      </c>
      <c r="M265" s="23">
        <v>33.111</v>
      </c>
      <c r="N265" s="23">
        <v>137.651</v>
      </c>
      <c r="O265" s="23">
        <v>29.866</v>
      </c>
      <c r="P265" s="23">
        <v>97.143</v>
      </c>
      <c r="Q265" s="23">
        <v>24.432</v>
      </c>
      <c r="R265" s="23">
        <v>165.051</v>
      </c>
      <c r="S265" s="23">
        <v>32.387</v>
      </c>
      <c r="T265" s="23">
        <v>137.996</v>
      </c>
      <c r="U265" s="23">
        <v>29.315</v>
      </c>
      <c r="V265" s="23">
        <v>97.289</v>
      </c>
      <c r="W265" s="23">
        <v>24.212</v>
      </c>
      <c r="X265" s="23">
        <v>164.718</v>
      </c>
      <c r="Y265" s="23">
        <v>32.819</v>
      </c>
      <c r="Z265" s="23">
        <v>137.716</v>
      </c>
      <c r="AA265" s="23">
        <v>29.669</v>
      </c>
      <c r="AB265" s="23">
        <v>97.065</v>
      </c>
      <c r="AC265" s="23">
        <v>24.457</v>
      </c>
      <c r="AD265" s="22">
        <f t="shared" ref="AD265:AI265" si="267">AVERAGE(L265,R265,X265)</f>
        <v>164.7866667</v>
      </c>
      <c r="AE265" s="22">
        <f t="shared" si="267"/>
        <v>32.77233333</v>
      </c>
      <c r="AF265" s="22">
        <f t="shared" si="267"/>
        <v>137.7876667</v>
      </c>
      <c r="AG265" s="22">
        <f t="shared" si="267"/>
        <v>29.61666667</v>
      </c>
      <c r="AH265" s="22">
        <f t="shared" si="267"/>
        <v>97.16566667</v>
      </c>
      <c r="AI265" s="22">
        <f t="shared" si="267"/>
        <v>24.367</v>
      </c>
      <c r="AJ265" s="22"/>
      <c r="AK265" s="22"/>
      <c r="AL265" s="22"/>
      <c r="AM265" s="22"/>
    </row>
    <row r="266">
      <c r="A266" s="13" t="s">
        <v>20</v>
      </c>
      <c r="B266" s="26">
        <v>45743.0</v>
      </c>
      <c r="C266" s="13" t="s">
        <v>24</v>
      </c>
      <c r="D266" s="13">
        <v>10.1</v>
      </c>
      <c r="E266" s="13" t="s">
        <v>27</v>
      </c>
      <c r="F266" s="13">
        <v>3.0</v>
      </c>
      <c r="G266" s="13" t="s">
        <v>26</v>
      </c>
      <c r="H266" s="23">
        <v>20.1482</v>
      </c>
      <c r="I266" s="23">
        <v>471.6</v>
      </c>
      <c r="J266" s="23">
        <v>9.53</v>
      </c>
      <c r="K266" s="23">
        <v>0.046</v>
      </c>
      <c r="L266" s="23">
        <v>139.993</v>
      </c>
      <c r="M266" s="23">
        <v>21.792</v>
      </c>
      <c r="N266" s="23">
        <v>102.973</v>
      </c>
      <c r="O266" s="23">
        <v>21.557</v>
      </c>
      <c r="P266" s="23">
        <v>62.251</v>
      </c>
      <c r="Q266" s="23">
        <v>24.844</v>
      </c>
      <c r="R266" s="23">
        <v>140.07</v>
      </c>
      <c r="S266" s="23">
        <v>21.079</v>
      </c>
      <c r="T266" s="23">
        <v>102.796</v>
      </c>
      <c r="U266" s="23">
        <v>20.652</v>
      </c>
      <c r="V266" s="23">
        <v>61.719</v>
      </c>
      <c r="W266" s="23">
        <v>23.578</v>
      </c>
      <c r="X266" s="23">
        <v>139.981</v>
      </c>
      <c r="Y266" s="23">
        <v>21.525</v>
      </c>
      <c r="Z266" s="23">
        <v>102.773</v>
      </c>
      <c r="AA266" s="23">
        <v>21.029</v>
      </c>
      <c r="AB266" s="23">
        <v>61.722</v>
      </c>
      <c r="AC266" s="23">
        <v>23.905</v>
      </c>
      <c r="AD266" s="22">
        <f t="shared" ref="AD266:AI266" si="268">AVERAGE(L266,R266,X266)</f>
        <v>140.0146667</v>
      </c>
      <c r="AE266" s="22">
        <f t="shared" si="268"/>
        <v>21.46533333</v>
      </c>
      <c r="AF266" s="22">
        <f t="shared" si="268"/>
        <v>102.8473333</v>
      </c>
      <c r="AG266" s="22">
        <f t="shared" si="268"/>
        <v>21.07933333</v>
      </c>
      <c r="AH266" s="22">
        <f t="shared" si="268"/>
        <v>61.89733333</v>
      </c>
      <c r="AI266" s="22">
        <f t="shared" si="268"/>
        <v>24.109</v>
      </c>
      <c r="AJ266" s="22"/>
      <c r="AK266" s="22"/>
      <c r="AL266" s="22"/>
      <c r="AM266" s="22"/>
    </row>
    <row r="267">
      <c r="A267" s="13" t="s">
        <v>20</v>
      </c>
      <c r="B267" s="26">
        <v>45743.0</v>
      </c>
      <c r="C267" s="13" t="s">
        <v>24</v>
      </c>
      <c r="D267" s="13">
        <v>10.2</v>
      </c>
      <c r="E267" s="13" t="s">
        <v>27</v>
      </c>
      <c r="F267" s="13">
        <v>3.0</v>
      </c>
      <c r="G267" s="13" t="s">
        <v>26</v>
      </c>
      <c r="H267" s="23">
        <v>16.5983</v>
      </c>
      <c r="I267" s="23">
        <v>432.1666</v>
      </c>
      <c r="J267" s="23">
        <v>7.14</v>
      </c>
      <c r="K267" s="23">
        <v>0.015</v>
      </c>
      <c r="L267" s="23">
        <v>136.328</v>
      </c>
      <c r="M267" s="23">
        <v>22.417</v>
      </c>
      <c r="N267" s="23">
        <v>100.613</v>
      </c>
      <c r="O267" s="23">
        <v>19.758</v>
      </c>
      <c r="P267" s="23">
        <v>62.733</v>
      </c>
      <c r="Q267" s="23">
        <v>21.376</v>
      </c>
      <c r="R267" s="23">
        <v>136.016</v>
      </c>
      <c r="S267" s="23">
        <v>23.36</v>
      </c>
      <c r="T267" s="23">
        <v>100.351</v>
      </c>
      <c r="U267" s="23">
        <v>20.38</v>
      </c>
      <c r="V267" s="23">
        <v>62.542</v>
      </c>
      <c r="W267" s="23">
        <v>21.61</v>
      </c>
      <c r="X267" s="23">
        <v>136.733</v>
      </c>
      <c r="Y267" s="23">
        <v>21.729</v>
      </c>
      <c r="Z267" s="23">
        <v>100.936</v>
      </c>
      <c r="AA267" s="23">
        <v>19.45</v>
      </c>
      <c r="AB267" s="23">
        <v>62.896</v>
      </c>
      <c r="AC267" s="23">
        <v>21.599</v>
      </c>
      <c r="AD267" s="22">
        <f t="shared" ref="AD267:AI267" si="269">AVERAGE(L267,R267,X267)</f>
        <v>136.359</v>
      </c>
      <c r="AE267" s="22">
        <f t="shared" si="269"/>
        <v>22.502</v>
      </c>
      <c r="AF267" s="22">
        <f t="shared" si="269"/>
        <v>100.6333333</v>
      </c>
      <c r="AG267" s="22">
        <f t="shared" si="269"/>
        <v>19.86266667</v>
      </c>
      <c r="AH267" s="22">
        <f t="shared" si="269"/>
        <v>62.72366667</v>
      </c>
      <c r="AI267" s="22">
        <f t="shared" si="269"/>
        <v>21.52833333</v>
      </c>
      <c r="AJ267" s="22"/>
      <c r="AK267" s="22"/>
      <c r="AL267" s="22"/>
      <c r="AM267" s="22"/>
    </row>
    <row r="268">
      <c r="A268" s="13" t="s">
        <v>20</v>
      </c>
      <c r="B268" s="26">
        <v>45743.0</v>
      </c>
      <c r="C268" s="13" t="s">
        <v>24</v>
      </c>
      <c r="D268" s="13">
        <v>10.3</v>
      </c>
      <c r="E268" s="13" t="s">
        <v>27</v>
      </c>
      <c r="F268" s="13">
        <v>3.0</v>
      </c>
      <c r="G268" s="13" t="s">
        <v>26</v>
      </c>
      <c r="H268" s="23">
        <v>16.8611</v>
      </c>
      <c r="I268" s="23">
        <v>454.8063</v>
      </c>
      <c r="J268" s="23">
        <v>9.701</v>
      </c>
      <c r="K268" s="23">
        <v>0.03</v>
      </c>
      <c r="L268" s="23">
        <v>139.973</v>
      </c>
      <c r="M268" s="23">
        <v>22.351</v>
      </c>
      <c r="N268" s="23">
        <v>103.121</v>
      </c>
      <c r="O268" s="23">
        <v>21.443</v>
      </c>
      <c r="P268" s="23">
        <v>64.43</v>
      </c>
      <c r="Q268" s="23">
        <v>24.272</v>
      </c>
      <c r="R268" s="23">
        <v>139.952</v>
      </c>
      <c r="S268" s="23">
        <v>22.375</v>
      </c>
      <c r="T268" s="23">
        <v>103.142</v>
      </c>
      <c r="U268" s="23">
        <v>21.47</v>
      </c>
      <c r="V268" s="23">
        <v>64.402</v>
      </c>
      <c r="W268" s="23">
        <v>24.288</v>
      </c>
      <c r="X268" s="23">
        <v>139.731</v>
      </c>
      <c r="Y268" s="23">
        <v>22.732</v>
      </c>
      <c r="Z268" s="23">
        <v>103.006</v>
      </c>
      <c r="AA268" s="23">
        <v>21.642</v>
      </c>
      <c r="AB268" s="23">
        <v>64.413</v>
      </c>
      <c r="AC268" s="23">
        <v>24.426</v>
      </c>
      <c r="AD268" s="22">
        <f t="shared" ref="AD268:AI268" si="270">AVERAGE(L268,R268,X268)</f>
        <v>139.8853333</v>
      </c>
      <c r="AE268" s="22">
        <f t="shared" si="270"/>
        <v>22.486</v>
      </c>
      <c r="AF268" s="22">
        <f t="shared" si="270"/>
        <v>103.0896667</v>
      </c>
      <c r="AG268" s="22">
        <f t="shared" si="270"/>
        <v>21.51833333</v>
      </c>
      <c r="AH268" s="22">
        <f t="shared" si="270"/>
        <v>64.415</v>
      </c>
      <c r="AI268" s="22">
        <f t="shared" si="270"/>
        <v>24.32866667</v>
      </c>
      <c r="AJ268" s="22"/>
      <c r="AK268" s="22"/>
      <c r="AL268" s="22"/>
      <c r="AM268" s="22"/>
    </row>
    <row r="269">
      <c r="A269" s="13" t="s">
        <v>20</v>
      </c>
      <c r="B269" s="26">
        <v>45743.0</v>
      </c>
      <c r="C269" s="13" t="s">
        <v>24</v>
      </c>
      <c r="D269" s="13">
        <v>10.4</v>
      </c>
      <c r="E269" s="13" t="s">
        <v>27</v>
      </c>
      <c r="F269" s="13">
        <v>3.0</v>
      </c>
      <c r="G269" s="13" t="s">
        <v>26</v>
      </c>
      <c r="H269" s="23">
        <v>20.2604</v>
      </c>
      <c r="I269" s="23">
        <v>382.8677</v>
      </c>
      <c r="J269" s="23">
        <v>9.543</v>
      </c>
      <c r="K269" s="23">
        <v>0.099</v>
      </c>
      <c r="L269" s="23">
        <v>167.324</v>
      </c>
      <c r="M269" s="23">
        <v>27.347</v>
      </c>
      <c r="N269" s="23">
        <v>136.532</v>
      </c>
      <c r="O269" s="23">
        <v>23.3</v>
      </c>
      <c r="P269" s="23">
        <v>107.622</v>
      </c>
      <c r="Q269" s="23">
        <v>23.606</v>
      </c>
      <c r="R269" s="23">
        <v>167.148</v>
      </c>
      <c r="S269" s="23">
        <v>27.799</v>
      </c>
      <c r="T269" s="23">
        <v>136.286</v>
      </c>
      <c r="U269" s="23">
        <v>23.678</v>
      </c>
      <c r="V269" s="23">
        <v>107.456</v>
      </c>
      <c r="W269" s="23">
        <v>23.525</v>
      </c>
      <c r="X269" s="23">
        <v>166.504</v>
      </c>
      <c r="Y269" s="23">
        <v>28.459</v>
      </c>
      <c r="Z269" s="23">
        <v>135.864</v>
      </c>
      <c r="AA269" s="23">
        <v>24.018</v>
      </c>
      <c r="AB269" s="23">
        <v>107.136</v>
      </c>
      <c r="AC269" s="23">
        <v>23.809</v>
      </c>
      <c r="AD269" s="22">
        <f t="shared" ref="AD269:AI269" si="271">AVERAGE(L269,R269,X269)</f>
        <v>166.992</v>
      </c>
      <c r="AE269" s="22">
        <f t="shared" si="271"/>
        <v>27.86833333</v>
      </c>
      <c r="AF269" s="22">
        <f t="shared" si="271"/>
        <v>136.2273333</v>
      </c>
      <c r="AG269" s="22">
        <f t="shared" si="271"/>
        <v>23.66533333</v>
      </c>
      <c r="AH269" s="22">
        <f t="shared" si="271"/>
        <v>107.4046667</v>
      </c>
      <c r="AI269" s="22">
        <f t="shared" si="271"/>
        <v>23.64666667</v>
      </c>
      <c r="AJ269" s="22"/>
      <c r="AK269" s="22"/>
      <c r="AL269" s="22"/>
      <c r="AM269" s="22"/>
    </row>
    <row r="270">
      <c r="A270" s="13" t="s">
        <v>20</v>
      </c>
      <c r="B270" s="26">
        <v>45743.0</v>
      </c>
      <c r="C270" s="13" t="s">
        <v>24</v>
      </c>
      <c r="D270" s="13">
        <v>11.1</v>
      </c>
      <c r="E270" s="13" t="s">
        <v>27</v>
      </c>
      <c r="F270" s="13">
        <v>3.0</v>
      </c>
      <c r="G270" s="13" t="s">
        <v>26</v>
      </c>
      <c r="H270" s="23">
        <v>28.0072</v>
      </c>
      <c r="I270" s="23">
        <v>464.414</v>
      </c>
      <c r="J270" s="23">
        <v>8.776</v>
      </c>
      <c r="K270" s="23">
        <v>0.056</v>
      </c>
      <c r="L270" s="23">
        <v>139.051</v>
      </c>
      <c r="M270" s="23">
        <v>26.917</v>
      </c>
      <c r="N270" s="23">
        <v>112.789</v>
      </c>
      <c r="O270" s="23">
        <v>24.638</v>
      </c>
      <c r="P270" s="23">
        <v>80.093</v>
      </c>
      <c r="Q270" s="23">
        <v>24.85</v>
      </c>
      <c r="R270" s="23">
        <v>139.341</v>
      </c>
      <c r="S270" s="23">
        <v>26.528</v>
      </c>
      <c r="T270" s="23">
        <v>113.04</v>
      </c>
      <c r="U270" s="23">
        <v>24.45</v>
      </c>
      <c r="V270" s="23">
        <v>80.332</v>
      </c>
      <c r="W270" s="23">
        <v>24.899</v>
      </c>
      <c r="X270" s="23">
        <v>139.84</v>
      </c>
      <c r="Y270" s="23">
        <v>26.921</v>
      </c>
      <c r="Z270" s="23">
        <v>112.711</v>
      </c>
      <c r="AA270" s="23">
        <v>24.57</v>
      </c>
      <c r="AB270" s="23">
        <v>80.084</v>
      </c>
      <c r="AC270" s="23">
        <v>24.809</v>
      </c>
      <c r="AD270" s="22">
        <f t="shared" ref="AD270:AI270" si="272">AVERAGE(L270,R270,X270)</f>
        <v>139.4106667</v>
      </c>
      <c r="AE270" s="22">
        <f t="shared" si="272"/>
        <v>26.78866667</v>
      </c>
      <c r="AF270" s="22">
        <f t="shared" si="272"/>
        <v>112.8466667</v>
      </c>
      <c r="AG270" s="22">
        <f t="shared" si="272"/>
        <v>24.55266667</v>
      </c>
      <c r="AH270" s="22">
        <f t="shared" si="272"/>
        <v>80.16966667</v>
      </c>
      <c r="AI270" s="22">
        <f t="shared" si="272"/>
        <v>24.85266667</v>
      </c>
      <c r="AJ270" s="22"/>
      <c r="AK270" s="22"/>
      <c r="AL270" s="22"/>
      <c r="AM270" s="22"/>
    </row>
    <row r="271">
      <c r="A271" s="13" t="s">
        <v>20</v>
      </c>
      <c r="B271" s="26">
        <v>45743.0</v>
      </c>
      <c r="C271" s="13" t="s">
        <v>24</v>
      </c>
      <c r="D271" s="13">
        <v>11.2</v>
      </c>
      <c r="E271" s="13" t="s">
        <v>27</v>
      </c>
      <c r="F271" s="13">
        <v>3.0</v>
      </c>
      <c r="G271" s="13" t="s">
        <v>26</v>
      </c>
      <c r="H271" s="23">
        <v>19.2722</v>
      </c>
      <c r="I271" s="23">
        <v>451.2255</v>
      </c>
      <c r="J271" s="23">
        <v>6.599</v>
      </c>
      <c r="K271" s="23">
        <v>0.036</v>
      </c>
      <c r="L271" s="23">
        <v>147.336</v>
      </c>
      <c r="M271" s="23">
        <v>19.327</v>
      </c>
      <c r="N271" s="23">
        <v>119.62</v>
      </c>
      <c r="O271" s="23">
        <v>17.685</v>
      </c>
      <c r="P271" s="23">
        <v>82.868</v>
      </c>
      <c r="Q271" s="23">
        <v>21.472</v>
      </c>
      <c r="R271" s="23">
        <v>147.785</v>
      </c>
      <c r="S271" s="23">
        <v>17.846</v>
      </c>
      <c r="T271" s="23">
        <v>119.687</v>
      </c>
      <c r="U271" s="23">
        <v>16.285</v>
      </c>
      <c r="V271" s="23">
        <v>82.555</v>
      </c>
      <c r="W271" s="23">
        <v>20.446</v>
      </c>
      <c r="X271" s="23">
        <v>147.703</v>
      </c>
      <c r="Y271" s="23">
        <v>17.469</v>
      </c>
      <c r="Z271" s="23">
        <v>119.599</v>
      </c>
      <c r="AA271" s="23">
        <v>15.659</v>
      </c>
      <c r="AB271" s="23">
        <v>82.419</v>
      </c>
      <c r="AC271" s="23">
        <v>20.016</v>
      </c>
      <c r="AD271" s="22">
        <f t="shared" ref="AD271:AI271" si="273">AVERAGE(L271,R271,X271)</f>
        <v>147.608</v>
      </c>
      <c r="AE271" s="22">
        <f t="shared" si="273"/>
        <v>18.214</v>
      </c>
      <c r="AF271" s="22">
        <f t="shared" si="273"/>
        <v>119.6353333</v>
      </c>
      <c r="AG271" s="22">
        <f t="shared" si="273"/>
        <v>16.543</v>
      </c>
      <c r="AH271" s="22">
        <f t="shared" si="273"/>
        <v>82.614</v>
      </c>
      <c r="AI271" s="22">
        <f t="shared" si="273"/>
        <v>20.64466667</v>
      </c>
      <c r="AJ271" s="22"/>
      <c r="AK271" s="22"/>
      <c r="AL271" s="22"/>
      <c r="AM271" s="22"/>
    </row>
    <row r="272">
      <c r="A272" s="13" t="s">
        <v>20</v>
      </c>
      <c r="B272" s="26">
        <v>45743.0</v>
      </c>
      <c r="C272" s="13" t="s">
        <v>24</v>
      </c>
      <c r="D272" s="13">
        <v>11.3</v>
      </c>
      <c r="E272" s="13" t="s">
        <v>27</v>
      </c>
      <c r="F272" s="13">
        <v>3.0</v>
      </c>
      <c r="G272" s="13" t="s">
        <v>26</v>
      </c>
      <c r="H272" s="23">
        <v>15.2309</v>
      </c>
      <c r="I272" s="23">
        <v>465.6015</v>
      </c>
      <c r="J272" s="23">
        <v>5.95</v>
      </c>
      <c r="K272" s="23">
        <v>0.021</v>
      </c>
      <c r="L272" s="23">
        <v>139.518</v>
      </c>
      <c r="M272" s="23">
        <v>32.914</v>
      </c>
      <c r="N272" s="23">
        <v>11.287</v>
      </c>
      <c r="O272" s="23">
        <v>32.044</v>
      </c>
      <c r="P272" s="23">
        <v>79.615</v>
      </c>
      <c r="Q272" s="23">
        <v>31.057</v>
      </c>
      <c r="R272" s="23">
        <v>139.509</v>
      </c>
      <c r="S272" s="23">
        <v>32.79</v>
      </c>
      <c r="T272" s="23">
        <v>111.031</v>
      </c>
      <c r="U272" s="23">
        <v>31.754</v>
      </c>
      <c r="V272" s="23">
        <v>79.072</v>
      </c>
      <c r="W272" s="23">
        <v>30.442</v>
      </c>
      <c r="X272" s="23">
        <v>139.551</v>
      </c>
      <c r="Y272" s="23">
        <v>32.622</v>
      </c>
      <c r="Z272" s="23">
        <v>110.89</v>
      </c>
      <c r="AA272" s="23">
        <v>31.64</v>
      </c>
      <c r="AB272" s="23">
        <v>79.245</v>
      </c>
      <c r="AC272" s="23">
        <v>30.523</v>
      </c>
      <c r="AD272" s="22">
        <f t="shared" ref="AD272:AI272" si="274">AVERAGE(L272,R272,X272)</f>
        <v>139.526</v>
      </c>
      <c r="AE272" s="22">
        <f t="shared" si="274"/>
        <v>32.77533333</v>
      </c>
      <c r="AF272" s="22">
        <f t="shared" si="274"/>
        <v>77.736</v>
      </c>
      <c r="AG272" s="22">
        <f t="shared" si="274"/>
        <v>31.81266667</v>
      </c>
      <c r="AH272" s="22">
        <f t="shared" si="274"/>
        <v>79.31066667</v>
      </c>
      <c r="AI272" s="22">
        <f t="shared" si="274"/>
        <v>30.674</v>
      </c>
      <c r="AJ272" s="22"/>
      <c r="AK272" s="22"/>
      <c r="AL272" s="22"/>
      <c r="AM272" s="22"/>
    </row>
    <row r="273">
      <c r="A273" s="13" t="s">
        <v>20</v>
      </c>
      <c r="B273" s="26">
        <v>45743.0</v>
      </c>
      <c r="C273" s="13" t="s">
        <v>24</v>
      </c>
      <c r="D273" s="13">
        <v>11.4</v>
      </c>
      <c r="E273" s="13" t="s">
        <v>27</v>
      </c>
      <c r="F273" s="13">
        <v>3.0</v>
      </c>
      <c r="G273" s="13" t="s">
        <v>26</v>
      </c>
      <c r="H273" s="23">
        <v>13.4968</v>
      </c>
      <c r="I273" s="23">
        <v>412.8628</v>
      </c>
      <c r="J273" s="23">
        <v>4.785</v>
      </c>
      <c r="K273" s="23">
        <v>0.028</v>
      </c>
      <c r="L273" s="23">
        <v>146.344</v>
      </c>
      <c r="M273" s="23">
        <v>35.604</v>
      </c>
      <c r="N273" s="23">
        <v>111.345</v>
      </c>
      <c r="O273" s="23">
        <v>30.536</v>
      </c>
      <c r="P273" s="23">
        <v>75.213</v>
      </c>
      <c r="Q273" s="23">
        <v>25.937</v>
      </c>
      <c r="R273" s="23">
        <v>145.708</v>
      </c>
      <c r="S273" s="23">
        <v>36.124</v>
      </c>
      <c r="T273" s="23">
        <v>110.84</v>
      </c>
      <c r="U273" s="23">
        <v>30.638</v>
      </c>
      <c r="V273" s="23">
        <v>74.732</v>
      </c>
      <c r="W273" s="23">
        <v>25.444</v>
      </c>
      <c r="X273" s="23">
        <v>145.722</v>
      </c>
      <c r="Y273" s="23">
        <v>36.331</v>
      </c>
      <c r="Z273" s="23">
        <v>110.96</v>
      </c>
      <c r="AA273" s="23">
        <v>31.077</v>
      </c>
      <c r="AB273" s="23">
        <v>74.823</v>
      </c>
      <c r="AC273" s="23">
        <v>25.899</v>
      </c>
      <c r="AD273" s="22">
        <f t="shared" ref="AD273:AI273" si="275">AVERAGE(L273,R273,X273)</f>
        <v>145.9246667</v>
      </c>
      <c r="AE273" s="22">
        <f t="shared" si="275"/>
        <v>36.01966667</v>
      </c>
      <c r="AF273" s="22">
        <f t="shared" si="275"/>
        <v>111.0483333</v>
      </c>
      <c r="AG273" s="22">
        <f t="shared" si="275"/>
        <v>30.75033333</v>
      </c>
      <c r="AH273" s="22">
        <f t="shared" si="275"/>
        <v>74.92266667</v>
      </c>
      <c r="AI273" s="22">
        <f t="shared" si="275"/>
        <v>25.76</v>
      </c>
      <c r="AJ273" s="22"/>
      <c r="AK273" s="22"/>
      <c r="AL273" s="22"/>
      <c r="AM273" s="22"/>
    </row>
    <row r="274">
      <c r="A274" s="13" t="s">
        <v>20</v>
      </c>
      <c r="B274" s="26">
        <v>45743.0</v>
      </c>
      <c r="C274" s="13" t="s">
        <v>24</v>
      </c>
      <c r="D274" s="13">
        <v>12.1</v>
      </c>
      <c r="E274" s="13" t="s">
        <v>27</v>
      </c>
      <c r="F274" s="13">
        <v>3.0</v>
      </c>
      <c r="G274" s="13" t="s">
        <v>26</v>
      </c>
      <c r="H274" s="23">
        <v>14.4751</v>
      </c>
      <c r="I274" s="23">
        <v>471.655</v>
      </c>
      <c r="J274" s="23">
        <v>5.326</v>
      </c>
      <c r="K274" s="23">
        <v>0.042</v>
      </c>
      <c r="L274" s="23">
        <v>120.963</v>
      </c>
      <c r="M274" s="23">
        <v>33.801</v>
      </c>
      <c r="N274" s="23">
        <v>93.425</v>
      </c>
      <c r="O274" s="23">
        <v>33.281</v>
      </c>
      <c r="P274" s="23">
        <v>65.035</v>
      </c>
      <c r="Q274" s="23">
        <v>30.819</v>
      </c>
      <c r="R274" s="23">
        <v>120.989</v>
      </c>
      <c r="S274" s="23">
        <v>34.029</v>
      </c>
      <c r="T274" s="23">
        <v>93.611</v>
      </c>
      <c r="U274" s="23">
        <v>33.587</v>
      </c>
      <c r="V274" s="23">
        <v>65.303</v>
      </c>
      <c r="W274" s="23">
        <v>31.249</v>
      </c>
      <c r="X274" s="23">
        <v>121.034</v>
      </c>
      <c r="Y274" s="23">
        <v>33.758</v>
      </c>
      <c r="Z274" s="23">
        <v>93.327</v>
      </c>
      <c r="AA274" s="23">
        <v>33.175</v>
      </c>
      <c r="AB274" s="23">
        <v>64.793</v>
      </c>
      <c r="AC274" s="23">
        <v>30.571</v>
      </c>
      <c r="AD274" s="22">
        <f t="shared" ref="AD274:AI274" si="276">AVERAGE(L274,R274,X274)</f>
        <v>120.9953333</v>
      </c>
      <c r="AE274" s="22">
        <f t="shared" si="276"/>
        <v>33.86266667</v>
      </c>
      <c r="AF274" s="22">
        <f t="shared" si="276"/>
        <v>93.45433333</v>
      </c>
      <c r="AG274" s="22">
        <f t="shared" si="276"/>
        <v>33.34766667</v>
      </c>
      <c r="AH274" s="22">
        <f t="shared" si="276"/>
        <v>65.04366667</v>
      </c>
      <c r="AI274" s="22">
        <f t="shared" si="276"/>
        <v>30.87966667</v>
      </c>
      <c r="AJ274" s="22"/>
      <c r="AK274" s="22"/>
      <c r="AL274" s="22"/>
      <c r="AM274" s="22"/>
    </row>
    <row r="275">
      <c r="A275" s="13" t="s">
        <v>20</v>
      </c>
      <c r="B275" s="26">
        <v>45743.0</v>
      </c>
      <c r="C275" s="13" t="s">
        <v>24</v>
      </c>
      <c r="D275" s="13">
        <v>12.2</v>
      </c>
      <c r="E275" s="13" t="s">
        <v>27</v>
      </c>
      <c r="F275" s="13">
        <v>3.0</v>
      </c>
      <c r="G275" s="13" t="s">
        <v>26</v>
      </c>
      <c r="H275" s="23">
        <v>16.9791</v>
      </c>
      <c r="I275" s="23">
        <v>465.0699</v>
      </c>
      <c r="J275" s="23">
        <v>6.795</v>
      </c>
      <c r="K275" s="23">
        <v>0.059</v>
      </c>
      <c r="L275" s="23">
        <v>124.248</v>
      </c>
      <c r="M275" s="23">
        <v>24.751</v>
      </c>
      <c r="N275" s="23">
        <v>93.998</v>
      </c>
      <c r="O275" s="23">
        <v>25.656</v>
      </c>
      <c r="P275" s="23">
        <v>60.971</v>
      </c>
      <c r="Q275" s="23">
        <v>26.823</v>
      </c>
      <c r="R275" s="23">
        <v>124.234</v>
      </c>
      <c r="S275" s="23">
        <v>25.057</v>
      </c>
      <c r="T275" s="23">
        <v>94.124</v>
      </c>
      <c r="U275" s="23">
        <v>26.071</v>
      </c>
      <c r="V275" s="23">
        <v>61.244</v>
      </c>
      <c r="W275" s="23">
        <v>27.397</v>
      </c>
      <c r="X275" s="23">
        <v>124.255</v>
      </c>
      <c r="Y275" s="23">
        <v>24.636</v>
      </c>
      <c r="Z275" s="23">
        <v>93.92</v>
      </c>
      <c r="AA275" s="23">
        <v>25.502</v>
      </c>
      <c r="AB275" s="23">
        <v>60.807</v>
      </c>
      <c r="AC275" s="23">
        <v>26.652</v>
      </c>
      <c r="AD275" s="22">
        <f t="shared" ref="AD275:AI275" si="277">AVERAGE(L275,R275,X275)</f>
        <v>124.2456667</v>
      </c>
      <c r="AE275" s="22">
        <f t="shared" si="277"/>
        <v>24.81466667</v>
      </c>
      <c r="AF275" s="22">
        <f t="shared" si="277"/>
        <v>94.014</v>
      </c>
      <c r="AG275" s="22">
        <f t="shared" si="277"/>
        <v>25.743</v>
      </c>
      <c r="AH275" s="22">
        <f t="shared" si="277"/>
        <v>61.00733333</v>
      </c>
      <c r="AI275" s="22">
        <f t="shared" si="277"/>
        <v>26.95733333</v>
      </c>
      <c r="AJ275" s="22"/>
      <c r="AK275" s="22"/>
      <c r="AL275" s="22"/>
      <c r="AM275" s="22"/>
    </row>
    <row r="276">
      <c r="A276" s="13" t="s">
        <v>20</v>
      </c>
      <c r="B276" s="26">
        <v>45743.0</v>
      </c>
      <c r="C276" s="13" t="s">
        <v>24</v>
      </c>
      <c r="D276" s="13">
        <v>12.3</v>
      </c>
      <c r="E276" s="13" t="s">
        <v>27</v>
      </c>
      <c r="F276" s="13">
        <v>3.0</v>
      </c>
      <c r="G276" s="13" t="s">
        <v>26</v>
      </c>
      <c r="H276" s="23">
        <v>17.5708</v>
      </c>
      <c r="I276" s="23">
        <v>468.0138</v>
      </c>
      <c r="J276" s="23">
        <v>6.724</v>
      </c>
      <c r="K276" s="23">
        <v>0.08</v>
      </c>
      <c r="L276" s="23">
        <v>128.848</v>
      </c>
      <c r="M276" s="23">
        <v>25.883</v>
      </c>
      <c r="N276" s="23">
        <v>102.95</v>
      </c>
      <c r="O276" s="23">
        <v>26.909</v>
      </c>
      <c r="P276" s="23">
        <v>71.326</v>
      </c>
      <c r="Q276" s="23">
        <v>28.316</v>
      </c>
      <c r="R276" s="23">
        <v>128.962</v>
      </c>
      <c r="S276" s="23">
        <v>25.563</v>
      </c>
      <c r="T276" s="23">
        <v>103.035</v>
      </c>
      <c r="U276" s="23">
        <v>26.696</v>
      </c>
      <c r="V276" s="23">
        <v>71.379</v>
      </c>
      <c r="W276" s="23">
        <v>28.184</v>
      </c>
      <c r="X276" s="23">
        <v>128.907</v>
      </c>
      <c r="Y276" s="23">
        <v>25.303</v>
      </c>
      <c r="Z276" s="23">
        <v>102.704</v>
      </c>
      <c r="AA276" s="23">
        <v>26.238</v>
      </c>
      <c r="AB276" s="23">
        <v>70.73</v>
      </c>
      <c r="AC276" s="23">
        <v>27.331</v>
      </c>
      <c r="AD276" s="22">
        <f t="shared" ref="AD276:AI276" si="278">AVERAGE(L276,R276,X276)</f>
        <v>128.9056667</v>
      </c>
      <c r="AE276" s="22">
        <f t="shared" si="278"/>
        <v>25.583</v>
      </c>
      <c r="AF276" s="22">
        <f t="shared" si="278"/>
        <v>102.8963333</v>
      </c>
      <c r="AG276" s="22">
        <f t="shared" si="278"/>
        <v>26.61433333</v>
      </c>
      <c r="AH276" s="22">
        <f t="shared" si="278"/>
        <v>71.145</v>
      </c>
      <c r="AI276" s="22">
        <f t="shared" si="278"/>
        <v>27.94366667</v>
      </c>
      <c r="AJ276" s="22"/>
      <c r="AK276" s="22"/>
      <c r="AL276" s="22"/>
      <c r="AM276" s="22"/>
    </row>
    <row r="277">
      <c r="A277" s="13" t="s">
        <v>20</v>
      </c>
      <c r="B277" s="26">
        <v>45743.0</v>
      </c>
      <c r="C277" s="13" t="s">
        <v>24</v>
      </c>
      <c r="D277" s="13">
        <v>12.4</v>
      </c>
      <c r="E277" s="13" t="s">
        <v>27</v>
      </c>
      <c r="F277" s="13">
        <v>3.0</v>
      </c>
      <c r="G277" s="13" t="s">
        <v>26</v>
      </c>
      <c r="H277" s="23">
        <v>18.5502</v>
      </c>
      <c r="I277" s="23">
        <v>399.6018</v>
      </c>
      <c r="J277" s="23">
        <v>7.057</v>
      </c>
      <c r="K277" s="23">
        <v>0.03</v>
      </c>
      <c r="L277" s="23">
        <v>129.18</v>
      </c>
      <c r="M277" s="23">
        <v>23.996</v>
      </c>
      <c r="N277" s="23">
        <v>95.837</v>
      </c>
      <c r="O277" s="23">
        <v>24.365</v>
      </c>
      <c r="P277" s="23">
        <v>66.228</v>
      </c>
      <c r="Q277" s="23">
        <v>24.461</v>
      </c>
      <c r="R277" s="23">
        <v>128.821</v>
      </c>
      <c r="S277" s="23">
        <v>23.656</v>
      </c>
      <c r="T277" s="23">
        <v>95.243</v>
      </c>
      <c r="U277" s="23">
        <v>23.428</v>
      </c>
      <c r="V277" s="23">
        <v>65.553</v>
      </c>
      <c r="W277" s="23">
        <v>23.245</v>
      </c>
      <c r="X277" s="23">
        <v>129.066</v>
      </c>
      <c r="Y277" s="23">
        <v>23.699</v>
      </c>
      <c r="Z277" s="23">
        <v>95.671</v>
      </c>
      <c r="AA277" s="23">
        <v>23.917</v>
      </c>
      <c r="AB277" s="23">
        <v>66.073</v>
      </c>
      <c r="AC277" s="23">
        <v>24.073</v>
      </c>
      <c r="AD277" s="22">
        <f t="shared" ref="AD277:AI277" si="279">AVERAGE(L277,R277,X277)</f>
        <v>129.0223333</v>
      </c>
      <c r="AE277" s="22">
        <f t="shared" si="279"/>
        <v>23.78366667</v>
      </c>
      <c r="AF277" s="22">
        <f t="shared" si="279"/>
        <v>95.58366667</v>
      </c>
      <c r="AG277" s="22">
        <f t="shared" si="279"/>
        <v>23.90333333</v>
      </c>
      <c r="AH277" s="22">
        <f t="shared" si="279"/>
        <v>65.95133333</v>
      </c>
      <c r="AI277" s="22">
        <f t="shared" si="279"/>
        <v>23.92633333</v>
      </c>
      <c r="AJ277" s="22"/>
      <c r="AK277" s="22"/>
      <c r="AL277" s="22"/>
      <c r="AM277" s="22"/>
    </row>
    <row r="278">
      <c r="A278" s="13" t="s">
        <v>20</v>
      </c>
      <c r="B278" s="26">
        <v>45743.0</v>
      </c>
      <c r="C278" s="13" t="s">
        <v>25</v>
      </c>
      <c r="D278" s="13">
        <v>10.1</v>
      </c>
      <c r="E278" s="13" t="s">
        <v>27</v>
      </c>
      <c r="F278" s="13">
        <v>3.0</v>
      </c>
      <c r="G278" s="13" t="s">
        <v>26</v>
      </c>
      <c r="H278" s="23">
        <v>10.9782</v>
      </c>
      <c r="I278" s="23">
        <v>456.0016</v>
      </c>
      <c r="J278" s="23">
        <v>3.863</v>
      </c>
      <c r="K278" s="23">
        <v>0.046</v>
      </c>
      <c r="L278" s="23">
        <v>114.969</v>
      </c>
      <c r="M278" s="23">
        <v>32.811</v>
      </c>
      <c r="N278" s="23">
        <v>97.838</v>
      </c>
      <c r="O278" s="23">
        <v>32.047</v>
      </c>
      <c r="P278" s="23">
        <v>67.017</v>
      </c>
      <c r="Q278" s="23">
        <v>28.789</v>
      </c>
      <c r="R278" s="23">
        <v>114.889</v>
      </c>
      <c r="S278" s="23">
        <v>32.669</v>
      </c>
      <c r="T278" s="23">
        <v>97.678</v>
      </c>
      <c r="U278" s="23">
        <v>31.836</v>
      </c>
      <c r="V278" s="23">
        <v>66.668</v>
      </c>
      <c r="W278" s="23">
        <v>28.276</v>
      </c>
      <c r="X278" s="23">
        <v>114.458</v>
      </c>
      <c r="Y278" s="23">
        <v>33.17</v>
      </c>
      <c r="Z278" s="23">
        <v>97.542</v>
      </c>
      <c r="AA278" s="23">
        <v>32.307</v>
      </c>
      <c r="AB278" s="23">
        <v>67.025</v>
      </c>
      <c r="AC278" s="23">
        <v>28.948</v>
      </c>
      <c r="AD278" s="22">
        <f t="shared" ref="AD278:AI278" si="280">AVERAGE(L278,R278,X278)</f>
        <v>114.772</v>
      </c>
      <c r="AE278" s="22">
        <f t="shared" si="280"/>
        <v>32.88333333</v>
      </c>
      <c r="AF278" s="22">
        <f t="shared" si="280"/>
        <v>97.686</v>
      </c>
      <c r="AG278" s="22">
        <f t="shared" si="280"/>
        <v>32.06333333</v>
      </c>
      <c r="AH278" s="22">
        <f t="shared" si="280"/>
        <v>66.90333333</v>
      </c>
      <c r="AI278" s="22">
        <f t="shared" si="280"/>
        <v>28.671</v>
      </c>
      <c r="AJ278" s="22"/>
      <c r="AK278" s="22"/>
      <c r="AL278" s="22"/>
      <c r="AM278" s="22"/>
    </row>
    <row r="279">
      <c r="A279" s="13" t="s">
        <v>20</v>
      </c>
      <c r="B279" s="26">
        <v>45743.0</v>
      </c>
      <c r="C279" s="13" t="s">
        <v>25</v>
      </c>
      <c r="D279" s="13">
        <v>10.2</v>
      </c>
      <c r="E279" s="13" t="s">
        <v>27</v>
      </c>
      <c r="F279" s="13">
        <v>3.0</v>
      </c>
      <c r="G279" s="13" t="s">
        <v>26</v>
      </c>
      <c r="H279" s="23">
        <v>11.8117</v>
      </c>
      <c r="I279" s="23">
        <v>466.8062</v>
      </c>
      <c r="J279" s="23">
        <v>5.237</v>
      </c>
      <c r="K279" s="23">
        <v>0.022</v>
      </c>
      <c r="L279" s="23">
        <v>120.385</v>
      </c>
      <c r="M279" s="23">
        <v>32.092</v>
      </c>
      <c r="N279" s="23">
        <v>102.905</v>
      </c>
      <c r="O279" s="23">
        <v>32.051</v>
      </c>
      <c r="P279" s="23">
        <v>68.2</v>
      </c>
      <c r="Q279" s="23">
        <v>30.221</v>
      </c>
      <c r="R279" s="23">
        <v>120.555</v>
      </c>
      <c r="S279" s="23">
        <v>31.719</v>
      </c>
      <c r="T279" s="23">
        <v>102.825</v>
      </c>
      <c r="U279" s="23">
        <v>31.717</v>
      </c>
      <c r="V279" s="23">
        <v>67.687</v>
      </c>
      <c r="W279" s="23">
        <v>29.767</v>
      </c>
      <c r="X279" s="23">
        <v>120.607</v>
      </c>
      <c r="Y279" s="23">
        <v>31.706</v>
      </c>
      <c r="Z279" s="23">
        <v>102.834</v>
      </c>
      <c r="AA279" s="23">
        <v>31.662</v>
      </c>
      <c r="AB279" s="23">
        <v>67.682</v>
      </c>
      <c r="AC279" s="23">
        <v>29.572</v>
      </c>
      <c r="AD279" s="22">
        <f t="shared" ref="AD279:AI279" si="281">AVERAGE(L279,R279,X279)</f>
        <v>120.5156667</v>
      </c>
      <c r="AE279" s="22">
        <f t="shared" si="281"/>
        <v>31.839</v>
      </c>
      <c r="AF279" s="22">
        <f t="shared" si="281"/>
        <v>102.8546667</v>
      </c>
      <c r="AG279" s="22">
        <f t="shared" si="281"/>
        <v>31.81</v>
      </c>
      <c r="AH279" s="22">
        <f t="shared" si="281"/>
        <v>67.85633333</v>
      </c>
      <c r="AI279" s="22">
        <f t="shared" si="281"/>
        <v>29.85333333</v>
      </c>
      <c r="AJ279" s="22"/>
      <c r="AK279" s="22"/>
      <c r="AL279" s="22"/>
      <c r="AM279" s="22"/>
    </row>
    <row r="280">
      <c r="A280" s="13" t="s">
        <v>20</v>
      </c>
      <c r="B280" s="26">
        <v>45743.0</v>
      </c>
      <c r="C280" s="13" t="s">
        <v>25</v>
      </c>
      <c r="D280" s="13">
        <v>10.3</v>
      </c>
      <c r="E280" s="13" t="s">
        <v>27</v>
      </c>
      <c r="F280" s="13">
        <v>3.0</v>
      </c>
      <c r="G280" s="13" t="s">
        <v>26</v>
      </c>
      <c r="H280" s="23">
        <v>10.8732</v>
      </c>
      <c r="I280" s="23">
        <v>463.2389</v>
      </c>
      <c r="J280" s="23">
        <v>4.266</v>
      </c>
      <c r="K280" s="23">
        <v>0.014</v>
      </c>
      <c r="L280" s="23">
        <v>116.935</v>
      </c>
      <c r="M280" s="23">
        <v>29.194</v>
      </c>
      <c r="N280" s="23">
        <v>98.717</v>
      </c>
      <c r="O280" s="23">
        <v>28.858</v>
      </c>
      <c r="P280" s="23">
        <v>63.711</v>
      </c>
      <c r="Q280" s="23">
        <v>26.534</v>
      </c>
      <c r="R280" s="23">
        <v>116.853</v>
      </c>
      <c r="S280" s="23">
        <v>29.173</v>
      </c>
      <c r="T280" s="23">
        <v>98.589</v>
      </c>
      <c r="U280" s="23">
        <v>28.764</v>
      </c>
      <c r="V280" s="23">
        <v>63.575</v>
      </c>
      <c r="W280" s="23">
        <v>26.22</v>
      </c>
      <c r="X280" s="23">
        <v>117.029</v>
      </c>
      <c r="Y280" s="23">
        <v>29.168</v>
      </c>
      <c r="Z280" s="23">
        <v>98.757</v>
      </c>
      <c r="AA280" s="23">
        <v>28.818</v>
      </c>
      <c r="AB280" s="23">
        <v>63.655</v>
      </c>
      <c r="AC280" s="23">
        <v>26.43</v>
      </c>
      <c r="AD280" s="22">
        <f t="shared" ref="AD280:AI280" si="282">AVERAGE(L280,R280,X280)</f>
        <v>116.939</v>
      </c>
      <c r="AE280" s="22">
        <f t="shared" si="282"/>
        <v>29.17833333</v>
      </c>
      <c r="AF280" s="22">
        <f t="shared" si="282"/>
        <v>98.68766667</v>
      </c>
      <c r="AG280" s="22">
        <f t="shared" si="282"/>
        <v>28.81333333</v>
      </c>
      <c r="AH280" s="22">
        <f t="shared" si="282"/>
        <v>63.647</v>
      </c>
      <c r="AI280" s="22">
        <f t="shared" si="282"/>
        <v>26.39466667</v>
      </c>
      <c r="AJ280" s="22"/>
      <c r="AK280" s="22"/>
      <c r="AL280" s="22"/>
      <c r="AM280" s="22"/>
    </row>
    <row r="281">
      <c r="A281" s="13" t="s">
        <v>20</v>
      </c>
      <c r="B281" s="26">
        <v>45743.0</v>
      </c>
      <c r="C281" s="13" t="s">
        <v>25</v>
      </c>
      <c r="D281" s="13">
        <v>10.4</v>
      </c>
      <c r="E281" s="13" t="s">
        <v>27</v>
      </c>
      <c r="F281" s="13">
        <v>3.0</v>
      </c>
      <c r="G281" s="13" t="s">
        <v>26</v>
      </c>
      <c r="H281" s="23">
        <v>10.3092</v>
      </c>
      <c r="I281" s="23">
        <v>456.0253</v>
      </c>
      <c r="J281" s="23">
        <v>3.74</v>
      </c>
      <c r="K281" s="23">
        <v>0.044</v>
      </c>
      <c r="L281" s="23">
        <v>140.832</v>
      </c>
      <c r="M281" s="23">
        <v>29.776</v>
      </c>
      <c r="N281" s="23">
        <v>124.918</v>
      </c>
      <c r="O281" s="23">
        <v>27.86</v>
      </c>
      <c r="P281" s="23">
        <v>95.166</v>
      </c>
      <c r="Q281" s="23">
        <v>27.82</v>
      </c>
      <c r="R281" s="23">
        <v>140.903</v>
      </c>
      <c r="S281" s="23">
        <v>29.686</v>
      </c>
      <c r="T281" s="23">
        <v>125.038</v>
      </c>
      <c r="U281" s="23">
        <v>27.787</v>
      </c>
      <c r="V281" s="23">
        <v>95.311</v>
      </c>
      <c r="W281" s="23">
        <v>27.752</v>
      </c>
      <c r="X281" s="23">
        <v>141.822</v>
      </c>
      <c r="Y281" s="23">
        <v>28.76</v>
      </c>
      <c r="Z281" s="23">
        <v>125.789</v>
      </c>
      <c r="AA281" s="23">
        <v>27.044</v>
      </c>
      <c r="AB281" s="23">
        <v>95.886</v>
      </c>
      <c r="AC281" s="23">
        <v>27.48</v>
      </c>
      <c r="AD281" s="22">
        <f t="shared" ref="AD281:AI281" si="283">AVERAGE(L281,R281,X281)</f>
        <v>141.1856667</v>
      </c>
      <c r="AE281" s="22">
        <f t="shared" si="283"/>
        <v>29.40733333</v>
      </c>
      <c r="AF281" s="22">
        <f t="shared" si="283"/>
        <v>125.2483333</v>
      </c>
      <c r="AG281" s="22">
        <f t="shared" si="283"/>
        <v>27.56366667</v>
      </c>
      <c r="AH281" s="22">
        <f t="shared" si="283"/>
        <v>95.45433333</v>
      </c>
      <c r="AI281" s="22">
        <f t="shared" si="283"/>
        <v>27.684</v>
      </c>
      <c r="AJ281" s="22"/>
      <c r="AK281" s="22"/>
      <c r="AL281" s="22"/>
      <c r="AM281" s="22"/>
    </row>
    <row r="282">
      <c r="A282" s="13" t="s">
        <v>20</v>
      </c>
      <c r="B282" s="26">
        <v>45743.0</v>
      </c>
      <c r="C282" s="13" t="s">
        <v>25</v>
      </c>
      <c r="D282" s="13">
        <v>11.1</v>
      </c>
      <c r="E282" s="13" t="s">
        <v>27</v>
      </c>
      <c r="F282" s="13">
        <v>3.0</v>
      </c>
      <c r="G282" s="13" t="s">
        <v>26</v>
      </c>
      <c r="H282" s="23">
        <v>13.0021</v>
      </c>
      <c r="I282" s="23">
        <v>471.6382</v>
      </c>
      <c r="J282" s="23">
        <v>4.402</v>
      </c>
      <c r="K282" s="23">
        <v>0.024</v>
      </c>
      <c r="L282" s="23">
        <v>110.804</v>
      </c>
      <c r="M282" s="23">
        <v>34.385</v>
      </c>
      <c r="N282" s="23">
        <v>94.197</v>
      </c>
      <c r="O282" s="23">
        <v>35.766</v>
      </c>
      <c r="P282" s="23">
        <v>61.882</v>
      </c>
      <c r="Q282" s="23">
        <v>32.909</v>
      </c>
      <c r="R282" s="23">
        <v>111.079</v>
      </c>
      <c r="S282" s="23">
        <v>34.668</v>
      </c>
      <c r="T282" s="23">
        <v>94.768</v>
      </c>
      <c r="U282" s="23">
        <v>36.194</v>
      </c>
      <c r="V282" s="23">
        <v>62.807</v>
      </c>
      <c r="W282" s="23">
        <v>33.644</v>
      </c>
      <c r="X282" s="23">
        <v>111.491</v>
      </c>
      <c r="Y282" s="23">
        <v>34.479</v>
      </c>
      <c r="Z282" s="23">
        <v>95.199</v>
      </c>
      <c r="AA282" s="23">
        <v>36.165</v>
      </c>
      <c r="AB282" s="23">
        <v>63.295</v>
      </c>
      <c r="AC282" s="23">
        <v>33.93</v>
      </c>
      <c r="AD282" s="22">
        <f t="shared" ref="AD282:AI282" si="284">AVERAGE(L282,R282,X282)</f>
        <v>111.1246667</v>
      </c>
      <c r="AE282" s="22">
        <f t="shared" si="284"/>
        <v>34.51066667</v>
      </c>
      <c r="AF282" s="22">
        <f t="shared" si="284"/>
        <v>94.72133333</v>
      </c>
      <c r="AG282" s="22">
        <f t="shared" si="284"/>
        <v>36.04166667</v>
      </c>
      <c r="AH282" s="22">
        <f t="shared" si="284"/>
        <v>62.66133333</v>
      </c>
      <c r="AI282" s="22">
        <f t="shared" si="284"/>
        <v>33.49433333</v>
      </c>
      <c r="AJ282" s="22"/>
      <c r="AK282" s="22"/>
      <c r="AL282" s="22"/>
      <c r="AM282" s="22"/>
    </row>
    <row r="283">
      <c r="A283" s="13" t="s">
        <v>20</v>
      </c>
      <c r="B283" s="26">
        <v>45743.0</v>
      </c>
      <c r="C283" s="13" t="s">
        <v>25</v>
      </c>
      <c r="D283" s="13">
        <v>11.2</v>
      </c>
      <c r="E283" s="13" t="s">
        <v>27</v>
      </c>
      <c r="F283" s="13">
        <v>3.0</v>
      </c>
      <c r="G283" s="13" t="s">
        <v>26</v>
      </c>
      <c r="H283" s="23">
        <v>10.8737</v>
      </c>
      <c r="I283" s="23">
        <v>488.4133</v>
      </c>
      <c r="J283" s="23">
        <v>4.017</v>
      </c>
      <c r="K283" s="23">
        <v>0.047</v>
      </c>
      <c r="L283" s="23">
        <v>118.739</v>
      </c>
      <c r="M283" s="23">
        <v>35.214</v>
      </c>
      <c r="N283" s="23">
        <v>101.453</v>
      </c>
      <c r="O283" s="23">
        <v>34.059</v>
      </c>
      <c r="P283" s="23">
        <v>68.314</v>
      </c>
      <c r="Q283" s="23">
        <v>30.94</v>
      </c>
      <c r="R283" s="23">
        <v>118.848</v>
      </c>
      <c r="S283" s="23">
        <v>35.523</v>
      </c>
      <c r="T283" s="23">
        <v>101.594</v>
      </c>
      <c r="U283" s="23">
        <v>34.594</v>
      </c>
      <c r="V283" s="23">
        <v>68.761</v>
      </c>
      <c r="W283" s="23">
        <v>31.295</v>
      </c>
      <c r="X283" s="23">
        <v>118.766</v>
      </c>
      <c r="Y283" s="23">
        <v>35.288</v>
      </c>
      <c r="Z283" s="23">
        <v>191.389</v>
      </c>
      <c r="AA283" s="23">
        <v>34.076</v>
      </c>
      <c r="AB283" s="23">
        <v>68.227</v>
      </c>
      <c r="AC283" s="23">
        <v>30.683</v>
      </c>
      <c r="AD283" s="22">
        <f t="shared" ref="AD283:AI283" si="285">AVERAGE(L283,R283,X283)</f>
        <v>118.7843333</v>
      </c>
      <c r="AE283" s="22">
        <f t="shared" si="285"/>
        <v>35.34166667</v>
      </c>
      <c r="AF283" s="22">
        <f t="shared" si="285"/>
        <v>131.4786667</v>
      </c>
      <c r="AG283" s="22">
        <f t="shared" si="285"/>
        <v>34.243</v>
      </c>
      <c r="AH283" s="22">
        <f t="shared" si="285"/>
        <v>68.434</v>
      </c>
      <c r="AI283" s="22">
        <f t="shared" si="285"/>
        <v>30.97266667</v>
      </c>
      <c r="AJ283" s="22"/>
      <c r="AK283" s="22"/>
      <c r="AL283" s="22"/>
      <c r="AM283" s="22"/>
    </row>
    <row r="284">
      <c r="A284" s="13" t="s">
        <v>20</v>
      </c>
      <c r="B284" s="26">
        <v>45743.0</v>
      </c>
      <c r="C284" s="13" t="s">
        <v>25</v>
      </c>
      <c r="D284" s="13">
        <v>11.3</v>
      </c>
      <c r="E284" s="13" t="s">
        <v>27</v>
      </c>
      <c r="F284" s="13">
        <v>3.0</v>
      </c>
      <c r="G284" s="13" t="s">
        <v>26</v>
      </c>
      <c r="H284" s="23">
        <v>11.7175</v>
      </c>
      <c r="I284" s="23">
        <v>444.0</v>
      </c>
      <c r="J284" s="23">
        <v>4.408</v>
      </c>
      <c r="K284" s="23">
        <v>0.071</v>
      </c>
      <c r="L284" s="23">
        <v>110.906</v>
      </c>
      <c r="M284" s="23">
        <v>31.909</v>
      </c>
      <c r="N284" s="23">
        <v>94.896</v>
      </c>
      <c r="O284" s="23">
        <v>34.204</v>
      </c>
      <c r="P284" s="23">
        <v>58.577</v>
      </c>
      <c r="Q284" s="23">
        <v>34.16</v>
      </c>
      <c r="R284" s="23">
        <v>110.635</v>
      </c>
      <c r="S284" s="23">
        <v>32.213</v>
      </c>
      <c r="T284" s="23">
        <v>94.761</v>
      </c>
      <c r="U284" s="23">
        <v>34.442</v>
      </c>
      <c r="V284" s="23">
        <v>58.569</v>
      </c>
      <c r="W284" s="23">
        <v>34.281</v>
      </c>
      <c r="X284" s="23">
        <v>110.803</v>
      </c>
      <c r="Y284" s="23">
        <v>32.077</v>
      </c>
      <c r="Z284" s="23">
        <v>94.87</v>
      </c>
      <c r="AA284" s="23">
        <v>34.36</v>
      </c>
      <c r="AB284" s="23">
        <v>58.701</v>
      </c>
      <c r="AC284" s="23">
        <v>34.373</v>
      </c>
      <c r="AD284" s="22">
        <f t="shared" ref="AD284:AI284" si="286">AVERAGE(L284,R284,X284)</f>
        <v>110.7813333</v>
      </c>
      <c r="AE284" s="22">
        <f t="shared" si="286"/>
        <v>32.06633333</v>
      </c>
      <c r="AF284" s="22">
        <f t="shared" si="286"/>
        <v>94.84233333</v>
      </c>
      <c r="AG284" s="22">
        <f t="shared" si="286"/>
        <v>34.33533333</v>
      </c>
      <c r="AH284" s="22">
        <f t="shared" si="286"/>
        <v>58.61566667</v>
      </c>
      <c r="AI284" s="22">
        <f t="shared" si="286"/>
        <v>34.27133333</v>
      </c>
      <c r="AJ284" s="22"/>
      <c r="AK284" s="22"/>
      <c r="AL284" s="22"/>
      <c r="AM284" s="22"/>
    </row>
    <row r="285">
      <c r="A285" s="13" t="s">
        <v>20</v>
      </c>
      <c r="B285" s="26">
        <v>45743.0</v>
      </c>
      <c r="C285" s="13" t="s">
        <v>25</v>
      </c>
      <c r="D285" s="13">
        <v>11.4</v>
      </c>
      <c r="E285" s="13" t="s">
        <v>27</v>
      </c>
      <c r="F285" s="13">
        <v>3.0</v>
      </c>
      <c r="G285" s="13" t="s">
        <v>26</v>
      </c>
      <c r="H285" s="23">
        <v>12.0489</v>
      </c>
      <c r="I285" s="23">
        <v>454.8776</v>
      </c>
      <c r="J285" s="23">
        <v>4.229</v>
      </c>
      <c r="K285" s="23">
        <v>0.044</v>
      </c>
      <c r="L285" s="23">
        <v>133.47</v>
      </c>
      <c r="M285" s="23">
        <v>31.09</v>
      </c>
      <c r="N285" s="23">
        <v>114.192</v>
      </c>
      <c r="O285" s="23">
        <v>30.372</v>
      </c>
      <c r="P285" s="23">
        <v>76.67</v>
      </c>
      <c r="Q285" s="23">
        <v>28.961</v>
      </c>
      <c r="R285" s="23">
        <v>134.176</v>
      </c>
      <c r="S285" s="23">
        <v>30.418</v>
      </c>
      <c r="T285" s="23">
        <v>114.655</v>
      </c>
      <c r="U285" s="23">
        <v>30.016</v>
      </c>
      <c r="V285" s="23">
        <v>76.699</v>
      </c>
      <c r="W285" s="23">
        <v>29.092</v>
      </c>
      <c r="X285" s="23">
        <v>134.037</v>
      </c>
      <c r="Y285" s="23">
        <v>30.733</v>
      </c>
      <c r="Z285" s="23">
        <v>114.645</v>
      </c>
      <c r="AA285" s="23">
        <v>30.302</v>
      </c>
      <c r="AB285" s="23">
        <v>76.894</v>
      </c>
      <c r="AC285" s="23">
        <v>29.426</v>
      </c>
      <c r="AD285" s="22">
        <f t="shared" ref="AD285:AI285" si="287">AVERAGE(L285,R285,X285)</f>
        <v>133.8943333</v>
      </c>
      <c r="AE285" s="22">
        <f t="shared" si="287"/>
        <v>30.747</v>
      </c>
      <c r="AF285" s="22">
        <f t="shared" si="287"/>
        <v>114.4973333</v>
      </c>
      <c r="AG285" s="22">
        <f t="shared" si="287"/>
        <v>30.23</v>
      </c>
      <c r="AH285" s="22">
        <f t="shared" si="287"/>
        <v>76.75433333</v>
      </c>
      <c r="AI285" s="22">
        <f t="shared" si="287"/>
        <v>29.15966667</v>
      </c>
      <c r="AJ285" s="22"/>
      <c r="AK285" s="22"/>
      <c r="AL285" s="22"/>
      <c r="AM285" s="22"/>
    </row>
    <row r="286">
      <c r="A286" s="13" t="s">
        <v>20</v>
      </c>
      <c r="B286" s="26">
        <v>45743.0</v>
      </c>
      <c r="C286" s="13" t="s">
        <v>25</v>
      </c>
      <c r="D286" s="13">
        <v>12.1</v>
      </c>
      <c r="E286" s="13" t="s">
        <v>27</v>
      </c>
      <c r="F286" s="13">
        <v>3.0</v>
      </c>
      <c r="G286" s="13" t="s">
        <v>26</v>
      </c>
      <c r="H286" s="23">
        <v>13.8874</v>
      </c>
      <c r="I286" s="23">
        <v>498.0231</v>
      </c>
      <c r="J286" s="23">
        <v>6.532</v>
      </c>
      <c r="K286" s="23">
        <v>0.04</v>
      </c>
      <c r="L286" s="23">
        <v>110.441</v>
      </c>
      <c r="M286" s="23">
        <v>32.007</v>
      </c>
      <c r="N286" s="23">
        <v>94.636</v>
      </c>
      <c r="O286" s="23">
        <v>32.632</v>
      </c>
      <c r="P286" s="23">
        <v>58.061</v>
      </c>
      <c r="Q286" s="23">
        <v>31.484</v>
      </c>
      <c r="R286" s="23">
        <v>110.3</v>
      </c>
      <c r="S286" s="23">
        <v>31.981</v>
      </c>
      <c r="T286" s="23">
        <v>94.468</v>
      </c>
      <c r="U286" s="23">
        <v>32.538</v>
      </c>
      <c r="V286" s="23">
        <v>57.832</v>
      </c>
      <c r="W286" s="23">
        <v>31.203</v>
      </c>
      <c r="X286" s="23">
        <v>110.269</v>
      </c>
      <c r="Y286" s="23">
        <v>32.015</v>
      </c>
      <c r="Z286" s="23">
        <v>94.458</v>
      </c>
      <c r="AA286" s="23">
        <v>32.566</v>
      </c>
      <c r="AB286" s="23">
        <v>57.864</v>
      </c>
      <c r="AC286" s="23">
        <v>31.268</v>
      </c>
      <c r="AD286" s="22">
        <f t="shared" ref="AD286:AI286" si="288">AVERAGE(L286,R286,X286)</f>
        <v>110.3366667</v>
      </c>
      <c r="AE286" s="22">
        <f t="shared" si="288"/>
        <v>32.001</v>
      </c>
      <c r="AF286" s="22">
        <f t="shared" si="288"/>
        <v>94.52066667</v>
      </c>
      <c r="AG286" s="22">
        <f t="shared" si="288"/>
        <v>32.57866667</v>
      </c>
      <c r="AH286" s="22">
        <f t="shared" si="288"/>
        <v>57.919</v>
      </c>
      <c r="AI286" s="22">
        <f t="shared" si="288"/>
        <v>31.31833333</v>
      </c>
      <c r="AJ286" s="22"/>
      <c r="AK286" s="22"/>
      <c r="AL286" s="22"/>
      <c r="AM286" s="22"/>
    </row>
    <row r="287">
      <c r="A287" s="13" t="s">
        <v>20</v>
      </c>
      <c r="B287" s="26">
        <v>45743.0</v>
      </c>
      <c r="C287" s="13" t="s">
        <v>25</v>
      </c>
      <c r="D287" s="13">
        <v>12.2</v>
      </c>
      <c r="E287" s="13" t="s">
        <v>27</v>
      </c>
      <c r="F287" s="13">
        <v>3.0</v>
      </c>
      <c r="G287" s="13" t="s">
        <v>26</v>
      </c>
      <c r="H287" s="23">
        <v>12.4314</v>
      </c>
      <c r="I287" s="13">
        <v>464.4016</v>
      </c>
      <c r="J287" s="23">
        <v>5.75</v>
      </c>
      <c r="K287" s="23">
        <v>0.011</v>
      </c>
      <c r="L287" s="23">
        <v>114.261</v>
      </c>
      <c r="M287" s="23">
        <v>31.993</v>
      </c>
      <c r="N287" s="23">
        <v>97.64</v>
      </c>
      <c r="O287" s="23">
        <v>32.756</v>
      </c>
      <c r="P287" s="23">
        <v>64.245</v>
      </c>
      <c r="Q287" s="23">
        <v>30.615</v>
      </c>
      <c r="R287" s="23">
        <v>114.321</v>
      </c>
      <c r="S287" s="23">
        <v>31.943</v>
      </c>
      <c r="T287" s="23">
        <v>97.701</v>
      </c>
      <c r="U287" s="23">
        <v>32.744</v>
      </c>
      <c r="V287" s="23">
        <v>64.276</v>
      </c>
      <c r="W287" s="23">
        <v>30.661</v>
      </c>
      <c r="X287" s="23">
        <v>114.396</v>
      </c>
      <c r="Y287" s="23">
        <v>32.127</v>
      </c>
      <c r="Z287" s="23">
        <v>97.827</v>
      </c>
      <c r="AA287" s="23">
        <v>32.976</v>
      </c>
      <c r="AB287" s="23">
        <v>64.504</v>
      </c>
      <c r="AC287" s="23">
        <v>31.046</v>
      </c>
      <c r="AD287" s="22">
        <f t="shared" ref="AD287:AI287" si="289">AVERAGE(L287,R287,X287)</f>
        <v>114.326</v>
      </c>
      <c r="AE287" s="22">
        <f t="shared" si="289"/>
        <v>32.021</v>
      </c>
      <c r="AF287" s="22">
        <f t="shared" si="289"/>
        <v>97.72266667</v>
      </c>
      <c r="AG287" s="22">
        <f t="shared" si="289"/>
        <v>32.82533333</v>
      </c>
      <c r="AH287" s="22">
        <f t="shared" si="289"/>
        <v>64.34166667</v>
      </c>
      <c r="AI287" s="22">
        <f t="shared" si="289"/>
        <v>30.774</v>
      </c>
      <c r="AJ287" s="22"/>
      <c r="AK287" s="22"/>
      <c r="AL287" s="22"/>
      <c r="AM287" s="22"/>
    </row>
    <row r="288">
      <c r="A288" s="13" t="s">
        <v>20</v>
      </c>
      <c r="B288" s="26">
        <v>45743.0</v>
      </c>
      <c r="C288" s="13" t="s">
        <v>25</v>
      </c>
      <c r="D288" s="13">
        <v>12.3</v>
      </c>
      <c r="E288" s="13" t="s">
        <v>27</v>
      </c>
      <c r="F288" s="13">
        <v>3.0</v>
      </c>
      <c r="G288" s="13" t="s">
        <v>26</v>
      </c>
      <c r="H288" s="23">
        <v>13.1152</v>
      </c>
      <c r="I288" s="23">
        <v>465.7252</v>
      </c>
      <c r="J288" s="23">
        <v>5.608</v>
      </c>
      <c r="K288" s="23">
        <v>0.094</v>
      </c>
      <c r="L288" s="23">
        <v>110.632</v>
      </c>
      <c r="M288" s="23">
        <v>29.811</v>
      </c>
      <c r="N288" s="23">
        <v>92.392</v>
      </c>
      <c r="O288" s="23">
        <v>29.607</v>
      </c>
      <c r="P288" s="23">
        <v>55.261</v>
      </c>
      <c r="Q288" s="23">
        <v>27.05</v>
      </c>
      <c r="R288" s="23">
        <v>110.8</v>
      </c>
      <c r="S288" s="23">
        <v>29.983</v>
      </c>
      <c r="T288" s="23">
        <v>92.665</v>
      </c>
      <c r="U288" s="23">
        <v>29.778</v>
      </c>
      <c r="V288" s="23">
        <v>55.551</v>
      </c>
      <c r="W288" s="23">
        <v>27.365</v>
      </c>
      <c r="X288" s="23">
        <v>110.57</v>
      </c>
      <c r="Y288" s="23">
        <v>30.055</v>
      </c>
      <c r="Z288" s="23">
        <v>92.37</v>
      </c>
      <c r="AA288" s="23">
        <v>29.796</v>
      </c>
      <c r="AB288" s="23">
        <v>55.257</v>
      </c>
      <c r="AC288" s="23">
        <v>27.174</v>
      </c>
      <c r="AD288" s="22">
        <f t="shared" ref="AD288:AI288" si="290">AVERAGE(L288,R288,X288)</f>
        <v>110.6673333</v>
      </c>
      <c r="AE288" s="22">
        <f t="shared" si="290"/>
        <v>29.94966667</v>
      </c>
      <c r="AF288" s="22">
        <f t="shared" si="290"/>
        <v>92.47566667</v>
      </c>
      <c r="AG288" s="22">
        <f t="shared" si="290"/>
        <v>29.727</v>
      </c>
      <c r="AH288" s="22">
        <f t="shared" si="290"/>
        <v>55.35633333</v>
      </c>
      <c r="AI288" s="22">
        <f t="shared" si="290"/>
        <v>27.19633333</v>
      </c>
      <c r="AJ288" s="22"/>
      <c r="AK288" s="22"/>
      <c r="AL288" s="22"/>
      <c r="AM288" s="22"/>
    </row>
    <row r="289">
      <c r="A289" s="13" t="s">
        <v>20</v>
      </c>
      <c r="B289" s="26">
        <v>45743.0</v>
      </c>
      <c r="C289" s="13" t="s">
        <v>25</v>
      </c>
      <c r="D289" s="13">
        <v>12.4</v>
      </c>
      <c r="E289" s="13" t="s">
        <v>27</v>
      </c>
      <c r="F289" s="13">
        <v>3.0</v>
      </c>
      <c r="G289" s="13" t="s">
        <v>26</v>
      </c>
      <c r="H289" s="23">
        <v>11.809</v>
      </c>
      <c r="I289" s="23">
        <v>446.4581</v>
      </c>
      <c r="J289" s="23">
        <v>5.381</v>
      </c>
      <c r="K289" s="23">
        <v>0.047</v>
      </c>
      <c r="L289" s="23">
        <v>139.646</v>
      </c>
      <c r="M289" s="23">
        <v>24.033</v>
      </c>
      <c r="N289" s="23">
        <v>120.077</v>
      </c>
      <c r="O289" s="23">
        <v>23.325</v>
      </c>
      <c r="P289" s="23">
        <v>75.846</v>
      </c>
      <c r="Q289" s="23">
        <v>21.173</v>
      </c>
      <c r="R289" s="23">
        <v>139.425</v>
      </c>
      <c r="S289" s="23">
        <v>24.162</v>
      </c>
      <c r="T289" s="23">
        <v>119.998</v>
      </c>
      <c r="U289" s="23">
        <v>23.425</v>
      </c>
      <c r="V289" s="23">
        <v>76.05</v>
      </c>
      <c r="W289" s="23">
        <v>21.399</v>
      </c>
      <c r="X289" s="23">
        <v>140.103</v>
      </c>
      <c r="Y289" s="23">
        <v>23.392</v>
      </c>
      <c r="Z289" s="23">
        <v>120.44</v>
      </c>
      <c r="AA289" s="23">
        <v>22.916</v>
      </c>
      <c r="AB289" s="23">
        <v>76.038</v>
      </c>
      <c r="AC289" s="23">
        <v>21.174</v>
      </c>
      <c r="AD289" s="22">
        <f t="shared" ref="AD289:AI289" si="291">AVERAGE(L289,R289,X289)</f>
        <v>139.7246667</v>
      </c>
      <c r="AE289" s="22">
        <f t="shared" si="291"/>
        <v>23.86233333</v>
      </c>
      <c r="AF289" s="22">
        <f t="shared" si="291"/>
        <v>120.1716667</v>
      </c>
      <c r="AG289" s="22">
        <f t="shared" si="291"/>
        <v>23.222</v>
      </c>
      <c r="AH289" s="22">
        <f t="shared" si="291"/>
        <v>75.978</v>
      </c>
      <c r="AI289" s="22">
        <f t="shared" si="291"/>
        <v>21.24866667</v>
      </c>
      <c r="AJ289" s="22"/>
      <c r="AK289" s="22"/>
      <c r="AL289" s="22"/>
      <c r="AM289" s="22"/>
    </row>
    <row r="290">
      <c r="AJ290" s="22"/>
      <c r="AK290" s="22"/>
      <c r="AL290" s="22"/>
      <c r="AM290" s="22"/>
    </row>
    <row r="291">
      <c r="AJ291" s="22"/>
      <c r="AK291" s="22"/>
      <c r="AL291" s="22"/>
      <c r="AM291" s="22"/>
    </row>
    <row r="292">
      <c r="AJ292" s="22"/>
      <c r="AK292" s="22"/>
      <c r="AL292" s="22"/>
      <c r="AM292" s="22"/>
    </row>
    <row r="293">
      <c r="AJ293" s="22"/>
      <c r="AK293" s="22"/>
      <c r="AL293" s="22"/>
      <c r="AM293" s="22"/>
    </row>
    <row r="294">
      <c r="AJ294" s="22"/>
      <c r="AK294" s="22"/>
      <c r="AL294" s="22"/>
      <c r="AM294" s="22"/>
    </row>
    <row r="295">
      <c r="AJ295" s="22"/>
      <c r="AK295" s="22"/>
      <c r="AL295" s="22"/>
      <c r="AM295" s="22"/>
    </row>
    <row r="296">
      <c r="AJ296" s="22"/>
      <c r="AK296" s="22"/>
      <c r="AL296" s="22"/>
      <c r="AM296" s="22"/>
    </row>
    <row r="297">
      <c r="AJ297" s="22"/>
      <c r="AK297" s="22"/>
      <c r="AL297" s="22"/>
      <c r="AM297" s="22"/>
    </row>
    <row r="298">
      <c r="AJ298" s="22"/>
      <c r="AK298" s="22"/>
      <c r="AL298" s="22"/>
      <c r="AM298" s="22"/>
    </row>
    <row r="299">
      <c r="AJ299" s="22"/>
      <c r="AK299" s="22"/>
      <c r="AL299" s="22"/>
      <c r="AM299" s="22"/>
    </row>
    <row r="300">
      <c r="AJ300" s="22"/>
      <c r="AK300" s="22"/>
      <c r="AL300" s="22"/>
      <c r="AM300" s="22"/>
    </row>
    <row r="301">
      <c r="AJ301" s="22"/>
      <c r="AK301" s="22"/>
      <c r="AL301" s="22"/>
      <c r="AM301" s="22"/>
    </row>
    <row r="302">
      <c r="AJ302" s="22"/>
      <c r="AK302" s="22"/>
      <c r="AL302" s="22"/>
      <c r="AM302" s="22"/>
    </row>
    <row r="303">
      <c r="AJ303" s="22"/>
      <c r="AK303" s="22"/>
      <c r="AL303" s="22"/>
      <c r="AM303" s="22"/>
    </row>
    <row r="304">
      <c r="AJ304" s="22"/>
      <c r="AK304" s="22"/>
      <c r="AL304" s="22"/>
      <c r="AM304" s="22"/>
    </row>
    <row r="305">
      <c r="AJ305" s="22"/>
      <c r="AK305" s="22"/>
      <c r="AL305" s="22"/>
      <c r="AM305" s="22"/>
    </row>
    <row r="306">
      <c r="AJ306" s="22"/>
      <c r="AK306" s="22"/>
      <c r="AL306" s="22"/>
      <c r="AM306" s="22"/>
    </row>
    <row r="307">
      <c r="AJ307" s="22"/>
      <c r="AK307" s="22"/>
      <c r="AL307" s="22"/>
      <c r="AM307" s="22"/>
    </row>
    <row r="308">
      <c r="AJ308" s="22"/>
      <c r="AK308" s="22"/>
      <c r="AL308" s="22"/>
      <c r="AM308" s="22"/>
    </row>
    <row r="309">
      <c r="AJ309" s="22"/>
      <c r="AK309" s="22"/>
      <c r="AL309" s="22"/>
      <c r="AM309" s="22"/>
    </row>
    <row r="310">
      <c r="AJ310" s="22"/>
      <c r="AK310" s="22"/>
      <c r="AL310" s="22"/>
      <c r="AM310" s="22"/>
    </row>
    <row r="311">
      <c r="AJ311" s="22"/>
      <c r="AK311" s="22"/>
      <c r="AL311" s="22"/>
      <c r="AM311" s="22"/>
    </row>
    <row r="312">
      <c r="AJ312" s="22"/>
      <c r="AK312" s="22"/>
      <c r="AL312" s="22"/>
      <c r="AM312" s="22"/>
    </row>
    <row r="313">
      <c r="AJ313" s="22"/>
      <c r="AK313" s="22"/>
      <c r="AL313" s="22"/>
      <c r="AM313" s="22"/>
    </row>
    <row r="314">
      <c r="AJ314" s="22"/>
      <c r="AK314" s="22"/>
      <c r="AL314" s="22"/>
      <c r="AM314" s="22"/>
    </row>
    <row r="315">
      <c r="AJ315" s="22"/>
      <c r="AK315" s="22"/>
      <c r="AL315" s="22"/>
      <c r="AM315" s="22"/>
    </row>
    <row r="316">
      <c r="AJ316" s="22"/>
      <c r="AK316" s="22"/>
      <c r="AL316" s="22"/>
      <c r="AM316" s="22"/>
    </row>
    <row r="317">
      <c r="AJ317" s="22"/>
      <c r="AK317" s="22"/>
      <c r="AL317" s="22"/>
      <c r="AM317" s="22"/>
    </row>
    <row r="318">
      <c r="AJ318" s="22"/>
      <c r="AK318" s="22"/>
      <c r="AL318" s="22"/>
      <c r="AM318" s="22"/>
    </row>
    <row r="319">
      <c r="AJ319" s="22"/>
      <c r="AK319" s="22"/>
      <c r="AL319" s="22"/>
      <c r="AM319" s="22"/>
    </row>
    <row r="320">
      <c r="AJ320" s="22"/>
      <c r="AK320" s="22"/>
      <c r="AL320" s="22"/>
      <c r="AM320" s="22"/>
    </row>
    <row r="321">
      <c r="AJ321" s="22"/>
      <c r="AK321" s="22"/>
      <c r="AL321" s="22"/>
      <c r="AM321" s="22"/>
    </row>
    <row r="322">
      <c r="AJ322" s="22"/>
      <c r="AK322" s="22"/>
      <c r="AL322" s="22"/>
      <c r="AM322" s="22"/>
    </row>
    <row r="323">
      <c r="AJ323" s="22"/>
      <c r="AK323" s="22"/>
      <c r="AL323" s="22"/>
      <c r="AM323" s="22"/>
    </row>
    <row r="324">
      <c r="AJ324" s="22"/>
      <c r="AK324" s="22"/>
      <c r="AL324" s="22"/>
      <c r="AM324" s="22"/>
    </row>
    <row r="325">
      <c r="AJ325" s="22"/>
      <c r="AK325" s="22"/>
      <c r="AL325" s="22"/>
      <c r="AM325" s="22"/>
    </row>
    <row r="326">
      <c r="AJ326" s="22"/>
      <c r="AK326" s="22"/>
      <c r="AL326" s="22"/>
      <c r="AM326" s="22"/>
    </row>
    <row r="327">
      <c r="AJ327" s="22"/>
      <c r="AK327" s="22"/>
      <c r="AL327" s="22"/>
      <c r="AM327" s="22"/>
    </row>
    <row r="328">
      <c r="AJ328" s="22"/>
      <c r="AK328" s="22"/>
      <c r="AL328" s="22"/>
      <c r="AM328" s="22"/>
    </row>
    <row r="329">
      <c r="AJ329" s="22"/>
      <c r="AK329" s="22"/>
      <c r="AL329" s="22"/>
      <c r="AM329" s="22"/>
    </row>
    <row r="330">
      <c r="AJ330" s="22"/>
      <c r="AK330" s="22"/>
      <c r="AL330" s="22"/>
      <c r="AM330" s="22"/>
    </row>
    <row r="331">
      <c r="AJ331" s="22"/>
      <c r="AK331" s="22"/>
      <c r="AL331" s="22"/>
      <c r="AM331" s="22"/>
    </row>
    <row r="332">
      <c r="AJ332" s="22"/>
      <c r="AK332" s="22"/>
      <c r="AL332" s="22"/>
      <c r="AM332" s="22"/>
    </row>
    <row r="333">
      <c r="AJ333" s="22"/>
      <c r="AK333" s="22"/>
      <c r="AL333" s="22"/>
      <c r="AM333" s="22"/>
    </row>
    <row r="334">
      <c r="AJ334" s="22"/>
      <c r="AK334" s="22"/>
      <c r="AL334" s="22"/>
      <c r="AM334" s="22"/>
    </row>
    <row r="335">
      <c r="AJ335" s="22"/>
      <c r="AK335" s="22"/>
      <c r="AL335" s="22"/>
      <c r="AM335" s="22"/>
    </row>
    <row r="336">
      <c r="AJ336" s="22"/>
      <c r="AK336" s="22"/>
      <c r="AL336" s="22"/>
      <c r="AM336" s="22"/>
    </row>
    <row r="337">
      <c r="AJ337" s="22"/>
      <c r="AK337" s="22"/>
      <c r="AL337" s="22"/>
      <c r="AM337" s="22"/>
    </row>
    <row r="338">
      <c r="AJ338" s="22"/>
      <c r="AK338" s="22"/>
      <c r="AL338" s="22"/>
      <c r="AM338" s="22"/>
    </row>
    <row r="339">
      <c r="AJ339" s="22"/>
      <c r="AK339" s="22"/>
      <c r="AL339" s="22"/>
      <c r="AM339" s="22"/>
    </row>
    <row r="340">
      <c r="AJ340" s="22"/>
      <c r="AK340" s="22"/>
      <c r="AL340" s="22"/>
      <c r="AM340" s="22"/>
    </row>
    <row r="341">
      <c r="AJ341" s="22"/>
      <c r="AK341" s="22"/>
      <c r="AL341" s="22"/>
      <c r="AM341" s="22"/>
    </row>
    <row r="342">
      <c r="AJ342" s="22"/>
      <c r="AK342" s="22"/>
      <c r="AL342" s="22"/>
      <c r="AM342" s="22"/>
    </row>
    <row r="343">
      <c r="AJ343" s="22"/>
      <c r="AK343" s="22"/>
      <c r="AL343" s="22"/>
      <c r="AM343" s="22"/>
    </row>
    <row r="344">
      <c r="AJ344" s="22"/>
      <c r="AK344" s="22"/>
      <c r="AL344" s="22"/>
      <c r="AM344" s="22"/>
    </row>
    <row r="345">
      <c r="AJ345" s="22"/>
      <c r="AK345" s="22"/>
      <c r="AL345" s="22"/>
      <c r="AM345" s="22"/>
    </row>
    <row r="346">
      <c r="AJ346" s="22"/>
      <c r="AK346" s="22"/>
      <c r="AL346" s="22"/>
      <c r="AM346" s="22"/>
    </row>
    <row r="347">
      <c r="AJ347" s="22"/>
      <c r="AK347" s="22"/>
      <c r="AL347" s="22"/>
      <c r="AM347" s="22"/>
    </row>
    <row r="348">
      <c r="AJ348" s="22"/>
      <c r="AK348" s="22"/>
      <c r="AL348" s="22"/>
      <c r="AM348" s="22"/>
    </row>
    <row r="349">
      <c r="AJ349" s="22"/>
      <c r="AK349" s="22"/>
      <c r="AL349" s="22"/>
      <c r="AM349" s="22"/>
    </row>
    <row r="350">
      <c r="AJ350" s="22"/>
      <c r="AK350" s="22"/>
      <c r="AL350" s="22"/>
      <c r="AM350" s="22"/>
    </row>
    <row r="351">
      <c r="AJ351" s="22"/>
      <c r="AK351" s="22"/>
      <c r="AL351" s="22"/>
      <c r="AM351" s="22"/>
    </row>
    <row r="352">
      <c r="AJ352" s="22"/>
      <c r="AK352" s="22"/>
      <c r="AL352" s="22"/>
      <c r="AM352" s="22"/>
    </row>
    <row r="353">
      <c r="AJ353" s="22"/>
      <c r="AK353" s="22"/>
      <c r="AL353" s="22"/>
      <c r="AM353" s="22"/>
    </row>
    <row r="354">
      <c r="AJ354" s="22"/>
      <c r="AK354" s="22"/>
      <c r="AL354" s="22"/>
      <c r="AM354" s="22"/>
    </row>
    <row r="355">
      <c r="AJ355" s="22"/>
      <c r="AK355" s="22"/>
      <c r="AL355" s="22"/>
      <c r="AM355" s="22"/>
    </row>
    <row r="356">
      <c r="AJ356" s="22"/>
      <c r="AK356" s="22"/>
      <c r="AL356" s="22"/>
      <c r="AM356" s="22"/>
    </row>
    <row r="357">
      <c r="AJ357" s="22"/>
      <c r="AK357" s="22"/>
      <c r="AL357" s="22"/>
      <c r="AM357" s="22"/>
    </row>
    <row r="358">
      <c r="AJ358" s="22"/>
      <c r="AK358" s="22"/>
      <c r="AL358" s="22"/>
      <c r="AM358" s="22"/>
    </row>
    <row r="359">
      <c r="AJ359" s="22"/>
      <c r="AK359" s="22"/>
      <c r="AL359" s="22"/>
      <c r="AM359" s="22"/>
    </row>
    <row r="360">
      <c r="AJ360" s="22"/>
      <c r="AK360" s="22"/>
      <c r="AL360" s="22"/>
      <c r="AM360" s="22"/>
    </row>
    <row r="361">
      <c r="AJ361" s="22"/>
      <c r="AK361" s="22"/>
      <c r="AL361" s="22"/>
      <c r="AM361" s="22"/>
    </row>
    <row r="362">
      <c r="AJ362" s="22"/>
      <c r="AK362" s="22"/>
      <c r="AL362" s="22"/>
      <c r="AM362" s="22"/>
    </row>
    <row r="363">
      <c r="AJ363" s="22"/>
      <c r="AK363" s="22"/>
      <c r="AL363" s="22"/>
      <c r="AM363" s="22"/>
    </row>
    <row r="364">
      <c r="AJ364" s="22"/>
      <c r="AK364" s="22"/>
      <c r="AL364" s="22"/>
      <c r="AM364" s="22"/>
    </row>
    <row r="365">
      <c r="AJ365" s="22"/>
      <c r="AK365" s="22"/>
      <c r="AL365" s="22"/>
      <c r="AM365" s="22"/>
    </row>
    <row r="366">
      <c r="AJ366" s="22"/>
      <c r="AK366" s="22"/>
      <c r="AL366" s="22"/>
      <c r="AM366" s="22"/>
    </row>
    <row r="367">
      <c r="AJ367" s="22"/>
      <c r="AK367" s="22"/>
      <c r="AL367" s="22"/>
      <c r="AM367" s="22"/>
    </row>
    <row r="368">
      <c r="AJ368" s="22"/>
      <c r="AK368" s="22"/>
      <c r="AL368" s="22"/>
      <c r="AM368" s="22"/>
    </row>
    <row r="369">
      <c r="AJ369" s="22"/>
      <c r="AK369" s="22"/>
      <c r="AL369" s="22"/>
      <c r="AM369" s="22"/>
    </row>
    <row r="370">
      <c r="AJ370" s="22"/>
      <c r="AK370" s="22"/>
      <c r="AL370" s="22"/>
      <c r="AM370" s="22"/>
    </row>
    <row r="371">
      <c r="AJ371" s="22"/>
      <c r="AK371" s="22"/>
      <c r="AL371" s="22"/>
      <c r="AM371" s="22"/>
    </row>
    <row r="372">
      <c r="AJ372" s="22"/>
      <c r="AK372" s="22"/>
      <c r="AL372" s="22"/>
      <c r="AM372" s="22"/>
    </row>
    <row r="373">
      <c r="AJ373" s="22"/>
      <c r="AK373" s="22"/>
      <c r="AL373" s="22"/>
      <c r="AM373" s="22"/>
    </row>
    <row r="374">
      <c r="AJ374" s="22"/>
      <c r="AK374" s="22"/>
      <c r="AL374" s="22"/>
      <c r="AM374" s="22"/>
    </row>
    <row r="375">
      <c r="AJ375" s="22"/>
      <c r="AK375" s="22"/>
      <c r="AL375" s="22"/>
      <c r="AM375" s="22"/>
    </row>
    <row r="376">
      <c r="AJ376" s="22"/>
      <c r="AK376" s="22"/>
      <c r="AL376" s="22"/>
      <c r="AM376" s="22"/>
    </row>
    <row r="377">
      <c r="AJ377" s="22"/>
      <c r="AK377" s="22"/>
      <c r="AL377" s="22"/>
      <c r="AM377" s="22"/>
    </row>
    <row r="378">
      <c r="AJ378" s="22"/>
      <c r="AK378" s="22"/>
      <c r="AL378" s="22"/>
      <c r="AM378" s="22"/>
    </row>
    <row r="379">
      <c r="AJ379" s="22"/>
      <c r="AK379" s="22"/>
      <c r="AL379" s="22"/>
      <c r="AM379" s="22"/>
    </row>
    <row r="380">
      <c r="AJ380" s="22"/>
      <c r="AK380" s="22"/>
      <c r="AL380" s="22"/>
      <c r="AM380" s="22"/>
    </row>
    <row r="381">
      <c r="AJ381" s="22"/>
      <c r="AK381" s="22"/>
      <c r="AL381" s="22"/>
      <c r="AM381" s="22"/>
    </row>
    <row r="382">
      <c r="AJ382" s="22"/>
      <c r="AK382" s="22"/>
      <c r="AL382" s="22"/>
      <c r="AM382" s="22"/>
    </row>
    <row r="383">
      <c r="AJ383" s="22"/>
      <c r="AK383" s="22"/>
      <c r="AL383" s="22"/>
      <c r="AM383" s="22"/>
    </row>
    <row r="384">
      <c r="AJ384" s="22"/>
      <c r="AK384" s="22"/>
      <c r="AL384" s="22"/>
      <c r="AM384" s="22"/>
    </row>
    <row r="385">
      <c r="AJ385" s="22"/>
      <c r="AK385" s="22"/>
      <c r="AL385" s="22"/>
      <c r="AM385" s="22"/>
    </row>
    <row r="386">
      <c r="AJ386" s="22"/>
      <c r="AK386" s="22"/>
      <c r="AL386" s="22"/>
      <c r="AM386" s="22"/>
    </row>
    <row r="387">
      <c r="AJ387" s="22"/>
      <c r="AK387" s="22"/>
      <c r="AL387" s="22"/>
      <c r="AM387" s="22"/>
    </row>
    <row r="388">
      <c r="AJ388" s="22"/>
      <c r="AK388" s="22"/>
      <c r="AL388" s="22"/>
      <c r="AM388" s="22"/>
    </row>
    <row r="389">
      <c r="AJ389" s="22"/>
      <c r="AK389" s="22"/>
      <c r="AL389" s="22"/>
      <c r="AM389" s="22"/>
    </row>
    <row r="390">
      <c r="AJ390" s="22"/>
      <c r="AK390" s="22"/>
      <c r="AL390" s="22"/>
      <c r="AM390" s="22"/>
    </row>
    <row r="391">
      <c r="AJ391" s="22"/>
      <c r="AK391" s="22"/>
      <c r="AL391" s="22"/>
      <c r="AM391" s="22"/>
    </row>
    <row r="392">
      <c r="AJ392" s="22"/>
      <c r="AK392" s="22"/>
      <c r="AL392" s="22"/>
      <c r="AM392" s="22"/>
    </row>
    <row r="393">
      <c r="AJ393" s="22"/>
      <c r="AK393" s="22"/>
      <c r="AL393" s="22"/>
      <c r="AM393" s="22"/>
    </row>
    <row r="394">
      <c r="AJ394" s="22"/>
      <c r="AK394" s="22"/>
      <c r="AL394" s="22"/>
      <c r="AM394" s="22"/>
    </row>
    <row r="395">
      <c r="AJ395" s="22"/>
      <c r="AK395" s="22"/>
      <c r="AL395" s="22"/>
      <c r="AM395" s="22"/>
    </row>
    <row r="396">
      <c r="AJ396" s="22"/>
      <c r="AK396" s="22"/>
      <c r="AL396" s="22"/>
      <c r="AM396" s="22"/>
    </row>
    <row r="397">
      <c r="AJ397" s="22"/>
      <c r="AK397" s="22"/>
      <c r="AL397" s="22"/>
      <c r="AM397" s="22"/>
    </row>
    <row r="398">
      <c r="AJ398" s="22"/>
      <c r="AK398" s="22"/>
      <c r="AL398" s="22"/>
      <c r="AM398" s="22"/>
    </row>
    <row r="399">
      <c r="AJ399" s="22"/>
      <c r="AK399" s="22"/>
      <c r="AL399" s="22"/>
      <c r="AM399" s="22"/>
    </row>
    <row r="400">
      <c r="AJ400" s="22"/>
      <c r="AK400" s="22"/>
      <c r="AL400" s="22"/>
      <c r="AM400" s="22"/>
    </row>
    <row r="401">
      <c r="AJ401" s="22"/>
      <c r="AK401" s="22"/>
      <c r="AL401" s="22"/>
      <c r="AM401" s="22"/>
    </row>
    <row r="402">
      <c r="AJ402" s="22"/>
      <c r="AK402" s="22"/>
      <c r="AL402" s="22"/>
      <c r="AM402" s="22"/>
    </row>
    <row r="403">
      <c r="AJ403" s="22"/>
      <c r="AK403" s="22"/>
      <c r="AL403" s="22"/>
      <c r="AM403" s="22"/>
    </row>
    <row r="404">
      <c r="AJ404" s="22"/>
      <c r="AK404" s="22"/>
      <c r="AL404" s="22"/>
      <c r="AM404" s="22"/>
    </row>
    <row r="405">
      <c r="AJ405" s="22"/>
      <c r="AK405" s="22"/>
      <c r="AL405" s="22"/>
      <c r="AM405" s="22"/>
    </row>
    <row r="406">
      <c r="AJ406" s="22"/>
      <c r="AK406" s="22"/>
      <c r="AL406" s="22"/>
      <c r="AM406" s="22"/>
    </row>
    <row r="407">
      <c r="AJ407" s="22"/>
      <c r="AK407" s="22"/>
      <c r="AL407" s="22"/>
      <c r="AM407" s="22"/>
    </row>
    <row r="408">
      <c r="AJ408" s="22"/>
      <c r="AK408" s="22"/>
      <c r="AL408" s="22"/>
      <c r="AM408" s="22"/>
    </row>
    <row r="409">
      <c r="AJ409" s="22"/>
      <c r="AK409" s="22"/>
      <c r="AL409" s="22"/>
      <c r="AM409" s="22"/>
    </row>
    <row r="410">
      <c r="AJ410" s="22"/>
      <c r="AK410" s="22"/>
      <c r="AL410" s="22"/>
      <c r="AM410" s="22"/>
    </row>
    <row r="411">
      <c r="AJ411" s="22"/>
      <c r="AK411" s="22"/>
      <c r="AL411" s="22"/>
      <c r="AM411" s="22"/>
    </row>
    <row r="412">
      <c r="AJ412" s="22"/>
      <c r="AK412" s="22"/>
      <c r="AL412" s="22"/>
      <c r="AM412" s="22"/>
    </row>
    <row r="413">
      <c r="AJ413" s="22"/>
      <c r="AK413" s="22"/>
      <c r="AL413" s="22"/>
      <c r="AM413" s="22"/>
    </row>
    <row r="414">
      <c r="AJ414" s="22"/>
      <c r="AK414" s="22"/>
      <c r="AL414" s="22"/>
      <c r="AM414" s="22"/>
    </row>
    <row r="415">
      <c r="AJ415" s="22"/>
      <c r="AK415" s="22"/>
      <c r="AL415" s="22"/>
      <c r="AM415" s="22"/>
    </row>
    <row r="416">
      <c r="AJ416" s="22"/>
      <c r="AK416" s="22"/>
      <c r="AL416" s="22"/>
      <c r="AM416" s="22"/>
    </row>
    <row r="417">
      <c r="AJ417" s="22"/>
      <c r="AK417" s="22"/>
      <c r="AL417" s="22"/>
      <c r="AM417" s="22"/>
    </row>
    <row r="418">
      <c r="AJ418" s="22"/>
      <c r="AK418" s="22"/>
      <c r="AL418" s="22"/>
      <c r="AM418" s="22"/>
    </row>
    <row r="419">
      <c r="AJ419" s="22"/>
      <c r="AK419" s="22"/>
      <c r="AL419" s="22"/>
      <c r="AM419" s="22"/>
    </row>
    <row r="420">
      <c r="AJ420" s="22"/>
      <c r="AK420" s="22"/>
      <c r="AL420" s="22"/>
      <c r="AM420" s="22"/>
    </row>
    <row r="421">
      <c r="AJ421" s="22"/>
      <c r="AK421" s="22"/>
      <c r="AL421" s="22"/>
      <c r="AM421" s="22"/>
    </row>
    <row r="422">
      <c r="AJ422" s="22"/>
      <c r="AK422" s="22"/>
      <c r="AL422" s="22"/>
      <c r="AM422" s="22"/>
    </row>
    <row r="423">
      <c r="AJ423" s="22"/>
      <c r="AK423" s="22"/>
      <c r="AL423" s="22"/>
      <c r="AM423" s="22"/>
    </row>
    <row r="424">
      <c r="AJ424" s="22"/>
      <c r="AK424" s="22"/>
      <c r="AL424" s="22"/>
      <c r="AM424" s="22"/>
    </row>
    <row r="425">
      <c r="AJ425" s="22"/>
      <c r="AK425" s="22"/>
      <c r="AL425" s="22"/>
      <c r="AM425" s="22"/>
    </row>
    <row r="426">
      <c r="AJ426" s="22"/>
      <c r="AK426" s="22"/>
      <c r="AL426" s="22"/>
      <c r="AM426" s="22"/>
    </row>
    <row r="427">
      <c r="AJ427" s="22"/>
      <c r="AK427" s="22"/>
      <c r="AL427" s="22"/>
      <c r="AM427" s="22"/>
    </row>
    <row r="428">
      <c r="AJ428" s="22"/>
      <c r="AK428" s="22"/>
      <c r="AL428" s="22"/>
      <c r="AM428" s="22"/>
    </row>
    <row r="429">
      <c r="AJ429" s="22"/>
      <c r="AK429" s="22"/>
      <c r="AL429" s="22"/>
      <c r="AM429" s="22"/>
    </row>
    <row r="430">
      <c r="AJ430" s="22"/>
      <c r="AK430" s="22"/>
      <c r="AL430" s="22"/>
      <c r="AM430" s="22"/>
    </row>
    <row r="431">
      <c r="AJ431" s="22"/>
      <c r="AK431" s="22"/>
      <c r="AL431" s="22"/>
      <c r="AM431" s="22"/>
    </row>
    <row r="432">
      <c r="AJ432" s="22"/>
      <c r="AK432" s="22"/>
      <c r="AL432" s="22"/>
      <c r="AM432" s="22"/>
    </row>
    <row r="433">
      <c r="AJ433" s="22"/>
      <c r="AK433" s="22"/>
      <c r="AL433" s="22"/>
      <c r="AM433" s="22"/>
    </row>
    <row r="434">
      <c r="B434" s="28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22"/>
      <c r="Y434" s="22"/>
      <c r="Z434" s="22"/>
      <c r="AA434" s="22"/>
      <c r="AB434" s="22"/>
      <c r="AC434" s="22"/>
      <c r="AD434" s="22"/>
      <c r="AE434" s="22"/>
      <c r="AF434" s="22"/>
      <c r="AG434" s="22"/>
      <c r="AH434" s="22"/>
      <c r="AI434" s="22"/>
      <c r="AJ434" s="22"/>
      <c r="AK434" s="22"/>
      <c r="AL434" s="22"/>
      <c r="AM434" s="22"/>
    </row>
    <row r="435">
      <c r="B435" s="28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22"/>
      <c r="Y435" s="22"/>
      <c r="Z435" s="22"/>
      <c r="AA435" s="22"/>
      <c r="AB435" s="22"/>
      <c r="AC435" s="22"/>
      <c r="AD435" s="22"/>
      <c r="AE435" s="22"/>
      <c r="AF435" s="22"/>
      <c r="AG435" s="22"/>
      <c r="AH435" s="22"/>
      <c r="AI435" s="22"/>
      <c r="AJ435" s="22"/>
      <c r="AK435" s="22"/>
      <c r="AL435" s="22"/>
      <c r="AM435" s="22"/>
    </row>
    <row r="436">
      <c r="B436" s="28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22"/>
      <c r="Y436" s="22"/>
      <c r="Z436" s="22"/>
      <c r="AA436" s="22"/>
      <c r="AB436" s="22"/>
      <c r="AC436" s="22"/>
      <c r="AD436" s="22"/>
      <c r="AE436" s="22"/>
      <c r="AF436" s="22"/>
      <c r="AG436" s="22"/>
      <c r="AH436" s="22"/>
      <c r="AI436" s="22"/>
      <c r="AJ436" s="22"/>
      <c r="AK436" s="22"/>
      <c r="AL436" s="22"/>
      <c r="AM436" s="22"/>
    </row>
    <row r="437">
      <c r="B437" s="28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22"/>
      <c r="Y437" s="22"/>
      <c r="Z437" s="22"/>
      <c r="AA437" s="22"/>
      <c r="AB437" s="22"/>
      <c r="AC437" s="22"/>
      <c r="AD437" s="22"/>
      <c r="AE437" s="22"/>
      <c r="AF437" s="22"/>
      <c r="AG437" s="22"/>
      <c r="AH437" s="22"/>
      <c r="AI437" s="22"/>
      <c r="AJ437" s="22"/>
      <c r="AK437" s="22"/>
      <c r="AL437" s="22"/>
      <c r="AM437" s="22"/>
    </row>
    <row r="438">
      <c r="B438" s="28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22"/>
      <c r="Y438" s="22"/>
      <c r="Z438" s="22"/>
      <c r="AA438" s="22"/>
      <c r="AB438" s="22"/>
      <c r="AC438" s="22"/>
      <c r="AD438" s="22"/>
      <c r="AE438" s="22"/>
      <c r="AF438" s="22"/>
      <c r="AG438" s="22"/>
      <c r="AH438" s="22"/>
      <c r="AI438" s="22"/>
      <c r="AJ438" s="22"/>
      <c r="AK438" s="22"/>
      <c r="AL438" s="22"/>
      <c r="AM438" s="22"/>
    </row>
    <row r="439">
      <c r="B439" s="28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22"/>
      <c r="Y439" s="22"/>
      <c r="Z439" s="22"/>
      <c r="AA439" s="22"/>
      <c r="AB439" s="22"/>
      <c r="AC439" s="22"/>
      <c r="AD439" s="22"/>
      <c r="AE439" s="22"/>
      <c r="AF439" s="22"/>
      <c r="AG439" s="22"/>
      <c r="AH439" s="22"/>
      <c r="AI439" s="22"/>
      <c r="AJ439" s="22"/>
      <c r="AK439" s="22"/>
      <c r="AL439" s="22"/>
      <c r="AM439" s="22"/>
    </row>
    <row r="440">
      <c r="B440" s="28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22"/>
      <c r="Y440" s="22"/>
      <c r="Z440" s="22"/>
      <c r="AA440" s="22"/>
      <c r="AB440" s="22"/>
      <c r="AC440" s="22"/>
      <c r="AD440" s="22"/>
      <c r="AE440" s="22"/>
      <c r="AF440" s="22"/>
      <c r="AG440" s="22"/>
      <c r="AH440" s="22"/>
      <c r="AI440" s="22"/>
      <c r="AJ440" s="22"/>
      <c r="AK440" s="22"/>
      <c r="AL440" s="22"/>
      <c r="AM440" s="22"/>
    </row>
    <row r="441">
      <c r="B441" s="28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22"/>
      <c r="Y441" s="22"/>
      <c r="Z441" s="22"/>
      <c r="AA441" s="22"/>
      <c r="AB441" s="22"/>
      <c r="AC441" s="22"/>
      <c r="AD441" s="22"/>
      <c r="AE441" s="22"/>
      <c r="AF441" s="22"/>
      <c r="AG441" s="22"/>
      <c r="AH441" s="22"/>
      <c r="AI441" s="22"/>
      <c r="AJ441" s="22"/>
      <c r="AK441" s="22"/>
      <c r="AL441" s="22"/>
      <c r="AM441" s="22"/>
    </row>
    <row r="442">
      <c r="B442" s="28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22"/>
      <c r="Y442" s="22"/>
      <c r="Z442" s="22"/>
      <c r="AA442" s="22"/>
      <c r="AB442" s="22"/>
      <c r="AC442" s="22"/>
      <c r="AD442" s="22"/>
      <c r="AE442" s="22"/>
      <c r="AF442" s="22"/>
      <c r="AG442" s="22"/>
      <c r="AH442" s="22"/>
      <c r="AI442" s="22"/>
      <c r="AJ442" s="22"/>
      <c r="AK442" s="22"/>
      <c r="AL442" s="22"/>
      <c r="AM442" s="22"/>
    </row>
    <row r="443">
      <c r="B443" s="28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22"/>
      <c r="Y443" s="22"/>
      <c r="Z443" s="22"/>
      <c r="AA443" s="22"/>
      <c r="AB443" s="22"/>
      <c r="AC443" s="22"/>
      <c r="AD443" s="22"/>
      <c r="AE443" s="22"/>
      <c r="AF443" s="22"/>
      <c r="AG443" s="22"/>
      <c r="AH443" s="22"/>
      <c r="AI443" s="22"/>
      <c r="AJ443" s="22"/>
      <c r="AK443" s="22"/>
      <c r="AL443" s="22"/>
      <c r="AM443" s="22"/>
    </row>
    <row r="444">
      <c r="B444" s="28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22"/>
      <c r="Y444" s="22"/>
      <c r="Z444" s="22"/>
      <c r="AA444" s="22"/>
      <c r="AB444" s="22"/>
      <c r="AC444" s="22"/>
      <c r="AD444" s="22"/>
      <c r="AE444" s="22"/>
      <c r="AF444" s="22"/>
      <c r="AG444" s="22"/>
      <c r="AH444" s="22"/>
      <c r="AI444" s="22"/>
      <c r="AJ444" s="22"/>
      <c r="AK444" s="22"/>
      <c r="AL444" s="22"/>
      <c r="AM444" s="22"/>
    </row>
    <row r="445">
      <c r="B445" s="28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22"/>
      <c r="Y445" s="22"/>
      <c r="Z445" s="22"/>
      <c r="AA445" s="22"/>
      <c r="AB445" s="22"/>
      <c r="AC445" s="22"/>
      <c r="AD445" s="22"/>
      <c r="AE445" s="22"/>
      <c r="AF445" s="22"/>
      <c r="AG445" s="22"/>
      <c r="AH445" s="22"/>
      <c r="AI445" s="22"/>
      <c r="AJ445" s="22"/>
      <c r="AK445" s="22"/>
      <c r="AL445" s="22"/>
      <c r="AM445" s="22"/>
    </row>
    <row r="446">
      <c r="B446" s="28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22"/>
      <c r="Y446" s="22"/>
      <c r="Z446" s="22"/>
      <c r="AA446" s="22"/>
      <c r="AB446" s="22"/>
      <c r="AC446" s="22"/>
      <c r="AD446" s="22"/>
      <c r="AE446" s="22"/>
      <c r="AF446" s="22"/>
      <c r="AG446" s="22"/>
      <c r="AH446" s="22"/>
      <c r="AI446" s="22"/>
      <c r="AJ446" s="22"/>
      <c r="AK446" s="22"/>
      <c r="AL446" s="22"/>
      <c r="AM446" s="22"/>
    </row>
    <row r="447">
      <c r="B447" s="28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22"/>
      <c r="Y447" s="22"/>
      <c r="Z447" s="22"/>
      <c r="AA447" s="22"/>
      <c r="AB447" s="22"/>
      <c r="AC447" s="22"/>
      <c r="AD447" s="22"/>
      <c r="AE447" s="22"/>
      <c r="AF447" s="22"/>
      <c r="AG447" s="22"/>
      <c r="AH447" s="22"/>
      <c r="AI447" s="22"/>
      <c r="AJ447" s="22"/>
      <c r="AK447" s="22"/>
      <c r="AL447" s="22"/>
      <c r="AM447" s="22"/>
    </row>
    <row r="448">
      <c r="B448" s="28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22"/>
      <c r="Y448" s="22"/>
      <c r="Z448" s="22"/>
      <c r="AA448" s="22"/>
      <c r="AB448" s="22"/>
      <c r="AC448" s="22"/>
      <c r="AD448" s="22"/>
      <c r="AE448" s="22"/>
      <c r="AF448" s="22"/>
      <c r="AG448" s="22"/>
      <c r="AH448" s="22"/>
      <c r="AI448" s="22"/>
      <c r="AJ448" s="22"/>
      <c r="AK448" s="22"/>
      <c r="AL448" s="22"/>
      <c r="AM448" s="22"/>
    </row>
    <row r="449">
      <c r="B449" s="28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22"/>
      <c r="Y449" s="22"/>
      <c r="Z449" s="22"/>
      <c r="AA449" s="22"/>
      <c r="AB449" s="22"/>
      <c r="AC449" s="22"/>
      <c r="AD449" s="22"/>
      <c r="AE449" s="22"/>
      <c r="AF449" s="22"/>
      <c r="AG449" s="22"/>
      <c r="AH449" s="22"/>
      <c r="AI449" s="22"/>
      <c r="AJ449" s="22"/>
      <c r="AK449" s="22"/>
      <c r="AL449" s="22"/>
      <c r="AM449" s="22"/>
    </row>
    <row r="450">
      <c r="B450" s="28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22"/>
      <c r="Y450" s="22"/>
      <c r="Z450" s="22"/>
      <c r="AA450" s="22"/>
      <c r="AB450" s="22"/>
      <c r="AC450" s="22"/>
      <c r="AD450" s="22"/>
      <c r="AE450" s="22"/>
      <c r="AF450" s="22"/>
      <c r="AG450" s="22"/>
      <c r="AH450" s="22"/>
      <c r="AI450" s="22"/>
      <c r="AJ450" s="22"/>
      <c r="AK450" s="22"/>
      <c r="AL450" s="22"/>
      <c r="AM450" s="22"/>
    </row>
    <row r="451">
      <c r="B451" s="28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22"/>
      <c r="Y451" s="22"/>
      <c r="Z451" s="22"/>
      <c r="AA451" s="22"/>
      <c r="AB451" s="22"/>
      <c r="AC451" s="22"/>
      <c r="AD451" s="22"/>
      <c r="AE451" s="22"/>
      <c r="AF451" s="22"/>
      <c r="AG451" s="22"/>
      <c r="AH451" s="22"/>
      <c r="AI451" s="22"/>
      <c r="AJ451" s="22"/>
      <c r="AK451" s="22"/>
      <c r="AL451" s="22"/>
      <c r="AM451" s="22"/>
    </row>
    <row r="452">
      <c r="B452" s="28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22"/>
      <c r="Y452" s="22"/>
      <c r="Z452" s="22"/>
      <c r="AA452" s="22"/>
      <c r="AB452" s="22"/>
      <c r="AC452" s="22"/>
      <c r="AD452" s="22"/>
      <c r="AE452" s="22"/>
      <c r="AF452" s="22"/>
      <c r="AG452" s="22"/>
      <c r="AH452" s="22"/>
      <c r="AI452" s="22"/>
      <c r="AJ452" s="22"/>
      <c r="AK452" s="22"/>
      <c r="AL452" s="22"/>
      <c r="AM452" s="22"/>
    </row>
    <row r="453">
      <c r="B453" s="28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22"/>
      <c r="Y453" s="22"/>
      <c r="Z453" s="22"/>
      <c r="AA453" s="22"/>
      <c r="AB453" s="22"/>
      <c r="AC453" s="22"/>
      <c r="AD453" s="22"/>
      <c r="AE453" s="22"/>
      <c r="AF453" s="22"/>
      <c r="AG453" s="22"/>
      <c r="AH453" s="22"/>
      <c r="AI453" s="22"/>
      <c r="AJ453" s="22"/>
      <c r="AK453" s="22"/>
      <c r="AL453" s="22"/>
      <c r="AM453" s="22"/>
    </row>
    <row r="454">
      <c r="B454" s="28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22"/>
      <c r="Y454" s="22"/>
      <c r="Z454" s="22"/>
      <c r="AA454" s="22"/>
      <c r="AB454" s="22"/>
      <c r="AC454" s="22"/>
      <c r="AD454" s="22"/>
      <c r="AE454" s="22"/>
      <c r="AF454" s="22"/>
      <c r="AG454" s="22"/>
      <c r="AH454" s="22"/>
      <c r="AI454" s="22"/>
      <c r="AJ454" s="22"/>
      <c r="AK454" s="22"/>
      <c r="AL454" s="22"/>
      <c r="AM454" s="22"/>
    </row>
    <row r="455">
      <c r="B455" s="28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22"/>
      <c r="Y455" s="22"/>
      <c r="Z455" s="22"/>
      <c r="AA455" s="22"/>
      <c r="AB455" s="22"/>
      <c r="AC455" s="22"/>
      <c r="AD455" s="22"/>
      <c r="AE455" s="22"/>
      <c r="AF455" s="22"/>
      <c r="AG455" s="22"/>
      <c r="AH455" s="22"/>
      <c r="AI455" s="22"/>
      <c r="AJ455" s="22"/>
      <c r="AK455" s="22"/>
      <c r="AL455" s="22"/>
      <c r="AM455" s="22"/>
    </row>
    <row r="456">
      <c r="B456" s="28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22"/>
      <c r="Y456" s="22"/>
      <c r="Z456" s="22"/>
      <c r="AA456" s="22"/>
      <c r="AB456" s="22"/>
      <c r="AC456" s="22"/>
      <c r="AD456" s="22"/>
      <c r="AE456" s="22"/>
      <c r="AF456" s="22"/>
      <c r="AG456" s="22"/>
      <c r="AH456" s="22"/>
      <c r="AI456" s="22"/>
      <c r="AJ456" s="22"/>
      <c r="AK456" s="22"/>
      <c r="AL456" s="22"/>
      <c r="AM456" s="22"/>
    </row>
    <row r="457">
      <c r="B457" s="28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22"/>
      <c r="Y457" s="22"/>
      <c r="Z457" s="22"/>
      <c r="AA457" s="22"/>
      <c r="AB457" s="22"/>
      <c r="AC457" s="22"/>
      <c r="AD457" s="22"/>
      <c r="AE457" s="22"/>
      <c r="AF457" s="22"/>
      <c r="AG457" s="22"/>
      <c r="AH457" s="22"/>
      <c r="AI457" s="22"/>
      <c r="AJ457" s="22"/>
      <c r="AK457" s="22"/>
      <c r="AL457" s="22"/>
      <c r="AM457" s="22"/>
    </row>
    <row r="458">
      <c r="B458" s="28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22"/>
      <c r="Y458" s="22"/>
      <c r="Z458" s="22"/>
      <c r="AA458" s="22"/>
      <c r="AB458" s="22"/>
      <c r="AC458" s="22"/>
      <c r="AD458" s="22"/>
      <c r="AE458" s="22"/>
      <c r="AF458" s="22"/>
      <c r="AG458" s="22"/>
      <c r="AH458" s="22"/>
      <c r="AI458" s="22"/>
      <c r="AJ458" s="22"/>
      <c r="AK458" s="22"/>
      <c r="AL458" s="22"/>
      <c r="AM458" s="22"/>
    </row>
    <row r="459">
      <c r="B459" s="28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22"/>
      <c r="Y459" s="22"/>
      <c r="Z459" s="22"/>
      <c r="AA459" s="22"/>
      <c r="AB459" s="22"/>
      <c r="AC459" s="22"/>
      <c r="AD459" s="22"/>
      <c r="AE459" s="22"/>
      <c r="AF459" s="22"/>
      <c r="AG459" s="22"/>
      <c r="AH459" s="22"/>
      <c r="AI459" s="22"/>
      <c r="AJ459" s="22"/>
      <c r="AK459" s="22"/>
      <c r="AL459" s="22"/>
      <c r="AM459" s="22"/>
    </row>
    <row r="460">
      <c r="B460" s="28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22"/>
      <c r="Y460" s="22"/>
      <c r="Z460" s="22"/>
      <c r="AA460" s="22"/>
      <c r="AB460" s="22"/>
      <c r="AC460" s="22"/>
      <c r="AD460" s="22"/>
      <c r="AE460" s="22"/>
      <c r="AF460" s="22"/>
      <c r="AG460" s="22"/>
      <c r="AH460" s="22"/>
      <c r="AI460" s="22"/>
      <c r="AJ460" s="22"/>
      <c r="AK460" s="22"/>
      <c r="AL460" s="22"/>
      <c r="AM460" s="22"/>
    </row>
    <row r="461">
      <c r="B461" s="28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22"/>
      <c r="Y461" s="22"/>
      <c r="Z461" s="22"/>
      <c r="AA461" s="22"/>
      <c r="AB461" s="22"/>
      <c r="AC461" s="22"/>
      <c r="AD461" s="22"/>
      <c r="AE461" s="22"/>
      <c r="AF461" s="22"/>
      <c r="AG461" s="22"/>
      <c r="AH461" s="22"/>
      <c r="AI461" s="22"/>
      <c r="AJ461" s="22"/>
      <c r="AK461" s="22"/>
      <c r="AL461" s="22"/>
      <c r="AM461" s="22"/>
    </row>
    <row r="462">
      <c r="B462" s="28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22"/>
      <c r="Y462" s="22"/>
      <c r="Z462" s="22"/>
      <c r="AA462" s="22"/>
      <c r="AB462" s="22"/>
      <c r="AC462" s="22"/>
      <c r="AD462" s="22"/>
      <c r="AE462" s="22"/>
      <c r="AF462" s="22"/>
      <c r="AG462" s="22"/>
      <c r="AH462" s="22"/>
      <c r="AI462" s="22"/>
      <c r="AJ462" s="22"/>
      <c r="AK462" s="22"/>
      <c r="AL462" s="22"/>
      <c r="AM462" s="22"/>
    </row>
    <row r="463">
      <c r="B463" s="28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22"/>
      <c r="Y463" s="22"/>
      <c r="Z463" s="22"/>
      <c r="AA463" s="22"/>
      <c r="AB463" s="22"/>
      <c r="AC463" s="22"/>
      <c r="AD463" s="22"/>
      <c r="AE463" s="22"/>
      <c r="AF463" s="22"/>
      <c r="AG463" s="22"/>
      <c r="AH463" s="22"/>
      <c r="AI463" s="22"/>
      <c r="AJ463" s="22"/>
      <c r="AK463" s="22"/>
      <c r="AL463" s="22"/>
      <c r="AM463" s="22"/>
    </row>
    <row r="464">
      <c r="B464" s="28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22"/>
      <c r="Y464" s="22"/>
      <c r="Z464" s="22"/>
      <c r="AA464" s="22"/>
      <c r="AB464" s="22"/>
      <c r="AC464" s="22"/>
      <c r="AD464" s="22"/>
      <c r="AE464" s="22"/>
      <c r="AF464" s="22"/>
      <c r="AG464" s="22"/>
      <c r="AH464" s="22"/>
      <c r="AI464" s="22"/>
      <c r="AJ464" s="22"/>
      <c r="AK464" s="22"/>
      <c r="AL464" s="22"/>
      <c r="AM464" s="22"/>
    </row>
    <row r="465">
      <c r="B465" s="28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22"/>
      <c r="Y465" s="22"/>
      <c r="Z465" s="22"/>
      <c r="AA465" s="22"/>
      <c r="AB465" s="22"/>
      <c r="AC465" s="22"/>
      <c r="AD465" s="22"/>
      <c r="AE465" s="22"/>
      <c r="AF465" s="22"/>
      <c r="AG465" s="22"/>
      <c r="AH465" s="22"/>
      <c r="AI465" s="22"/>
      <c r="AJ465" s="22"/>
      <c r="AK465" s="22"/>
      <c r="AL465" s="22"/>
      <c r="AM465" s="22"/>
    </row>
    <row r="466">
      <c r="B466" s="28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22"/>
      <c r="Y466" s="22"/>
      <c r="Z466" s="22"/>
      <c r="AA466" s="22"/>
      <c r="AB466" s="22"/>
      <c r="AC466" s="22"/>
      <c r="AD466" s="22"/>
      <c r="AE466" s="22"/>
      <c r="AF466" s="22"/>
      <c r="AG466" s="22"/>
      <c r="AH466" s="22"/>
      <c r="AI466" s="22"/>
      <c r="AJ466" s="22"/>
      <c r="AK466" s="22"/>
      <c r="AL466" s="22"/>
      <c r="AM466" s="22"/>
    </row>
    <row r="467">
      <c r="B467" s="28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22"/>
      <c r="Y467" s="22"/>
      <c r="Z467" s="22"/>
      <c r="AA467" s="22"/>
      <c r="AB467" s="22"/>
      <c r="AC467" s="22"/>
      <c r="AD467" s="22"/>
      <c r="AE467" s="22"/>
      <c r="AF467" s="22"/>
      <c r="AG467" s="22"/>
      <c r="AH467" s="22"/>
      <c r="AI467" s="22"/>
      <c r="AJ467" s="22"/>
      <c r="AK467" s="22"/>
      <c r="AL467" s="22"/>
      <c r="AM467" s="22"/>
    </row>
    <row r="468">
      <c r="B468" s="28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22"/>
      <c r="Y468" s="22"/>
      <c r="Z468" s="22"/>
      <c r="AA468" s="22"/>
      <c r="AB468" s="22"/>
      <c r="AC468" s="22"/>
      <c r="AD468" s="22"/>
      <c r="AE468" s="22"/>
      <c r="AF468" s="22"/>
      <c r="AG468" s="22"/>
      <c r="AH468" s="22"/>
      <c r="AI468" s="22"/>
      <c r="AJ468" s="22"/>
      <c r="AK468" s="22"/>
      <c r="AL468" s="22"/>
      <c r="AM468" s="22"/>
    </row>
    <row r="469">
      <c r="B469" s="28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22"/>
      <c r="Y469" s="22"/>
      <c r="Z469" s="22"/>
      <c r="AA469" s="22"/>
      <c r="AB469" s="22"/>
      <c r="AC469" s="22"/>
      <c r="AD469" s="22"/>
      <c r="AE469" s="22"/>
      <c r="AF469" s="22"/>
      <c r="AG469" s="22"/>
      <c r="AH469" s="22"/>
      <c r="AI469" s="22"/>
      <c r="AJ469" s="22"/>
      <c r="AK469" s="22"/>
      <c r="AL469" s="22"/>
      <c r="AM469" s="22"/>
    </row>
    <row r="470">
      <c r="B470" s="28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22"/>
      <c r="Y470" s="22"/>
      <c r="Z470" s="22"/>
      <c r="AA470" s="22"/>
      <c r="AB470" s="22"/>
      <c r="AC470" s="22"/>
      <c r="AD470" s="22"/>
      <c r="AE470" s="22"/>
      <c r="AF470" s="22"/>
      <c r="AG470" s="22"/>
      <c r="AH470" s="22"/>
      <c r="AI470" s="22"/>
      <c r="AJ470" s="22"/>
      <c r="AK470" s="22"/>
      <c r="AL470" s="22"/>
      <c r="AM470" s="22"/>
    </row>
    <row r="471">
      <c r="B471" s="28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22"/>
      <c r="Y471" s="22"/>
      <c r="Z471" s="22"/>
      <c r="AA471" s="22"/>
      <c r="AB471" s="22"/>
      <c r="AC471" s="22"/>
      <c r="AD471" s="22"/>
      <c r="AE471" s="22"/>
      <c r="AF471" s="22"/>
      <c r="AG471" s="22"/>
      <c r="AH471" s="22"/>
      <c r="AI471" s="22"/>
      <c r="AJ471" s="22"/>
      <c r="AK471" s="22"/>
      <c r="AL471" s="22"/>
      <c r="AM471" s="22"/>
    </row>
    <row r="472">
      <c r="B472" s="28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22"/>
      <c r="Y472" s="22"/>
      <c r="Z472" s="22"/>
      <c r="AA472" s="22"/>
      <c r="AB472" s="22"/>
      <c r="AC472" s="22"/>
      <c r="AD472" s="22"/>
      <c r="AE472" s="22"/>
      <c r="AF472" s="22"/>
      <c r="AG472" s="22"/>
      <c r="AH472" s="22"/>
      <c r="AI472" s="22"/>
      <c r="AJ472" s="22"/>
      <c r="AK472" s="22"/>
      <c r="AL472" s="22"/>
      <c r="AM472" s="22"/>
    </row>
    <row r="473">
      <c r="B473" s="28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/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/>
    </row>
    <row r="474">
      <c r="B474" s="28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22"/>
      <c r="Y474" s="22"/>
      <c r="Z474" s="22"/>
      <c r="AA474" s="22"/>
      <c r="AB474" s="22"/>
      <c r="AC474" s="22"/>
      <c r="AD474" s="22"/>
      <c r="AE474" s="22"/>
      <c r="AF474" s="22"/>
      <c r="AG474" s="22"/>
      <c r="AH474" s="22"/>
      <c r="AI474" s="22"/>
      <c r="AJ474" s="22"/>
      <c r="AK474" s="22"/>
      <c r="AL474" s="22"/>
      <c r="AM474" s="22"/>
    </row>
    <row r="475">
      <c r="B475" s="28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22"/>
      <c r="Y475" s="22"/>
      <c r="Z475" s="22"/>
      <c r="AA475" s="22"/>
      <c r="AB475" s="22"/>
      <c r="AC475" s="22"/>
      <c r="AD475" s="22"/>
      <c r="AE475" s="22"/>
      <c r="AF475" s="22"/>
      <c r="AG475" s="22"/>
      <c r="AH475" s="22"/>
      <c r="AI475" s="22"/>
      <c r="AJ475" s="22"/>
      <c r="AK475" s="22"/>
      <c r="AL475" s="22"/>
      <c r="AM475" s="22"/>
    </row>
    <row r="476">
      <c r="B476" s="28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22"/>
      <c r="Y476" s="22"/>
      <c r="Z476" s="22"/>
      <c r="AA476" s="22"/>
      <c r="AB476" s="22"/>
      <c r="AC476" s="22"/>
      <c r="AD476" s="22"/>
      <c r="AE476" s="22"/>
      <c r="AF476" s="22"/>
      <c r="AG476" s="22"/>
      <c r="AH476" s="22"/>
      <c r="AI476" s="22"/>
      <c r="AJ476" s="22"/>
      <c r="AK476" s="22"/>
      <c r="AL476" s="22"/>
      <c r="AM476" s="22"/>
    </row>
    <row r="477">
      <c r="B477" s="28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22"/>
      <c r="Y477" s="22"/>
      <c r="Z477" s="22"/>
      <c r="AA477" s="22"/>
      <c r="AB477" s="22"/>
      <c r="AC477" s="22"/>
      <c r="AD477" s="22"/>
      <c r="AE477" s="22"/>
      <c r="AF477" s="22"/>
      <c r="AG477" s="22"/>
      <c r="AH477" s="22"/>
      <c r="AI477" s="22"/>
      <c r="AJ477" s="22"/>
      <c r="AK477" s="22"/>
      <c r="AL477" s="22"/>
      <c r="AM477" s="22"/>
    </row>
    <row r="478">
      <c r="B478" s="28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22"/>
      <c r="Y478" s="22"/>
      <c r="Z478" s="22"/>
      <c r="AA478" s="22"/>
      <c r="AB478" s="22"/>
      <c r="AC478" s="22"/>
      <c r="AD478" s="22"/>
      <c r="AE478" s="22"/>
      <c r="AF478" s="22"/>
      <c r="AG478" s="22"/>
      <c r="AH478" s="22"/>
      <c r="AI478" s="22"/>
      <c r="AJ478" s="22"/>
      <c r="AK478" s="22"/>
      <c r="AL478" s="22"/>
      <c r="AM478" s="22"/>
    </row>
    <row r="479">
      <c r="B479" s="28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22"/>
      <c r="Y479" s="22"/>
      <c r="Z479" s="22"/>
      <c r="AA479" s="22"/>
      <c r="AB479" s="22"/>
      <c r="AC479" s="22"/>
      <c r="AD479" s="22"/>
      <c r="AE479" s="22"/>
      <c r="AF479" s="22"/>
      <c r="AG479" s="22"/>
      <c r="AH479" s="22"/>
      <c r="AI479" s="22"/>
      <c r="AJ479" s="22"/>
      <c r="AK479" s="22"/>
      <c r="AL479" s="22"/>
      <c r="AM479" s="22"/>
    </row>
    <row r="480">
      <c r="B480" s="28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22"/>
      <c r="Y480" s="22"/>
      <c r="Z480" s="22"/>
      <c r="AA480" s="22"/>
      <c r="AB480" s="22"/>
      <c r="AC480" s="22"/>
      <c r="AD480" s="22"/>
      <c r="AE480" s="22"/>
      <c r="AF480" s="22"/>
      <c r="AG480" s="22"/>
      <c r="AH480" s="22"/>
      <c r="AI480" s="22"/>
      <c r="AJ480" s="22"/>
      <c r="AK480" s="22"/>
      <c r="AL480" s="22"/>
      <c r="AM480" s="22"/>
    </row>
    <row r="481">
      <c r="B481" s="28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22"/>
      <c r="Y481" s="22"/>
      <c r="Z481" s="22"/>
      <c r="AA481" s="22"/>
      <c r="AB481" s="22"/>
      <c r="AC481" s="22"/>
      <c r="AD481" s="22"/>
      <c r="AE481" s="22"/>
      <c r="AF481" s="22"/>
      <c r="AG481" s="22"/>
      <c r="AH481" s="22"/>
      <c r="AI481" s="22"/>
      <c r="AJ481" s="22"/>
      <c r="AK481" s="22"/>
      <c r="AL481" s="22"/>
      <c r="AM481" s="22"/>
    </row>
    <row r="482">
      <c r="B482" s="28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22"/>
      <c r="Y482" s="22"/>
      <c r="Z482" s="22"/>
      <c r="AA482" s="22"/>
      <c r="AB482" s="22"/>
      <c r="AC482" s="22"/>
      <c r="AD482" s="22"/>
      <c r="AE482" s="22"/>
      <c r="AF482" s="22"/>
      <c r="AG482" s="22"/>
      <c r="AH482" s="22"/>
      <c r="AI482" s="22"/>
      <c r="AJ482" s="22"/>
      <c r="AK482" s="22"/>
      <c r="AL482" s="22"/>
      <c r="AM482" s="22"/>
    </row>
    <row r="483">
      <c r="B483" s="28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22"/>
      <c r="Y483" s="22"/>
      <c r="Z483" s="22"/>
      <c r="AA483" s="22"/>
      <c r="AB483" s="22"/>
      <c r="AC483" s="22"/>
      <c r="AD483" s="22"/>
      <c r="AE483" s="22"/>
      <c r="AF483" s="22"/>
      <c r="AG483" s="22"/>
      <c r="AH483" s="22"/>
      <c r="AI483" s="22"/>
      <c r="AJ483" s="22"/>
      <c r="AK483" s="22"/>
      <c r="AL483" s="22"/>
      <c r="AM483" s="22"/>
    </row>
    <row r="484">
      <c r="B484" s="28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22"/>
      <c r="Y484" s="22"/>
      <c r="Z484" s="22"/>
      <c r="AA484" s="22"/>
      <c r="AB484" s="22"/>
      <c r="AC484" s="22"/>
      <c r="AD484" s="22"/>
      <c r="AE484" s="22"/>
      <c r="AF484" s="22"/>
      <c r="AG484" s="22"/>
      <c r="AH484" s="22"/>
      <c r="AI484" s="22"/>
      <c r="AJ484" s="22"/>
      <c r="AK484" s="22"/>
      <c r="AL484" s="22"/>
      <c r="AM484" s="22"/>
    </row>
    <row r="485">
      <c r="B485" s="28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22"/>
      <c r="Y485" s="22"/>
      <c r="Z485" s="22"/>
      <c r="AA485" s="22"/>
      <c r="AB485" s="22"/>
      <c r="AC485" s="22"/>
      <c r="AD485" s="22"/>
      <c r="AE485" s="22"/>
      <c r="AF485" s="22"/>
      <c r="AG485" s="22"/>
      <c r="AH485" s="22"/>
      <c r="AI485" s="22"/>
      <c r="AJ485" s="22"/>
      <c r="AK485" s="22"/>
      <c r="AL485" s="22"/>
      <c r="AM485" s="22"/>
    </row>
    <row r="486">
      <c r="B486" s="28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22"/>
      <c r="Y486" s="22"/>
      <c r="Z486" s="22"/>
      <c r="AA486" s="22"/>
      <c r="AB486" s="22"/>
      <c r="AC486" s="22"/>
      <c r="AD486" s="22"/>
      <c r="AE486" s="22"/>
      <c r="AF486" s="22"/>
      <c r="AG486" s="22"/>
      <c r="AH486" s="22"/>
      <c r="AI486" s="22"/>
      <c r="AJ486" s="22"/>
      <c r="AK486" s="22"/>
      <c r="AL486" s="22"/>
      <c r="AM486" s="22"/>
    </row>
    <row r="487">
      <c r="B487" s="28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22"/>
      <c r="Y487" s="22"/>
      <c r="Z487" s="22"/>
      <c r="AA487" s="22"/>
      <c r="AB487" s="22"/>
      <c r="AC487" s="22"/>
      <c r="AD487" s="22"/>
      <c r="AE487" s="22"/>
      <c r="AF487" s="22"/>
      <c r="AG487" s="22"/>
      <c r="AH487" s="22"/>
      <c r="AI487" s="22"/>
      <c r="AJ487" s="22"/>
      <c r="AK487" s="22"/>
      <c r="AL487" s="22"/>
      <c r="AM487" s="22"/>
    </row>
    <row r="488">
      <c r="B488" s="28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22"/>
      <c r="Y488" s="22"/>
      <c r="Z488" s="22"/>
      <c r="AA488" s="22"/>
      <c r="AB488" s="22"/>
      <c r="AC488" s="22"/>
      <c r="AD488" s="22"/>
      <c r="AE488" s="22"/>
      <c r="AF488" s="22"/>
      <c r="AG488" s="22"/>
      <c r="AH488" s="22"/>
      <c r="AI488" s="22"/>
      <c r="AJ488" s="22"/>
      <c r="AK488" s="22"/>
      <c r="AL488" s="22"/>
      <c r="AM488" s="22"/>
    </row>
    <row r="489">
      <c r="B489" s="28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22"/>
      <c r="Y489" s="22"/>
      <c r="Z489" s="22"/>
      <c r="AA489" s="22"/>
      <c r="AB489" s="22"/>
      <c r="AC489" s="22"/>
      <c r="AD489" s="22"/>
      <c r="AE489" s="22"/>
      <c r="AF489" s="22"/>
      <c r="AG489" s="22"/>
      <c r="AH489" s="22"/>
      <c r="AI489" s="22"/>
      <c r="AJ489" s="22"/>
      <c r="AK489" s="22"/>
      <c r="AL489" s="22"/>
      <c r="AM489" s="22"/>
    </row>
    <row r="490">
      <c r="B490" s="28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22"/>
      <c r="Y490" s="22"/>
      <c r="Z490" s="22"/>
      <c r="AA490" s="22"/>
      <c r="AB490" s="22"/>
      <c r="AC490" s="22"/>
      <c r="AD490" s="22"/>
      <c r="AE490" s="22"/>
      <c r="AF490" s="22"/>
      <c r="AG490" s="22"/>
      <c r="AH490" s="22"/>
      <c r="AI490" s="22"/>
      <c r="AJ490" s="22"/>
      <c r="AK490" s="22"/>
      <c r="AL490" s="22"/>
      <c r="AM490" s="22"/>
    </row>
    <row r="491">
      <c r="B491" s="28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22"/>
      <c r="Y491" s="22"/>
      <c r="Z491" s="22"/>
      <c r="AA491" s="22"/>
      <c r="AB491" s="22"/>
      <c r="AC491" s="22"/>
      <c r="AD491" s="22"/>
      <c r="AE491" s="22"/>
      <c r="AF491" s="22"/>
      <c r="AG491" s="22"/>
      <c r="AH491" s="22"/>
      <c r="AI491" s="22"/>
      <c r="AJ491" s="22"/>
      <c r="AK491" s="22"/>
      <c r="AL491" s="22"/>
      <c r="AM491" s="22"/>
    </row>
    <row r="492">
      <c r="B492" s="28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22"/>
      <c r="Y492" s="22"/>
      <c r="Z492" s="22"/>
      <c r="AA492" s="22"/>
      <c r="AB492" s="22"/>
      <c r="AC492" s="22"/>
      <c r="AD492" s="22"/>
      <c r="AE492" s="22"/>
      <c r="AF492" s="22"/>
      <c r="AG492" s="22"/>
      <c r="AH492" s="22"/>
      <c r="AI492" s="22"/>
      <c r="AJ492" s="22"/>
      <c r="AK492" s="22"/>
      <c r="AL492" s="22"/>
      <c r="AM492" s="22"/>
    </row>
    <row r="493">
      <c r="B493" s="28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22"/>
      <c r="Y493" s="22"/>
      <c r="Z493" s="22"/>
      <c r="AA493" s="22"/>
      <c r="AB493" s="22"/>
      <c r="AC493" s="22"/>
      <c r="AD493" s="22"/>
      <c r="AE493" s="22"/>
      <c r="AF493" s="22"/>
      <c r="AG493" s="22"/>
      <c r="AH493" s="22"/>
      <c r="AI493" s="22"/>
      <c r="AJ493" s="22"/>
      <c r="AK493" s="22"/>
      <c r="AL493" s="22"/>
      <c r="AM493" s="22"/>
    </row>
    <row r="494">
      <c r="B494" s="28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22"/>
      <c r="Y494" s="22"/>
      <c r="Z494" s="22"/>
      <c r="AA494" s="22"/>
      <c r="AB494" s="22"/>
      <c r="AC494" s="22"/>
      <c r="AD494" s="22"/>
      <c r="AE494" s="22"/>
      <c r="AF494" s="22"/>
      <c r="AG494" s="22"/>
      <c r="AH494" s="22"/>
      <c r="AI494" s="22"/>
      <c r="AJ494" s="22"/>
      <c r="AK494" s="22"/>
      <c r="AL494" s="22"/>
      <c r="AM494" s="22"/>
    </row>
    <row r="495">
      <c r="B495" s="28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22"/>
      <c r="Y495" s="22"/>
      <c r="Z495" s="22"/>
      <c r="AA495" s="22"/>
      <c r="AB495" s="22"/>
      <c r="AC495" s="22"/>
      <c r="AD495" s="22"/>
      <c r="AE495" s="22"/>
      <c r="AF495" s="22"/>
      <c r="AG495" s="22"/>
      <c r="AH495" s="22"/>
      <c r="AI495" s="22"/>
      <c r="AJ495" s="22"/>
      <c r="AK495" s="22"/>
      <c r="AL495" s="22"/>
      <c r="AM495" s="22"/>
    </row>
    <row r="496">
      <c r="B496" s="28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22"/>
      <c r="Y496" s="22"/>
      <c r="Z496" s="22"/>
      <c r="AA496" s="22"/>
      <c r="AB496" s="22"/>
      <c r="AC496" s="22"/>
      <c r="AD496" s="22"/>
      <c r="AE496" s="22"/>
      <c r="AF496" s="22"/>
      <c r="AG496" s="22"/>
      <c r="AH496" s="22"/>
      <c r="AI496" s="22"/>
      <c r="AJ496" s="22"/>
      <c r="AK496" s="22"/>
      <c r="AL496" s="22"/>
      <c r="AM496" s="22"/>
    </row>
    <row r="497">
      <c r="B497" s="28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22"/>
      <c r="Y497" s="22"/>
      <c r="Z497" s="22"/>
      <c r="AA497" s="22"/>
      <c r="AB497" s="22"/>
      <c r="AC497" s="22"/>
      <c r="AD497" s="22"/>
      <c r="AE497" s="22"/>
      <c r="AF497" s="22"/>
      <c r="AG497" s="22"/>
      <c r="AH497" s="22"/>
      <c r="AI497" s="22"/>
      <c r="AJ497" s="22"/>
      <c r="AK497" s="22"/>
      <c r="AL497" s="22"/>
      <c r="AM497" s="22"/>
    </row>
    <row r="498">
      <c r="B498" s="28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22"/>
      <c r="Y498" s="22"/>
      <c r="Z498" s="22"/>
      <c r="AA498" s="22"/>
      <c r="AB498" s="22"/>
      <c r="AC498" s="22"/>
      <c r="AD498" s="22"/>
      <c r="AE498" s="22"/>
      <c r="AF498" s="22"/>
      <c r="AG498" s="22"/>
      <c r="AH498" s="22"/>
      <c r="AI498" s="22"/>
      <c r="AJ498" s="22"/>
      <c r="AK498" s="22"/>
      <c r="AL498" s="22"/>
      <c r="AM498" s="22"/>
    </row>
    <row r="499">
      <c r="B499" s="28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22"/>
      <c r="Y499" s="22"/>
      <c r="Z499" s="22"/>
      <c r="AA499" s="22"/>
      <c r="AB499" s="22"/>
      <c r="AC499" s="22"/>
      <c r="AD499" s="22"/>
      <c r="AE499" s="22"/>
      <c r="AF499" s="22"/>
      <c r="AG499" s="22"/>
      <c r="AH499" s="22"/>
      <c r="AI499" s="22"/>
      <c r="AJ499" s="22"/>
      <c r="AK499" s="22"/>
      <c r="AL499" s="22"/>
      <c r="AM499" s="22"/>
    </row>
    <row r="500">
      <c r="B500" s="28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22"/>
      <c r="Y500" s="22"/>
      <c r="Z500" s="22"/>
      <c r="AA500" s="22"/>
      <c r="AB500" s="22"/>
      <c r="AC500" s="22"/>
      <c r="AD500" s="22"/>
      <c r="AE500" s="22"/>
      <c r="AF500" s="22"/>
      <c r="AG500" s="22"/>
      <c r="AH500" s="22"/>
      <c r="AI500" s="22"/>
      <c r="AJ500" s="22"/>
      <c r="AK500" s="22"/>
      <c r="AL500" s="22"/>
      <c r="AM500" s="22"/>
    </row>
    <row r="501">
      <c r="B501" s="28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22"/>
      <c r="Y501" s="22"/>
      <c r="Z501" s="22"/>
      <c r="AA501" s="22"/>
      <c r="AB501" s="22"/>
      <c r="AC501" s="22"/>
      <c r="AD501" s="22"/>
      <c r="AE501" s="22"/>
      <c r="AF501" s="22"/>
      <c r="AG501" s="22"/>
      <c r="AH501" s="22"/>
      <c r="AI501" s="22"/>
      <c r="AJ501" s="22"/>
      <c r="AK501" s="22"/>
      <c r="AL501" s="22"/>
      <c r="AM501" s="22"/>
    </row>
    <row r="502">
      <c r="B502" s="28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22"/>
      <c r="Y502" s="22"/>
      <c r="Z502" s="22"/>
      <c r="AA502" s="22"/>
      <c r="AB502" s="22"/>
      <c r="AC502" s="22"/>
      <c r="AD502" s="22"/>
      <c r="AE502" s="22"/>
      <c r="AF502" s="22"/>
      <c r="AG502" s="22"/>
      <c r="AH502" s="22"/>
      <c r="AI502" s="22"/>
      <c r="AJ502" s="22"/>
      <c r="AK502" s="22"/>
      <c r="AL502" s="22"/>
      <c r="AM502" s="22"/>
    </row>
    <row r="503">
      <c r="B503" s="28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22"/>
      <c r="Y503" s="22"/>
      <c r="Z503" s="22"/>
      <c r="AA503" s="22"/>
      <c r="AB503" s="22"/>
      <c r="AC503" s="22"/>
      <c r="AD503" s="22"/>
      <c r="AE503" s="22"/>
      <c r="AF503" s="22"/>
      <c r="AG503" s="22"/>
      <c r="AH503" s="22"/>
      <c r="AI503" s="22"/>
      <c r="AJ503" s="22"/>
      <c r="AK503" s="22"/>
      <c r="AL503" s="22"/>
      <c r="AM503" s="22"/>
    </row>
    <row r="504">
      <c r="B504" s="28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22"/>
      <c r="Y504" s="22"/>
      <c r="Z504" s="22"/>
      <c r="AA504" s="22"/>
      <c r="AB504" s="22"/>
      <c r="AC504" s="22"/>
      <c r="AD504" s="22"/>
      <c r="AE504" s="22"/>
      <c r="AF504" s="22"/>
      <c r="AG504" s="22"/>
      <c r="AH504" s="22"/>
      <c r="AI504" s="22"/>
      <c r="AJ504" s="22"/>
      <c r="AK504" s="22"/>
      <c r="AL504" s="22"/>
      <c r="AM504" s="22"/>
    </row>
    <row r="505">
      <c r="B505" s="28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22"/>
      <c r="Y505" s="22"/>
      <c r="Z505" s="22"/>
      <c r="AA505" s="22"/>
      <c r="AB505" s="22"/>
      <c r="AC505" s="22"/>
      <c r="AD505" s="22"/>
      <c r="AE505" s="22"/>
      <c r="AF505" s="22"/>
      <c r="AG505" s="22"/>
      <c r="AH505" s="22"/>
      <c r="AI505" s="22"/>
      <c r="AJ505" s="22"/>
      <c r="AK505" s="22"/>
      <c r="AL505" s="22"/>
      <c r="AM505" s="22"/>
    </row>
    <row r="506">
      <c r="B506" s="28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22"/>
      <c r="Y506" s="22"/>
      <c r="Z506" s="22"/>
      <c r="AA506" s="22"/>
      <c r="AB506" s="22"/>
      <c r="AC506" s="22"/>
      <c r="AD506" s="22"/>
      <c r="AE506" s="22"/>
      <c r="AF506" s="22"/>
      <c r="AG506" s="22"/>
      <c r="AH506" s="22"/>
      <c r="AI506" s="22"/>
      <c r="AJ506" s="22"/>
      <c r="AK506" s="22"/>
      <c r="AL506" s="22"/>
      <c r="AM506" s="22"/>
    </row>
    <row r="507">
      <c r="B507" s="28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22"/>
      <c r="Y507" s="22"/>
      <c r="Z507" s="22"/>
      <c r="AA507" s="22"/>
      <c r="AB507" s="22"/>
      <c r="AC507" s="22"/>
      <c r="AD507" s="22"/>
      <c r="AE507" s="22"/>
      <c r="AF507" s="22"/>
      <c r="AG507" s="22"/>
      <c r="AH507" s="22"/>
      <c r="AI507" s="22"/>
      <c r="AJ507" s="22"/>
      <c r="AK507" s="22"/>
      <c r="AL507" s="22"/>
      <c r="AM507" s="22"/>
    </row>
    <row r="508">
      <c r="B508" s="28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22"/>
      <c r="Y508" s="22"/>
      <c r="Z508" s="22"/>
      <c r="AA508" s="22"/>
      <c r="AB508" s="22"/>
      <c r="AC508" s="22"/>
      <c r="AD508" s="22"/>
      <c r="AE508" s="22"/>
      <c r="AF508" s="22"/>
      <c r="AG508" s="22"/>
      <c r="AH508" s="22"/>
      <c r="AI508" s="22"/>
      <c r="AJ508" s="22"/>
      <c r="AK508" s="22"/>
      <c r="AL508" s="22"/>
      <c r="AM508" s="22"/>
    </row>
    <row r="509">
      <c r="B509" s="28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22"/>
      <c r="Y509" s="22"/>
      <c r="Z509" s="22"/>
      <c r="AA509" s="22"/>
      <c r="AB509" s="22"/>
      <c r="AC509" s="22"/>
      <c r="AD509" s="22"/>
      <c r="AE509" s="22"/>
      <c r="AF509" s="22"/>
      <c r="AG509" s="22"/>
      <c r="AH509" s="22"/>
      <c r="AI509" s="22"/>
      <c r="AJ509" s="22"/>
      <c r="AK509" s="22"/>
      <c r="AL509" s="22"/>
      <c r="AM509" s="22"/>
    </row>
    <row r="510">
      <c r="B510" s="28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22"/>
      <c r="Y510" s="22"/>
      <c r="Z510" s="22"/>
      <c r="AA510" s="22"/>
      <c r="AB510" s="22"/>
      <c r="AC510" s="22"/>
      <c r="AD510" s="22"/>
      <c r="AE510" s="22"/>
      <c r="AF510" s="22"/>
      <c r="AG510" s="22"/>
      <c r="AH510" s="22"/>
      <c r="AI510" s="22"/>
      <c r="AJ510" s="22"/>
      <c r="AK510" s="22"/>
      <c r="AL510" s="22"/>
      <c r="AM510" s="22"/>
    </row>
    <row r="511">
      <c r="B511" s="28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22"/>
      <c r="Y511" s="22"/>
      <c r="Z511" s="22"/>
      <c r="AA511" s="22"/>
      <c r="AB511" s="22"/>
      <c r="AC511" s="22"/>
      <c r="AD511" s="22"/>
      <c r="AE511" s="22"/>
      <c r="AF511" s="22"/>
      <c r="AG511" s="22"/>
      <c r="AH511" s="22"/>
      <c r="AI511" s="22"/>
      <c r="AJ511" s="22"/>
      <c r="AK511" s="22"/>
      <c r="AL511" s="22"/>
      <c r="AM511" s="22"/>
    </row>
    <row r="512">
      <c r="B512" s="28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22"/>
      <c r="Y512" s="22"/>
      <c r="Z512" s="22"/>
      <c r="AA512" s="22"/>
      <c r="AB512" s="22"/>
      <c r="AC512" s="22"/>
      <c r="AD512" s="22"/>
      <c r="AE512" s="22"/>
      <c r="AF512" s="22"/>
      <c r="AG512" s="22"/>
      <c r="AH512" s="22"/>
      <c r="AI512" s="22"/>
      <c r="AJ512" s="22"/>
      <c r="AK512" s="22"/>
      <c r="AL512" s="22"/>
      <c r="AM512" s="22"/>
    </row>
    <row r="513">
      <c r="B513" s="28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22"/>
      <c r="Y513" s="22"/>
      <c r="Z513" s="22"/>
      <c r="AA513" s="22"/>
      <c r="AB513" s="22"/>
      <c r="AC513" s="22"/>
      <c r="AD513" s="22"/>
      <c r="AE513" s="22"/>
      <c r="AF513" s="22"/>
      <c r="AG513" s="22"/>
      <c r="AH513" s="22"/>
      <c r="AI513" s="22"/>
      <c r="AJ513" s="22"/>
      <c r="AK513" s="22"/>
      <c r="AL513" s="22"/>
      <c r="AM513" s="22"/>
    </row>
    <row r="514">
      <c r="B514" s="28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22"/>
      <c r="Y514" s="22"/>
      <c r="Z514" s="22"/>
      <c r="AA514" s="22"/>
      <c r="AB514" s="22"/>
      <c r="AC514" s="22"/>
      <c r="AD514" s="22"/>
      <c r="AE514" s="22"/>
      <c r="AF514" s="22"/>
      <c r="AG514" s="22"/>
      <c r="AH514" s="22"/>
      <c r="AI514" s="22"/>
      <c r="AJ514" s="22"/>
      <c r="AK514" s="22"/>
      <c r="AL514" s="22"/>
      <c r="AM514" s="22"/>
    </row>
    <row r="515">
      <c r="B515" s="28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22"/>
      <c r="Y515" s="22"/>
      <c r="Z515" s="22"/>
      <c r="AA515" s="22"/>
      <c r="AB515" s="22"/>
      <c r="AC515" s="22"/>
      <c r="AD515" s="22"/>
      <c r="AE515" s="22"/>
      <c r="AF515" s="22"/>
      <c r="AG515" s="22"/>
      <c r="AH515" s="22"/>
      <c r="AI515" s="22"/>
      <c r="AJ515" s="22"/>
      <c r="AK515" s="22"/>
      <c r="AL515" s="22"/>
      <c r="AM515" s="22"/>
    </row>
    <row r="516">
      <c r="B516" s="28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22"/>
      <c r="Y516" s="22"/>
      <c r="Z516" s="22"/>
      <c r="AA516" s="22"/>
      <c r="AB516" s="22"/>
      <c r="AC516" s="22"/>
      <c r="AD516" s="22"/>
      <c r="AE516" s="22"/>
      <c r="AF516" s="22"/>
      <c r="AG516" s="22"/>
      <c r="AH516" s="22"/>
      <c r="AI516" s="22"/>
      <c r="AJ516" s="22"/>
      <c r="AK516" s="22"/>
      <c r="AL516" s="22"/>
      <c r="AM516" s="22"/>
    </row>
    <row r="517">
      <c r="B517" s="28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22"/>
      <c r="Y517" s="22"/>
      <c r="Z517" s="22"/>
      <c r="AA517" s="22"/>
      <c r="AB517" s="22"/>
      <c r="AC517" s="22"/>
      <c r="AD517" s="22"/>
      <c r="AE517" s="22"/>
      <c r="AF517" s="22"/>
      <c r="AG517" s="22"/>
      <c r="AH517" s="22"/>
      <c r="AI517" s="22"/>
      <c r="AJ517" s="22"/>
      <c r="AK517" s="22"/>
      <c r="AL517" s="22"/>
      <c r="AM517" s="22"/>
    </row>
    <row r="518">
      <c r="B518" s="28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22"/>
      <c r="Y518" s="22"/>
      <c r="Z518" s="22"/>
      <c r="AA518" s="22"/>
      <c r="AB518" s="22"/>
      <c r="AC518" s="22"/>
      <c r="AD518" s="22"/>
      <c r="AE518" s="22"/>
      <c r="AF518" s="22"/>
      <c r="AG518" s="22"/>
      <c r="AH518" s="22"/>
      <c r="AI518" s="22"/>
      <c r="AJ518" s="22"/>
      <c r="AK518" s="22"/>
      <c r="AL518" s="22"/>
      <c r="AM518" s="22"/>
    </row>
    <row r="519">
      <c r="B519" s="28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22"/>
      <c r="Y519" s="22"/>
      <c r="Z519" s="22"/>
      <c r="AA519" s="22"/>
      <c r="AB519" s="22"/>
      <c r="AC519" s="22"/>
      <c r="AD519" s="22"/>
      <c r="AE519" s="22"/>
      <c r="AF519" s="22"/>
      <c r="AG519" s="22"/>
      <c r="AH519" s="22"/>
      <c r="AI519" s="22"/>
      <c r="AJ519" s="22"/>
      <c r="AK519" s="22"/>
      <c r="AL519" s="22"/>
      <c r="AM519" s="22"/>
    </row>
    <row r="520">
      <c r="B520" s="28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22"/>
      <c r="Y520" s="22"/>
      <c r="Z520" s="22"/>
      <c r="AA520" s="22"/>
      <c r="AB520" s="22"/>
      <c r="AC520" s="22"/>
      <c r="AD520" s="22"/>
      <c r="AE520" s="22"/>
      <c r="AF520" s="22"/>
      <c r="AG520" s="22"/>
      <c r="AH520" s="22"/>
      <c r="AI520" s="22"/>
      <c r="AJ520" s="22"/>
      <c r="AK520" s="22"/>
      <c r="AL520" s="22"/>
      <c r="AM520" s="22"/>
    </row>
    <row r="521">
      <c r="B521" s="28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22"/>
      <c r="Y521" s="22"/>
      <c r="Z521" s="22"/>
      <c r="AA521" s="22"/>
      <c r="AB521" s="22"/>
      <c r="AC521" s="22"/>
      <c r="AD521" s="22"/>
      <c r="AE521" s="22"/>
      <c r="AF521" s="22"/>
      <c r="AG521" s="22"/>
      <c r="AH521" s="22"/>
      <c r="AI521" s="22"/>
      <c r="AJ521" s="22"/>
      <c r="AK521" s="22"/>
      <c r="AL521" s="22"/>
      <c r="AM521" s="22"/>
    </row>
    <row r="522">
      <c r="B522" s="28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22"/>
      <c r="Y522" s="22"/>
      <c r="Z522" s="22"/>
      <c r="AA522" s="22"/>
      <c r="AB522" s="22"/>
      <c r="AC522" s="22"/>
      <c r="AD522" s="22"/>
      <c r="AE522" s="22"/>
      <c r="AF522" s="22"/>
      <c r="AG522" s="22"/>
      <c r="AH522" s="22"/>
      <c r="AI522" s="22"/>
      <c r="AJ522" s="22"/>
      <c r="AK522" s="22"/>
      <c r="AL522" s="22"/>
      <c r="AM522" s="22"/>
    </row>
    <row r="523">
      <c r="B523" s="28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22"/>
      <c r="Y523" s="22"/>
      <c r="Z523" s="22"/>
      <c r="AA523" s="22"/>
      <c r="AB523" s="22"/>
      <c r="AC523" s="22"/>
      <c r="AD523" s="22"/>
      <c r="AE523" s="22"/>
      <c r="AF523" s="22"/>
      <c r="AG523" s="22"/>
      <c r="AH523" s="22"/>
      <c r="AI523" s="22"/>
      <c r="AJ523" s="22"/>
      <c r="AK523" s="22"/>
      <c r="AL523" s="22"/>
      <c r="AM523" s="22"/>
    </row>
    <row r="524">
      <c r="B524" s="28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22"/>
      <c r="Y524" s="22"/>
      <c r="Z524" s="22"/>
      <c r="AA524" s="22"/>
      <c r="AB524" s="22"/>
      <c r="AC524" s="22"/>
      <c r="AD524" s="22"/>
      <c r="AE524" s="22"/>
      <c r="AF524" s="22"/>
      <c r="AG524" s="22"/>
      <c r="AH524" s="22"/>
      <c r="AI524" s="22"/>
      <c r="AJ524" s="22"/>
      <c r="AK524" s="22"/>
      <c r="AL524" s="22"/>
      <c r="AM524" s="22"/>
    </row>
    <row r="525">
      <c r="B525" s="28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22"/>
      <c r="Y525" s="22"/>
      <c r="Z525" s="22"/>
      <c r="AA525" s="22"/>
      <c r="AB525" s="22"/>
      <c r="AC525" s="22"/>
      <c r="AD525" s="22"/>
      <c r="AE525" s="22"/>
      <c r="AF525" s="22"/>
      <c r="AG525" s="22"/>
      <c r="AH525" s="22"/>
      <c r="AI525" s="22"/>
      <c r="AJ525" s="22"/>
      <c r="AK525" s="22"/>
      <c r="AL525" s="22"/>
      <c r="AM525" s="22"/>
    </row>
    <row r="526">
      <c r="B526" s="28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22"/>
      <c r="Y526" s="22"/>
      <c r="Z526" s="22"/>
      <c r="AA526" s="22"/>
      <c r="AB526" s="22"/>
      <c r="AC526" s="22"/>
      <c r="AD526" s="22"/>
      <c r="AE526" s="22"/>
      <c r="AF526" s="22"/>
      <c r="AG526" s="22"/>
      <c r="AH526" s="22"/>
      <c r="AI526" s="22"/>
      <c r="AJ526" s="22"/>
      <c r="AK526" s="22"/>
      <c r="AL526" s="22"/>
      <c r="AM526" s="22"/>
    </row>
    <row r="527">
      <c r="B527" s="28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22"/>
      <c r="Y527" s="22"/>
      <c r="Z527" s="22"/>
      <c r="AA527" s="22"/>
      <c r="AB527" s="22"/>
      <c r="AC527" s="22"/>
      <c r="AD527" s="22"/>
      <c r="AE527" s="22"/>
      <c r="AF527" s="22"/>
      <c r="AG527" s="22"/>
      <c r="AH527" s="22"/>
      <c r="AI527" s="22"/>
      <c r="AJ527" s="22"/>
      <c r="AK527" s="22"/>
      <c r="AL527" s="22"/>
      <c r="AM527" s="22"/>
    </row>
    <row r="528">
      <c r="B528" s="28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22"/>
      <c r="Y528" s="22"/>
      <c r="Z528" s="22"/>
      <c r="AA528" s="22"/>
      <c r="AB528" s="22"/>
      <c r="AC528" s="22"/>
      <c r="AD528" s="22"/>
      <c r="AE528" s="22"/>
      <c r="AF528" s="22"/>
      <c r="AG528" s="22"/>
      <c r="AH528" s="22"/>
      <c r="AI528" s="22"/>
      <c r="AJ528" s="22"/>
      <c r="AK528" s="22"/>
      <c r="AL528" s="22"/>
      <c r="AM528" s="22"/>
    </row>
    <row r="529">
      <c r="B529" s="28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22"/>
      <c r="Y529" s="22"/>
      <c r="Z529" s="22"/>
      <c r="AA529" s="22"/>
      <c r="AB529" s="22"/>
      <c r="AC529" s="22"/>
      <c r="AD529" s="22"/>
      <c r="AE529" s="22"/>
      <c r="AF529" s="22"/>
      <c r="AG529" s="22"/>
      <c r="AH529" s="22"/>
      <c r="AI529" s="22"/>
      <c r="AJ529" s="22"/>
      <c r="AK529" s="22"/>
      <c r="AL529" s="22"/>
      <c r="AM529" s="22"/>
    </row>
    <row r="530">
      <c r="B530" s="28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22"/>
      <c r="Y530" s="22"/>
      <c r="Z530" s="22"/>
      <c r="AA530" s="22"/>
      <c r="AB530" s="22"/>
      <c r="AC530" s="22"/>
      <c r="AD530" s="22"/>
      <c r="AE530" s="22"/>
      <c r="AF530" s="22"/>
      <c r="AG530" s="22"/>
      <c r="AH530" s="22"/>
      <c r="AI530" s="22"/>
      <c r="AJ530" s="22"/>
      <c r="AK530" s="22"/>
      <c r="AL530" s="22"/>
      <c r="AM530" s="22"/>
    </row>
    <row r="531">
      <c r="B531" s="28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22"/>
      <c r="Y531" s="22"/>
      <c r="Z531" s="22"/>
      <c r="AA531" s="22"/>
      <c r="AB531" s="22"/>
      <c r="AC531" s="22"/>
      <c r="AD531" s="22"/>
      <c r="AE531" s="22"/>
      <c r="AF531" s="22"/>
      <c r="AG531" s="22"/>
      <c r="AH531" s="22"/>
      <c r="AI531" s="22"/>
      <c r="AJ531" s="22"/>
      <c r="AK531" s="22"/>
      <c r="AL531" s="22"/>
      <c r="AM531" s="22"/>
    </row>
    <row r="532">
      <c r="B532" s="28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22"/>
      <c r="Y532" s="22"/>
      <c r="Z532" s="22"/>
      <c r="AA532" s="22"/>
      <c r="AB532" s="22"/>
      <c r="AC532" s="22"/>
      <c r="AD532" s="22"/>
      <c r="AE532" s="22"/>
      <c r="AF532" s="22"/>
      <c r="AG532" s="22"/>
      <c r="AH532" s="22"/>
      <c r="AI532" s="22"/>
      <c r="AJ532" s="22"/>
      <c r="AK532" s="22"/>
      <c r="AL532" s="22"/>
      <c r="AM532" s="22"/>
    </row>
    <row r="533">
      <c r="B533" s="28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22"/>
      <c r="Y533" s="22"/>
      <c r="Z533" s="22"/>
      <c r="AA533" s="22"/>
      <c r="AB533" s="22"/>
      <c r="AC533" s="22"/>
      <c r="AD533" s="22"/>
      <c r="AE533" s="22"/>
      <c r="AF533" s="22"/>
      <c r="AG533" s="22"/>
      <c r="AH533" s="22"/>
      <c r="AI533" s="22"/>
      <c r="AJ533" s="22"/>
      <c r="AK533" s="22"/>
      <c r="AL533" s="22"/>
      <c r="AM533" s="22"/>
    </row>
    <row r="534">
      <c r="B534" s="28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22"/>
      <c r="Y534" s="22"/>
      <c r="Z534" s="22"/>
      <c r="AA534" s="22"/>
      <c r="AB534" s="22"/>
      <c r="AC534" s="22"/>
      <c r="AD534" s="22"/>
      <c r="AE534" s="22"/>
      <c r="AF534" s="22"/>
      <c r="AG534" s="22"/>
      <c r="AH534" s="22"/>
      <c r="AI534" s="22"/>
      <c r="AJ534" s="22"/>
      <c r="AK534" s="22"/>
      <c r="AL534" s="22"/>
      <c r="AM534" s="22"/>
    </row>
    <row r="535">
      <c r="B535" s="28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22"/>
      <c r="Y535" s="22"/>
      <c r="Z535" s="22"/>
      <c r="AA535" s="22"/>
      <c r="AB535" s="22"/>
      <c r="AC535" s="22"/>
      <c r="AD535" s="22"/>
      <c r="AE535" s="22"/>
      <c r="AF535" s="22"/>
      <c r="AG535" s="22"/>
      <c r="AH535" s="22"/>
      <c r="AI535" s="22"/>
      <c r="AJ535" s="22"/>
      <c r="AK535" s="22"/>
      <c r="AL535" s="22"/>
      <c r="AM535" s="22"/>
    </row>
    <row r="536">
      <c r="B536" s="28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22"/>
      <c r="Y536" s="22"/>
      <c r="Z536" s="22"/>
      <c r="AA536" s="22"/>
      <c r="AB536" s="22"/>
      <c r="AC536" s="22"/>
      <c r="AD536" s="22"/>
      <c r="AE536" s="22"/>
      <c r="AF536" s="22"/>
      <c r="AG536" s="22"/>
      <c r="AH536" s="22"/>
      <c r="AI536" s="22"/>
      <c r="AJ536" s="22"/>
      <c r="AK536" s="22"/>
      <c r="AL536" s="22"/>
      <c r="AM536" s="22"/>
    </row>
    <row r="537">
      <c r="B537" s="28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22"/>
      <c r="Y537" s="22"/>
      <c r="Z537" s="22"/>
      <c r="AA537" s="22"/>
      <c r="AB537" s="22"/>
      <c r="AC537" s="22"/>
      <c r="AD537" s="22"/>
      <c r="AE537" s="22"/>
      <c r="AF537" s="22"/>
      <c r="AG537" s="22"/>
      <c r="AH537" s="22"/>
      <c r="AI537" s="22"/>
      <c r="AJ537" s="22"/>
      <c r="AK537" s="22"/>
      <c r="AL537" s="22"/>
      <c r="AM537" s="22"/>
    </row>
    <row r="538">
      <c r="B538" s="28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22"/>
      <c r="Y538" s="22"/>
      <c r="Z538" s="22"/>
      <c r="AA538" s="22"/>
      <c r="AB538" s="22"/>
      <c r="AC538" s="22"/>
      <c r="AD538" s="22"/>
      <c r="AE538" s="22"/>
      <c r="AF538" s="22"/>
      <c r="AG538" s="22"/>
      <c r="AH538" s="22"/>
      <c r="AI538" s="22"/>
      <c r="AJ538" s="22"/>
      <c r="AK538" s="22"/>
      <c r="AL538" s="22"/>
      <c r="AM538" s="22"/>
    </row>
    <row r="539">
      <c r="B539" s="28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22"/>
      <c r="Y539" s="22"/>
      <c r="Z539" s="22"/>
      <c r="AA539" s="22"/>
      <c r="AB539" s="22"/>
      <c r="AC539" s="22"/>
      <c r="AD539" s="22"/>
      <c r="AE539" s="22"/>
      <c r="AF539" s="22"/>
      <c r="AG539" s="22"/>
      <c r="AH539" s="22"/>
      <c r="AI539" s="22"/>
      <c r="AJ539" s="22"/>
      <c r="AK539" s="22"/>
      <c r="AL539" s="22"/>
      <c r="AM539" s="22"/>
    </row>
    <row r="540">
      <c r="B540" s="28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22"/>
      <c r="Y540" s="22"/>
      <c r="Z540" s="22"/>
      <c r="AA540" s="22"/>
      <c r="AB540" s="22"/>
      <c r="AC540" s="22"/>
      <c r="AD540" s="22"/>
      <c r="AE540" s="22"/>
      <c r="AF540" s="22"/>
      <c r="AG540" s="22"/>
      <c r="AH540" s="22"/>
      <c r="AI540" s="22"/>
      <c r="AJ540" s="22"/>
      <c r="AK540" s="22"/>
      <c r="AL540" s="22"/>
      <c r="AM540" s="22"/>
    </row>
    <row r="541">
      <c r="B541" s="28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22"/>
      <c r="Y541" s="22"/>
      <c r="Z541" s="22"/>
      <c r="AA541" s="22"/>
      <c r="AB541" s="22"/>
      <c r="AC541" s="22"/>
      <c r="AD541" s="22"/>
      <c r="AE541" s="22"/>
      <c r="AF541" s="22"/>
      <c r="AG541" s="22"/>
      <c r="AH541" s="22"/>
      <c r="AI541" s="22"/>
      <c r="AJ541" s="22"/>
      <c r="AK541" s="22"/>
      <c r="AL541" s="22"/>
      <c r="AM541" s="22"/>
    </row>
    <row r="542">
      <c r="B542" s="28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22"/>
      <c r="Y542" s="22"/>
      <c r="Z542" s="22"/>
      <c r="AA542" s="22"/>
      <c r="AB542" s="22"/>
      <c r="AC542" s="22"/>
      <c r="AD542" s="22"/>
      <c r="AE542" s="22"/>
      <c r="AF542" s="22"/>
      <c r="AG542" s="22"/>
      <c r="AH542" s="22"/>
      <c r="AI542" s="22"/>
      <c r="AJ542" s="22"/>
      <c r="AK542" s="22"/>
      <c r="AL542" s="22"/>
      <c r="AM542" s="22"/>
    </row>
    <row r="543">
      <c r="B543" s="28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22"/>
      <c r="Y543" s="22"/>
      <c r="Z543" s="22"/>
      <c r="AA543" s="22"/>
      <c r="AB543" s="22"/>
      <c r="AC543" s="22"/>
      <c r="AD543" s="22"/>
      <c r="AE543" s="22"/>
      <c r="AF543" s="22"/>
      <c r="AG543" s="22"/>
      <c r="AH543" s="22"/>
      <c r="AI543" s="22"/>
      <c r="AJ543" s="22"/>
      <c r="AK543" s="22"/>
      <c r="AL543" s="22"/>
      <c r="AM543" s="22"/>
    </row>
    <row r="544">
      <c r="B544" s="28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22"/>
      <c r="Y544" s="22"/>
      <c r="Z544" s="22"/>
      <c r="AA544" s="22"/>
      <c r="AB544" s="22"/>
      <c r="AC544" s="22"/>
      <c r="AD544" s="22"/>
      <c r="AE544" s="22"/>
      <c r="AF544" s="22"/>
      <c r="AG544" s="22"/>
      <c r="AH544" s="22"/>
      <c r="AI544" s="22"/>
      <c r="AJ544" s="22"/>
      <c r="AK544" s="22"/>
      <c r="AL544" s="22"/>
      <c r="AM544" s="22"/>
    </row>
    <row r="545">
      <c r="B545" s="28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22"/>
      <c r="Y545" s="22"/>
      <c r="Z545" s="22"/>
      <c r="AA545" s="22"/>
      <c r="AB545" s="22"/>
      <c r="AC545" s="22"/>
      <c r="AD545" s="22"/>
      <c r="AE545" s="22"/>
      <c r="AF545" s="22"/>
      <c r="AG545" s="22"/>
      <c r="AH545" s="22"/>
      <c r="AI545" s="22"/>
      <c r="AJ545" s="22"/>
      <c r="AK545" s="22"/>
      <c r="AL545" s="22"/>
      <c r="AM545" s="22"/>
    </row>
    <row r="546">
      <c r="B546" s="28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22"/>
      <c r="Y546" s="22"/>
      <c r="Z546" s="22"/>
      <c r="AA546" s="22"/>
      <c r="AB546" s="22"/>
      <c r="AC546" s="22"/>
      <c r="AD546" s="22"/>
      <c r="AE546" s="22"/>
      <c r="AF546" s="22"/>
      <c r="AG546" s="22"/>
      <c r="AH546" s="22"/>
      <c r="AI546" s="22"/>
      <c r="AJ546" s="22"/>
      <c r="AK546" s="22"/>
      <c r="AL546" s="22"/>
      <c r="AM546" s="22"/>
    </row>
    <row r="547">
      <c r="B547" s="28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22"/>
      <c r="Y547" s="22"/>
      <c r="Z547" s="22"/>
      <c r="AA547" s="22"/>
      <c r="AB547" s="22"/>
      <c r="AC547" s="22"/>
      <c r="AD547" s="22"/>
      <c r="AE547" s="22"/>
      <c r="AF547" s="22"/>
      <c r="AG547" s="22"/>
      <c r="AH547" s="22"/>
      <c r="AI547" s="22"/>
      <c r="AJ547" s="22"/>
      <c r="AK547" s="22"/>
      <c r="AL547" s="22"/>
      <c r="AM547" s="22"/>
    </row>
    <row r="548">
      <c r="B548" s="28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22"/>
      <c r="Y548" s="22"/>
      <c r="Z548" s="22"/>
      <c r="AA548" s="22"/>
      <c r="AB548" s="22"/>
      <c r="AC548" s="22"/>
      <c r="AD548" s="22"/>
      <c r="AE548" s="22"/>
      <c r="AF548" s="22"/>
      <c r="AG548" s="22"/>
      <c r="AH548" s="22"/>
      <c r="AI548" s="22"/>
      <c r="AJ548" s="22"/>
      <c r="AK548" s="22"/>
      <c r="AL548" s="22"/>
      <c r="AM548" s="22"/>
    </row>
    <row r="549">
      <c r="B549" s="28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22"/>
      <c r="Y549" s="22"/>
      <c r="Z549" s="22"/>
      <c r="AA549" s="22"/>
      <c r="AB549" s="22"/>
      <c r="AC549" s="22"/>
      <c r="AD549" s="22"/>
      <c r="AE549" s="22"/>
      <c r="AF549" s="22"/>
      <c r="AG549" s="22"/>
      <c r="AH549" s="22"/>
      <c r="AI549" s="22"/>
      <c r="AJ549" s="22"/>
      <c r="AK549" s="22"/>
      <c r="AL549" s="22"/>
      <c r="AM549" s="22"/>
    </row>
    <row r="550">
      <c r="B550" s="28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22"/>
      <c r="Y550" s="22"/>
      <c r="Z550" s="22"/>
      <c r="AA550" s="22"/>
      <c r="AB550" s="22"/>
      <c r="AC550" s="22"/>
      <c r="AD550" s="22"/>
      <c r="AE550" s="22"/>
      <c r="AF550" s="22"/>
      <c r="AG550" s="22"/>
      <c r="AH550" s="22"/>
      <c r="AI550" s="22"/>
      <c r="AJ550" s="22"/>
      <c r="AK550" s="22"/>
      <c r="AL550" s="22"/>
      <c r="AM550" s="22"/>
    </row>
    <row r="551">
      <c r="B551" s="28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22"/>
      <c r="Y551" s="22"/>
      <c r="Z551" s="22"/>
      <c r="AA551" s="22"/>
      <c r="AB551" s="22"/>
      <c r="AC551" s="22"/>
      <c r="AD551" s="22"/>
      <c r="AE551" s="22"/>
      <c r="AF551" s="22"/>
      <c r="AG551" s="22"/>
      <c r="AH551" s="22"/>
      <c r="AI551" s="22"/>
      <c r="AJ551" s="22"/>
      <c r="AK551" s="22"/>
      <c r="AL551" s="22"/>
      <c r="AM551" s="22"/>
    </row>
    <row r="552">
      <c r="B552" s="28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22"/>
      <c r="Y552" s="22"/>
      <c r="Z552" s="22"/>
      <c r="AA552" s="22"/>
      <c r="AB552" s="22"/>
      <c r="AC552" s="22"/>
      <c r="AD552" s="22"/>
      <c r="AE552" s="22"/>
      <c r="AF552" s="22"/>
      <c r="AG552" s="22"/>
      <c r="AH552" s="22"/>
      <c r="AI552" s="22"/>
      <c r="AJ552" s="22"/>
      <c r="AK552" s="22"/>
      <c r="AL552" s="22"/>
      <c r="AM552" s="22"/>
    </row>
    <row r="553">
      <c r="B553" s="28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22"/>
      <c r="Y553" s="22"/>
      <c r="Z553" s="22"/>
      <c r="AA553" s="22"/>
      <c r="AB553" s="22"/>
      <c r="AC553" s="22"/>
      <c r="AD553" s="22"/>
      <c r="AE553" s="22"/>
      <c r="AF553" s="22"/>
      <c r="AG553" s="22"/>
      <c r="AH553" s="22"/>
      <c r="AI553" s="22"/>
      <c r="AJ553" s="22"/>
      <c r="AK553" s="22"/>
      <c r="AL553" s="22"/>
      <c r="AM553" s="22"/>
    </row>
    <row r="554">
      <c r="B554" s="28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22"/>
      <c r="Y554" s="22"/>
      <c r="Z554" s="22"/>
      <c r="AA554" s="22"/>
      <c r="AB554" s="22"/>
      <c r="AC554" s="22"/>
      <c r="AD554" s="22"/>
      <c r="AE554" s="22"/>
      <c r="AF554" s="22"/>
      <c r="AG554" s="22"/>
      <c r="AH554" s="22"/>
      <c r="AI554" s="22"/>
      <c r="AJ554" s="22"/>
      <c r="AK554" s="22"/>
      <c r="AL554" s="22"/>
      <c r="AM554" s="22"/>
    </row>
    <row r="555">
      <c r="B555" s="28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22"/>
      <c r="Y555" s="22"/>
      <c r="Z555" s="22"/>
      <c r="AA555" s="22"/>
      <c r="AB555" s="22"/>
      <c r="AC555" s="22"/>
      <c r="AD555" s="22"/>
      <c r="AE555" s="22"/>
      <c r="AF555" s="22"/>
      <c r="AG555" s="22"/>
      <c r="AH555" s="22"/>
      <c r="AI555" s="22"/>
      <c r="AJ555" s="22"/>
      <c r="AK555" s="22"/>
      <c r="AL555" s="22"/>
      <c r="AM555" s="22"/>
    </row>
    <row r="556">
      <c r="B556" s="28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22"/>
      <c r="Y556" s="22"/>
      <c r="Z556" s="22"/>
      <c r="AA556" s="22"/>
      <c r="AB556" s="22"/>
      <c r="AC556" s="22"/>
      <c r="AD556" s="22"/>
      <c r="AE556" s="22"/>
      <c r="AF556" s="22"/>
      <c r="AG556" s="22"/>
      <c r="AH556" s="22"/>
      <c r="AI556" s="22"/>
      <c r="AJ556" s="22"/>
      <c r="AK556" s="22"/>
      <c r="AL556" s="22"/>
      <c r="AM556" s="22"/>
    </row>
    <row r="557">
      <c r="B557" s="28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22"/>
      <c r="Y557" s="22"/>
      <c r="Z557" s="22"/>
      <c r="AA557" s="22"/>
      <c r="AB557" s="22"/>
      <c r="AC557" s="22"/>
      <c r="AD557" s="22"/>
      <c r="AE557" s="22"/>
      <c r="AF557" s="22"/>
      <c r="AG557" s="22"/>
      <c r="AH557" s="22"/>
      <c r="AI557" s="22"/>
      <c r="AJ557" s="22"/>
      <c r="AK557" s="22"/>
      <c r="AL557" s="22"/>
      <c r="AM557" s="22"/>
    </row>
    <row r="558">
      <c r="B558" s="28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22"/>
      <c r="Y558" s="22"/>
      <c r="Z558" s="22"/>
      <c r="AA558" s="22"/>
      <c r="AB558" s="22"/>
      <c r="AC558" s="22"/>
      <c r="AD558" s="22"/>
      <c r="AE558" s="22"/>
      <c r="AF558" s="22"/>
      <c r="AG558" s="22"/>
      <c r="AH558" s="22"/>
      <c r="AI558" s="22"/>
      <c r="AJ558" s="22"/>
      <c r="AK558" s="22"/>
      <c r="AL558" s="22"/>
      <c r="AM558" s="22"/>
    </row>
    <row r="559">
      <c r="B559" s="28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22"/>
      <c r="Y559" s="22"/>
      <c r="Z559" s="22"/>
      <c r="AA559" s="22"/>
      <c r="AB559" s="22"/>
      <c r="AC559" s="22"/>
      <c r="AD559" s="22"/>
      <c r="AE559" s="22"/>
      <c r="AF559" s="22"/>
      <c r="AG559" s="22"/>
      <c r="AH559" s="22"/>
      <c r="AI559" s="22"/>
      <c r="AJ559" s="22"/>
      <c r="AK559" s="22"/>
      <c r="AL559" s="22"/>
      <c r="AM559" s="22"/>
    </row>
    <row r="560">
      <c r="B560" s="28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22"/>
      <c r="Y560" s="22"/>
      <c r="Z560" s="22"/>
      <c r="AA560" s="22"/>
      <c r="AB560" s="22"/>
      <c r="AC560" s="22"/>
      <c r="AD560" s="22"/>
      <c r="AE560" s="22"/>
      <c r="AF560" s="22"/>
      <c r="AG560" s="22"/>
      <c r="AH560" s="22"/>
      <c r="AI560" s="22"/>
      <c r="AJ560" s="22"/>
      <c r="AK560" s="22"/>
      <c r="AL560" s="22"/>
      <c r="AM560" s="22"/>
    </row>
    <row r="561">
      <c r="B561" s="28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22"/>
      <c r="Y561" s="22"/>
      <c r="Z561" s="22"/>
      <c r="AA561" s="22"/>
      <c r="AB561" s="22"/>
      <c r="AC561" s="22"/>
      <c r="AD561" s="22"/>
      <c r="AE561" s="22"/>
      <c r="AF561" s="22"/>
      <c r="AG561" s="22"/>
      <c r="AH561" s="22"/>
      <c r="AI561" s="22"/>
      <c r="AJ561" s="22"/>
      <c r="AK561" s="22"/>
      <c r="AL561" s="22"/>
      <c r="AM561" s="22"/>
    </row>
    <row r="562">
      <c r="B562" s="28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22"/>
      <c r="Y562" s="22"/>
      <c r="Z562" s="22"/>
      <c r="AA562" s="22"/>
      <c r="AB562" s="22"/>
      <c r="AC562" s="22"/>
      <c r="AD562" s="22"/>
      <c r="AE562" s="22"/>
      <c r="AF562" s="22"/>
      <c r="AG562" s="22"/>
      <c r="AH562" s="22"/>
      <c r="AI562" s="22"/>
      <c r="AJ562" s="22"/>
      <c r="AK562" s="22"/>
      <c r="AL562" s="22"/>
      <c r="AM562" s="22"/>
    </row>
    <row r="563">
      <c r="B563" s="28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22"/>
      <c r="Y563" s="22"/>
      <c r="Z563" s="22"/>
      <c r="AA563" s="22"/>
      <c r="AB563" s="22"/>
      <c r="AC563" s="22"/>
      <c r="AD563" s="22"/>
      <c r="AE563" s="22"/>
      <c r="AF563" s="22"/>
      <c r="AG563" s="22"/>
      <c r="AH563" s="22"/>
      <c r="AI563" s="22"/>
      <c r="AJ563" s="22"/>
      <c r="AK563" s="22"/>
      <c r="AL563" s="22"/>
      <c r="AM563" s="22"/>
    </row>
    <row r="564">
      <c r="B564" s="28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22"/>
      <c r="Y564" s="22"/>
      <c r="Z564" s="22"/>
      <c r="AA564" s="22"/>
      <c r="AB564" s="22"/>
      <c r="AC564" s="22"/>
      <c r="AD564" s="22"/>
      <c r="AE564" s="22"/>
      <c r="AF564" s="22"/>
      <c r="AG564" s="22"/>
      <c r="AH564" s="22"/>
      <c r="AI564" s="22"/>
      <c r="AJ564" s="22"/>
      <c r="AK564" s="22"/>
      <c r="AL564" s="22"/>
      <c r="AM564" s="22"/>
    </row>
    <row r="565">
      <c r="B565" s="28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22"/>
      <c r="Y565" s="22"/>
      <c r="Z565" s="22"/>
      <c r="AA565" s="22"/>
      <c r="AB565" s="22"/>
      <c r="AC565" s="22"/>
      <c r="AD565" s="22"/>
      <c r="AE565" s="22"/>
      <c r="AF565" s="22"/>
      <c r="AG565" s="22"/>
      <c r="AH565" s="22"/>
      <c r="AI565" s="22"/>
      <c r="AJ565" s="22"/>
      <c r="AK565" s="22"/>
      <c r="AL565" s="22"/>
      <c r="AM565" s="22"/>
    </row>
    <row r="566">
      <c r="B566" s="28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22"/>
      <c r="Y566" s="22"/>
      <c r="Z566" s="22"/>
      <c r="AA566" s="22"/>
      <c r="AB566" s="22"/>
      <c r="AC566" s="22"/>
      <c r="AD566" s="22"/>
      <c r="AE566" s="22"/>
      <c r="AF566" s="22"/>
      <c r="AG566" s="22"/>
      <c r="AH566" s="22"/>
      <c r="AI566" s="22"/>
      <c r="AJ566" s="22"/>
      <c r="AK566" s="22"/>
      <c r="AL566" s="22"/>
      <c r="AM566" s="22"/>
    </row>
    <row r="567">
      <c r="B567" s="28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22"/>
      <c r="Y567" s="22"/>
      <c r="Z567" s="22"/>
      <c r="AA567" s="22"/>
      <c r="AB567" s="22"/>
      <c r="AC567" s="22"/>
      <c r="AD567" s="22"/>
      <c r="AE567" s="22"/>
      <c r="AF567" s="22"/>
      <c r="AG567" s="22"/>
      <c r="AH567" s="22"/>
      <c r="AI567" s="22"/>
      <c r="AJ567" s="22"/>
      <c r="AK567" s="22"/>
      <c r="AL567" s="22"/>
      <c r="AM567" s="22"/>
    </row>
    <row r="568">
      <c r="B568" s="28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22"/>
      <c r="Y568" s="22"/>
      <c r="Z568" s="22"/>
      <c r="AA568" s="22"/>
      <c r="AB568" s="22"/>
      <c r="AC568" s="22"/>
      <c r="AD568" s="22"/>
      <c r="AE568" s="22"/>
      <c r="AF568" s="22"/>
      <c r="AG568" s="22"/>
      <c r="AH568" s="22"/>
      <c r="AI568" s="22"/>
      <c r="AJ568" s="22"/>
      <c r="AK568" s="22"/>
      <c r="AL568" s="22"/>
      <c r="AM568" s="22"/>
    </row>
    <row r="569">
      <c r="B569" s="28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22"/>
      <c r="Y569" s="22"/>
      <c r="Z569" s="22"/>
      <c r="AA569" s="22"/>
      <c r="AB569" s="22"/>
      <c r="AC569" s="22"/>
      <c r="AD569" s="22"/>
      <c r="AE569" s="22"/>
      <c r="AF569" s="22"/>
      <c r="AG569" s="22"/>
      <c r="AH569" s="22"/>
      <c r="AI569" s="22"/>
      <c r="AJ569" s="22"/>
      <c r="AK569" s="22"/>
      <c r="AL569" s="22"/>
      <c r="AM569" s="22"/>
    </row>
    <row r="570">
      <c r="B570" s="28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22"/>
      <c r="Y570" s="22"/>
      <c r="Z570" s="22"/>
      <c r="AA570" s="22"/>
      <c r="AB570" s="22"/>
      <c r="AC570" s="22"/>
      <c r="AD570" s="22"/>
      <c r="AE570" s="22"/>
      <c r="AF570" s="22"/>
      <c r="AG570" s="22"/>
      <c r="AH570" s="22"/>
      <c r="AI570" s="22"/>
      <c r="AJ570" s="22"/>
      <c r="AK570" s="22"/>
      <c r="AL570" s="22"/>
      <c r="AM570" s="22"/>
    </row>
    <row r="571">
      <c r="B571" s="28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22"/>
      <c r="Y571" s="22"/>
      <c r="Z571" s="22"/>
      <c r="AA571" s="22"/>
      <c r="AB571" s="22"/>
      <c r="AC571" s="22"/>
      <c r="AD571" s="22"/>
      <c r="AE571" s="22"/>
      <c r="AF571" s="22"/>
      <c r="AG571" s="22"/>
      <c r="AH571" s="22"/>
      <c r="AI571" s="22"/>
      <c r="AJ571" s="22"/>
      <c r="AK571" s="22"/>
      <c r="AL571" s="22"/>
      <c r="AM571" s="22"/>
    </row>
    <row r="572">
      <c r="B572" s="28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22"/>
      <c r="Y572" s="22"/>
      <c r="Z572" s="22"/>
      <c r="AA572" s="22"/>
      <c r="AB572" s="22"/>
      <c r="AC572" s="22"/>
      <c r="AD572" s="22"/>
      <c r="AE572" s="22"/>
      <c r="AF572" s="22"/>
      <c r="AG572" s="22"/>
      <c r="AH572" s="22"/>
      <c r="AI572" s="22"/>
      <c r="AJ572" s="22"/>
      <c r="AK572" s="22"/>
      <c r="AL572" s="22"/>
      <c r="AM572" s="22"/>
    </row>
    <row r="573">
      <c r="B573" s="28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22"/>
      <c r="Y573" s="22"/>
      <c r="Z573" s="22"/>
      <c r="AA573" s="22"/>
      <c r="AB573" s="22"/>
      <c r="AC573" s="22"/>
      <c r="AD573" s="22"/>
      <c r="AE573" s="22"/>
      <c r="AF573" s="22"/>
      <c r="AG573" s="22"/>
      <c r="AH573" s="22"/>
      <c r="AI573" s="22"/>
      <c r="AJ573" s="22"/>
      <c r="AK573" s="22"/>
      <c r="AL573" s="22"/>
      <c r="AM573" s="22"/>
    </row>
    <row r="574">
      <c r="B574" s="28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22"/>
      <c r="Y574" s="22"/>
      <c r="Z574" s="22"/>
      <c r="AA574" s="22"/>
      <c r="AB574" s="22"/>
      <c r="AC574" s="22"/>
      <c r="AD574" s="22"/>
      <c r="AE574" s="22"/>
      <c r="AF574" s="22"/>
      <c r="AG574" s="22"/>
      <c r="AH574" s="22"/>
      <c r="AI574" s="22"/>
      <c r="AJ574" s="22"/>
      <c r="AK574" s="22"/>
      <c r="AL574" s="22"/>
      <c r="AM574" s="22"/>
    </row>
    <row r="575">
      <c r="B575" s="28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22"/>
      <c r="Y575" s="22"/>
      <c r="Z575" s="22"/>
      <c r="AA575" s="22"/>
      <c r="AB575" s="22"/>
      <c r="AC575" s="22"/>
      <c r="AD575" s="22"/>
      <c r="AE575" s="22"/>
      <c r="AF575" s="22"/>
      <c r="AG575" s="22"/>
      <c r="AH575" s="22"/>
      <c r="AI575" s="22"/>
      <c r="AJ575" s="22"/>
      <c r="AK575" s="22"/>
      <c r="AL575" s="22"/>
      <c r="AM575" s="22"/>
    </row>
    <row r="576">
      <c r="B576" s="28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22"/>
      <c r="Y576" s="22"/>
      <c r="Z576" s="22"/>
      <c r="AA576" s="22"/>
      <c r="AB576" s="22"/>
      <c r="AC576" s="22"/>
      <c r="AD576" s="22"/>
      <c r="AE576" s="22"/>
      <c r="AF576" s="22"/>
      <c r="AG576" s="22"/>
      <c r="AH576" s="22"/>
      <c r="AI576" s="22"/>
      <c r="AJ576" s="22"/>
      <c r="AK576" s="22"/>
      <c r="AL576" s="22"/>
      <c r="AM576" s="22"/>
    </row>
    <row r="577">
      <c r="B577" s="28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22"/>
      <c r="Y577" s="22"/>
      <c r="Z577" s="22"/>
      <c r="AA577" s="22"/>
      <c r="AB577" s="22"/>
      <c r="AC577" s="22"/>
      <c r="AD577" s="22"/>
      <c r="AE577" s="22"/>
      <c r="AF577" s="22"/>
      <c r="AG577" s="22"/>
      <c r="AH577" s="22"/>
      <c r="AI577" s="22"/>
      <c r="AJ577" s="22"/>
      <c r="AK577" s="22"/>
      <c r="AL577" s="22"/>
      <c r="AM577" s="22"/>
    </row>
    <row r="578">
      <c r="B578" s="28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22"/>
      <c r="Y578" s="22"/>
      <c r="Z578" s="22"/>
      <c r="AA578" s="22"/>
      <c r="AB578" s="22"/>
      <c r="AC578" s="22"/>
      <c r="AD578" s="22"/>
      <c r="AE578" s="22"/>
      <c r="AF578" s="22"/>
      <c r="AG578" s="22"/>
      <c r="AH578" s="22"/>
      <c r="AI578" s="22"/>
      <c r="AJ578" s="22"/>
      <c r="AK578" s="22"/>
      <c r="AL578" s="22"/>
      <c r="AM578" s="22"/>
    </row>
    <row r="579">
      <c r="B579" s="28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22"/>
      <c r="Y579" s="22"/>
      <c r="Z579" s="22"/>
      <c r="AA579" s="22"/>
      <c r="AB579" s="22"/>
      <c r="AC579" s="22"/>
      <c r="AD579" s="22"/>
      <c r="AE579" s="22"/>
      <c r="AF579" s="22"/>
      <c r="AG579" s="22"/>
      <c r="AH579" s="22"/>
      <c r="AI579" s="22"/>
      <c r="AJ579" s="22"/>
      <c r="AK579" s="22"/>
      <c r="AL579" s="22"/>
      <c r="AM579" s="22"/>
    </row>
    <row r="580">
      <c r="B580" s="28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22"/>
      <c r="Y580" s="22"/>
      <c r="Z580" s="22"/>
      <c r="AA580" s="22"/>
      <c r="AB580" s="22"/>
      <c r="AC580" s="22"/>
      <c r="AD580" s="22"/>
      <c r="AE580" s="22"/>
      <c r="AF580" s="22"/>
      <c r="AG580" s="22"/>
      <c r="AH580" s="22"/>
      <c r="AI580" s="22"/>
      <c r="AJ580" s="22"/>
      <c r="AK580" s="22"/>
      <c r="AL580" s="22"/>
      <c r="AM580" s="22"/>
    </row>
    <row r="581">
      <c r="B581" s="28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22"/>
      <c r="Y581" s="22"/>
      <c r="Z581" s="22"/>
      <c r="AA581" s="22"/>
      <c r="AB581" s="22"/>
      <c r="AC581" s="22"/>
      <c r="AD581" s="22"/>
      <c r="AE581" s="22"/>
      <c r="AF581" s="22"/>
      <c r="AG581" s="22"/>
      <c r="AH581" s="22"/>
      <c r="AI581" s="22"/>
      <c r="AJ581" s="22"/>
      <c r="AK581" s="22"/>
      <c r="AL581" s="22"/>
      <c r="AM581" s="22"/>
    </row>
    <row r="582">
      <c r="B582" s="28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22"/>
      <c r="Y582" s="22"/>
      <c r="Z582" s="22"/>
      <c r="AA582" s="22"/>
      <c r="AB582" s="22"/>
      <c r="AC582" s="22"/>
      <c r="AD582" s="22"/>
      <c r="AE582" s="22"/>
      <c r="AF582" s="22"/>
      <c r="AG582" s="22"/>
      <c r="AH582" s="22"/>
      <c r="AI582" s="22"/>
      <c r="AJ582" s="22"/>
      <c r="AK582" s="22"/>
      <c r="AL582" s="22"/>
      <c r="AM582" s="22"/>
    </row>
    <row r="583">
      <c r="B583" s="28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22"/>
      <c r="Y583" s="22"/>
      <c r="Z583" s="22"/>
      <c r="AA583" s="22"/>
      <c r="AB583" s="22"/>
      <c r="AC583" s="22"/>
      <c r="AD583" s="22"/>
      <c r="AE583" s="22"/>
      <c r="AF583" s="22"/>
      <c r="AG583" s="22"/>
      <c r="AH583" s="22"/>
      <c r="AI583" s="22"/>
      <c r="AJ583" s="22"/>
      <c r="AK583" s="22"/>
      <c r="AL583" s="22"/>
      <c r="AM583" s="22"/>
    </row>
    <row r="584">
      <c r="B584" s="28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22"/>
      <c r="Y584" s="22"/>
      <c r="Z584" s="22"/>
      <c r="AA584" s="22"/>
      <c r="AB584" s="22"/>
      <c r="AC584" s="22"/>
      <c r="AD584" s="22"/>
      <c r="AE584" s="22"/>
      <c r="AF584" s="22"/>
      <c r="AG584" s="22"/>
      <c r="AH584" s="22"/>
      <c r="AI584" s="22"/>
      <c r="AJ584" s="22"/>
      <c r="AK584" s="22"/>
      <c r="AL584" s="22"/>
      <c r="AM584" s="22"/>
    </row>
    <row r="585">
      <c r="B585" s="28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22"/>
      <c r="Y585" s="22"/>
      <c r="Z585" s="22"/>
      <c r="AA585" s="22"/>
      <c r="AB585" s="22"/>
      <c r="AC585" s="22"/>
      <c r="AD585" s="22"/>
      <c r="AE585" s="22"/>
      <c r="AF585" s="22"/>
      <c r="AG585" s="22"/>
      <c r="AH585" s="22"/>
      <c r="AI585" s="22"/>
      <c r="AJ585" s="22"/>
      <c r="AK585" s="22"/>
      <c r="AL585" s="22"/>
      <c r="AM585" s="22"/>
    </row>
    <row r="586">
      <c r="B586" s="28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22"/>
      <c r="Y586" s="22"/>
      <c r="Z586" s="22"/>
      <c r="AA586" s="22"/>
      <c r="AB586" s="22"/>
      <c r="AC586" s="22"/>
      <c r="AD586" s="22"/>
      <c r="AE586" s="22"/>
      <c r="AF586" s="22"/>
      <c r="AG586" s="22"/>
      <c r="AH586" s="22"/>
      <c r="AI586" s="22"/>
      <c r="AJ586" s="22"/>
      <c r="AK586" s="22"/>
      <c r="AL586" s="22"/>
      <c r="AM586" s="22"/>
    </row>
    <row r="587">
      <c r="B587" s="28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22"/>
      <c r="Y587" s="22"/>
      <c r="Z587" s="22"/>
      <c r="AA587" s="22"/>
      <c r="AB587" s="22"/>
      <c r="AC587" s="22"/>
      <c r="AD587" s="22"/>
      <c r="AE587" s="22"/>
      <c r="AF587" s="22"/>
      <c r="AG587" s="22"/>
      <c r="AH587" s="22"/>
      <c r="AI587" s="22"/>
      <c r="AJ587" s="22"/>
      <c r="AK587" s="22"/>
      <c r="AL587" s="22"/>
      <c r="AM587" s="22"/>
    </row>
    <row r="588">
      <c r="B588" s="28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22"/>
      <c r="Y588" s="22"/>
      <c r="Z588" s="22"/>
      <c r="AA588" s="22"/>
      <c r="AB588" s="22"/>
      <c r="AC588" s="22"/>
      <c r="AD588" s="22"/>
      <c r="AE588" s="22"/>
      <c r="AF588" s="22"/>
      <c r="AG588" s="22"/>
      <c r="AH588" s="22"/>
      <c r="AI588" s="22"/>
      <c r="AJ588" s="22"/>
      <c r="AK588" s="22"/>
      <c r="AL588" s="22"/>
      <c r="AM588" s="22"/>
    </row>
    <row r="589">
      <c r="B589" s="28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22"/>
      <c r="Y589" s="22"/>
      <c r="Z589" s="22"/>
      <c r="AA589" s="22"/>
      <c r="AB589" s="22"/>
      <c r="AC589" s="22"/>
      <c r="AD589" s="22"/>
      <c r="AE589" s="22"/>
      <c r="AF589" s="22"/>
      <c r="AG589" s="22"/>
      <c r="AH589" s="22"/>
      <c r="AI589" s="22"/>
      <c r="AJ589" s="22"/>
      <c r="AK589" s="22"/>
      <c r="AL589" s="22"/>
      <c r="AM589" s="22"/>
    </row>
    <row r="590">
      <c r="B590" s="28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22"/>
      <c r="Y590" s="22"/>
      <c r="Z590" s="22"/>
      <c r="AA590" s="22"/>
      <c r="AB590" s="22"/>
      <c r="AC590" s="22"/>
      <c r="AD590" s="22"/>
      <c r="AE590" s="22"/>
      <c r="AF590" s="22"/>
      <c r="AG590" s="22"/>
      <c r="AH590" s="22"/>
      <c r="AI590" s="22"/>
      <c r="AJ590" s="22"/>
      <c r="AK590" s="22"/>
      <c r="AL590" s="22"/>
      <c r="AM590" s="22"/>
    </row>
    <row r="591">
      <c r="B591" s="28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22"/>
      <c r="Y591" s="22"/>
      <c r="Z591" s="22"/>
      <c r="AA591" s="22"/>
      <c r="AB591" s="22"/>
      <c r="AC591" s="22"/>
      <c r="AD591" s="22"/>
      <c r="AE591" s="22"/>
      <c r="AF591" s="22"/>
      <c r="AG591" s="22"/>
      <c r="AH591" s="22"/>
      <c r="AI591" s="22"/>
      <c r="AJ591" s="22"/>
      <c r="AK591" s="22"/>
      <c r="AL591" s="22"/>
      <c r="AM591" s="22"/>
    </row>
    <row r="592">
      <c r="B592" s="28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22"/>
      <c r="Y592" s="22"/>
      <c r="Z592" s="22"/>
      <c r="AA592" s="22"/>
      <c r="AB592" s="22"/>
      <c r="AC592" s="22"/>
      <c r="AD592" s="22"/>
      <c r="AE592" s="22"/>
      <c r="AF592" s="22"/>
      <c r="AG592" s="22"/>
      <c r="AH592" s="22"/>
      <c r="AI592" s="22"/>
      <c r="AJ592" s="22"/>
      <c r="AK592" s="22"/>
      <c r="AL592" s="22"/>
      <c r="AM592" s="22"/>
    </row>
    <row r="593">
      <c r="B593" s="28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22"/>
      <c r="Y593" s="22"/>
      <c r="Z593" s="22"/>
      <c r="AA593" s="22"/>
      <c r="AB593" s="22"/>
      <c r="AC593" s="22"/>
      <c r="AD593" s="22"/>
      <c r="AE593" s="22"/>
      <c r="AF593" s="22"/>
      <c r="AG593" s="22"/>
      <c r="AH593" s="22"/>
      <c r="AI593" s="22"/>
      <c r="AJ593" s="22"/>
      <c r="AK593" s="22"/>
      <c r="AL593" s="22"/>
      <c r="AM593" s="22"/>
    </row>
    <row r="594">
      <c r="B594" s="28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22"/>
      <c r="Y594" s="22"/>
      <c r="Z594" s="22"/>
      <c r="AA594" s="22"/>
      <c r="AB594" s="22"/>
      <c r="AC594" s="22"/>
      <c r="AD594" s="22"/>
      <c r="AE594" s="22"/>
      <c r="AF594" s="22"/>
      <c r="AG594" s="22"/>
      <c r="AH594" s="22"/>
      <c r="AI594" s="22"/>
      <c r="AJ594" s="22"/>
      <c r="AK594" s="22"/>
      <c r="AL594" s="22"/>
      <c r="AM594" s="22"/>
    </row>
    <row r="595">
      <c r="B595" s="28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22"/>
      <c r="Y595" s="22"/>
      <c r="Z595" s="22"/>
      <c r="AA595" s="22"/>
      <c r="AB595" s="22"/>
      <c r="AC595" s="22"/>
      <c r="AD595" s="22"/>
      <c r="AE595" s="22"/>
      <c r="AF595" s="22"/>
      <c r="AG595" s="22"/>
      <c r="AH595" s="22"/>
      <c r="AI595" s="22"/>
      <c r="AJ595" s="22"/>
      <c r="AK595" s="22"/>
      <c r="AL595" s="22"/>
      <c r="AM595" s="22"/>
    </row>
    <row r="596">
      <c r="B596" s="28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22"/>
      <c r="Y596" s="22"/>
      <c r="Z596" s="22"/>
      <c r="AA596" s="22"/>
      <c r="AB596" s="22"/>
      <c r="AC596" s="22"/>
      <c r="AD596" s="22"/>
      <c r="AE596" s="22"/>
      <c r="AF596" s="22"/>
      <c r="AG596" s="22"/>
      <c r="AH596" s="22"/>
      <c r="AI596" s="22"/>
      <c r="AJ596" s="22"/>
      <c r="AK596" s="22"/>
      <c r="AL596" s="22"/>
      <c r="AM596" s="22"/>
    </row>
    <row r="597">
      <c r="B597" s="28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22"/>
      <c r="Y597" s="22"/>
      <c r="Z597" s="22"/>
      <c r="AA597" s="22"/>
      <c r="AB597" s="22"/>
      <c r="AC597" s="22"/>
      <c r="AD597" s="22"/>
      <c r="AE597" s="22"/>
      <c r="AF597" s="22"/>
      <c r="AG597" s="22"/>
      <c r="AH597" s="22"/>
      <c r="AI597" s="22"/>
      <c r="AJ597" s="22"/>
      <c r="AK597" s="22"/>
      <c r="AL597" s="22"/>
      <c r="AM597" s="22"/>
    </row>
    <row r="598">
      <c r="B598" s="28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22"/>
      <c r="Y598" s="22"/>
      <c r="Z598" s="22"/>
      <c r="AA598" s="22"/>
      <c r="AB598" s="22"/>
      <c r="AC598" s="22"/>
      <c r="AD598" s="22"/>
      <c r="AE598" s="22"/>
      <c r="AF598" s="22"/>
      <c r="AG598" s="22"/>
      <c r="AH598" s="22"/>
      <c r="AI598" s="22"/>
      <c r="AJ598" s="22"/>
      <c r="AK598" s="22"/>
      <c r="AL598" s="22"/>
      <c r="AM598" s="22"/>
    </row>
    <row r="599">
      <c r="B599" s="28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22"/>
      <c r="Y599" s="22"/>
      <c r="Z599" s="22"/>
      <c r="AA599" s="22"/>
      <c r="AB599" s="22"/>
      <c r="AC599" s="22"/>
      <c r="AD599" s="22"/>
      <c r="AE599" s="22"/>
      <c r="AF599" s="22"/>
      <c r="AG599" s="22"/>
      <c r="AH599" s="22"/>
      <c r="AI599" s="22"/>
      <c r="AJ599" s="22"/>
      <c r="AK599" s="22"/>
      <c r="AL599" s="22"/>
      <c r="AM599" s="22"/>
    </row>
    <row r="600">
      <c r="B600" s="28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22"/>
      <c r="Y600" s="22"/>
      <c r="Z600" s="22"/>
      <c r="AA600" s="22"/>
      <c r="AB600" s="22"/>
      <c r="AC600" s="22"/>
      <c r="AD600" s="22"/>
      <c r="AE600" s="22"/>
      <c r="AF600" s="22"/>
      <c r="AG600" s="22"/>
      <c r="AH600" s="22"/>
      <c r="AI600" s="22"/>
      <c r="AJ600" s="22"/>
      <c r="AK600" s="22"/>
      <c r="AL600" s="22"/>
      <c r="AM600" s="22"/>
    </row>
    <row r="601">
      <c r="B601" s="28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22"/>
      <c r="Y601" s="22"/>
      <c r="Z601" s="22"/>
      <c r="AA601" s="22"/>
      <c r="AB601" s="22"/>
      <c r="AC601" s="22"/>
      <c r="AD601" s="22"/>
      <c r="AE601" s="22"/>
      <c r="AF601" s="22"/>
      <c r="AG601" s="22"/>
      <c r="AH601" s="22"/>
      <c r="AI601" s="22"/>
      <c r="AJ601" s="22"/>
      <c r="AK601" s="22"/>
      <c r="AL601" s="22"/>
      <c r="AM601" s="22"/>
    </row>
    <row r="602">
      <c r="B602" s="28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22"/>
      <c r="Y602" s="22"/>
      <c r="Z602" s="22"/>
      <c r="AA602" s="22"/>
      <c r="AB602" s="22"/>
      <c r="AC602" s="22"/>
      <c r="AD602" s="22"/>
      <c r="AE602" s="22"/>
      <c r="AF602" s="22"/>
      <c r="AG602" s="22"/>
      <c r="AH602" s="22"/>
      <c r="AI602" s="22"/>
      <c r="AJ602" s="22"/>
      <c r="AK602" s="22"/>
      <c r="AL602" s="22"/>
      <c r="AM602" s="22"/>
    </row>
    <row r="603">
      <c r="B603" s="28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22"/>
      <c r="Y603" s="22"/>
      <c r="Z603" s="22"/>
      <c r="AA603" s="22"/>
      <c r="AB603" s="22"/>
      <c r="AC603" s="22"/>
      <c r="AD603" s="22"/>
      <c r="AE603" s="22"/>
      <c r="AF603" s="22"/>
      <c r="AG603" s="22"/>
      <c r="AH603" s="22"/>
      <c r="AI603" s="22"/>
      <c r="AJ603" s="22"/>
      <c r="AK603" s="22"/>
      <c r="AL603" s="22"/>
      <c r="AM603" s="22"/>
    </row>
    <row r="604">
      <c r="B604" s="28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22"/>
      <c r="Y604" s="22"/>
      <c r="Z604" s="22"/>
      <c r="AA604" s="22"/>
      <c r="AB604" s="22"/>
      <c r="AC604" s="22"/>
      <c r="AD604" s="22"/>
      <c r="AE604" s="22"/>
      <c r="AF604" s="22"/>
      <c r="AG604" s="22"/>
      <c r="AH604" s="22"/>
      <c r="AI604" s="22"/>
      <c r="AJ604" s="22"/>
      <c r="AK604" s="22"/>
      <c r="AL604" s="22"/>
      <c r="AM604" s="22"/>
    </row>
    <row r="605">
      <c r="B605" s="28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22"/>
      <c r="Y605" s="22"/>
      <c r="Z605" s="22"/>
      <c r="AA605" s="22"/>
      <c r="AB605" s="22"/>
      <c r="AC605" s="22"/>
      <c r="AD605" s="22"/>
      <c r="AE605" s="22"/>
      <c r="AF605" s="22"/>
      <c r="AG605" s="22"/>
      <c r="AH605" s="22"/>
      <c r="AI605" s="22"/>
      <c r="AJ605" s="22"/>
      <c r="AK605" s="22"/>
      <c r="AL605" s="22"/>
      <c r="AM605" s="22"/>
    </row>
    <row r="606">
      <c r="B606" s="28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22"/>
      <c r="Y606" s="22"/>
      <c r="Z606" s="22"/>
      <c r="AA606" s="22"/>
      <c r="AB606" s="22"/>
      <c r="AC606" s="22"/>
      <c r="AD606" s="22"/>
      <c r="AE606" s="22"/>
      <c r="AF606" s="22"/>
      <c r="AG606" s="22"/>
      <c r="AH606" s="22"/>
      <c r="AI606" s="22"/>
      <c r="AJ606" s="22"/>
      <c r="AK606" s="22"/>
      <c r="AL606" s="22"/>
      <c r="AM606" s="22"/>
    </row>
    <row r="607">
      <c r="B607" s="28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22"/>
      <c r="Y607" s="22"/>
      <c r="Z607" s="22"/>
      <c r="AA607" s="22"/>
      <c r="AB607" s="22"/>
      <c r="AC607" s="22"/>
      <c r="AD607" s="22"/>
      <c r="AE607" s="22"/>
      <c r="AF607" s="22"/>
      <c r="AG607" s="22"/>
      <c r="AH607" s="22"/>
      <c r="AI607" s="22"/>
      <c r="AJ607" s="22"/>
      <c r="AK607" s="22"/>
      <c r="AL607" s="22"/>
      <c r="AM607" s="22"/>
    </row>
    <row r="608">
      <c r="B608" s="28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22"/>
      <c r="Y608" s="22"/>
      <c r="Z608" s="22"/>
      <c r="AA608" s="22"/>
      <c r="AB608" s="22"/>
      <c r="AC608" s="22"/>
      <c r="AD608" s="22"/>
      <c r="AE608" s="22"/>
      <c r="AF608" s="22"/>
      <c r="AG608" s="22"/>
      <c r="AH608" s="22"/>
      <c r="AI608" s="22"/>
      <c r="AJ608" s="22"/>
      <c r="AK608" s="22"/>
      <c r="AL608" s="22"/>
      <c r="AM608" s="22"/>
    </row>
    <row r="609">
      <c r="B609" s="28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22"/>
      <c r="Y609" s="22"/>
      <c r="Z609" s="22"/>
      <c r="AA609" s="22"/>
      <c r="AB609" s="22"/>
      <c r="AC609" s="22"/>
      <c r="AD609" s="22"/>
      <c r="AE609" s="22"/>
      <c r="AF609" s="22"/>
      <c r="AG609" s="22"/>
      <c r="AH609" s="22"/>
      <c r="AI609" s="22"/>
      <c r="AJ609" s="22"/>
      <c r="AK609" s="22"/>
      <c r="AL609" s="22"/>
      <c r="AM609" s="22"/>
    </row>
    <row r="610">
      <c r="B610" s="28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22"/>
      <c r="Y610" s="22"/>
      <c r="Z610" s="22"/>
      <c r="AA610" s="22"/>
      <c r="AB610" s="22"/>
      <c r="AC610" s="22"/>
      <c r="AD610" s="22"/>
      <c r="AE610" s="22"/>
      <c r="AF610" s="22"/>
      <c r="AG610" s="22"/>
      <c r="AH610" s="22"/>
      <c r="AI610" s="22"/>
      <c r="AJ610" s="22"/>
      <c r="AK610" s="22"/>
      <c r="AL610" s="22"/>
      <c r="AM610" s="22"/>
    </row>
    <row r="611">
      <c r="B611" s="28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22"/>
      <c r="Y611" s="22"/>
      <c r="Z611" s="22"/>
      <c r="AA611" s="22"/>
      <c r="AB611" s="22"/>
      <c r="AC611" s="22"/>
      <c r="AD611" s="22"/>
      <c r="AE611" s="22"/>
      <c r="AF611" s="22"/>
      <c r="AG611" s="22"/>
      <c r="AH611" s="22"/>
      <c r="AI611" s="22"/>
      <c r="AJ611" s="22"/>
      <c r="AK611" s="22"/>
      <c r="AL611" s="22"/>
      <c r="AM611" s="22"/>
    </row>
    <row r="612">
      <c r="B612" s="28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22"/>
      <c r="Y612" s="22"/>
      <c r="Z612" s="22"/>
      <c r="AA612" s="22"/>
      <c r="AB612" s="22"/>
      <c r="AC612" s="22"/>
      <c r="AD612" s="22"/>
      <c r="AE612" s="22"/>
      <c r="AF612" s="22"/>
      <c r="AG612" s="22"/>
      <c r="AH612" s="22"/>
      <c r="AI612" s="22"/>
      <c r="AJ612" s="22"/>
      <c r="AK612" s="22"/>
      <c r="AL612" s="22"/>
      <c r="AM612" s="22"/>
    </row>
    <row r="613">
      <c r="B613" s="28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22"/>
      <c r="Y613" s="22"/>
      <c r="Z613" s="22"/>
      <c r="AA613" s="22"/>
      <c r="AB613" s="22"/>
      <c r="AC613" s="22"/>
      <c r="AD613" s="22"/>
      <c r="AE613" s="22"/>
      <c r="AF613" s="22"/>
      <c r="AG613" s="22"/>
      <c r="AH613" s="22"/>
      <c r="AI613" s="22"/>
      <c r="AJ613" s="22"/>
      <c r="AK613" s="22"/>
      <c r="AL613" s="22"/>
      <c r="AM613" s="22"/>
    </row>
    <row r="614">
      <c r="B614" s="28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22"/>
      <c r="Y614" s="22"/>
      <c r="Z614" s="22"/>
      <c r="AA614" s="22"/>
      <c r="AB614" s="22"/>
      <c r="AC614" s="22"/>
      <c r="AD614" s="22"/>
      <c r="AE614" s="22"/>
      <c r="AF614" s="22"/>
      <c r="AG614" s="22"/>
      <c r="AH614" s="22"/>
      <c r="AI614" s="22"/>
      <c r="AJ614" s="22"/>
      <c r="AK614" s="22"/>
      <c r="AL614" s="22"/>
      <c r="AM614" s="22"/>
    </row>
    <row r="615">
      <c r="B615" s="28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22"/>
      <c r="Y615" s="22"/>
      <c r="Z615" s="22"/>
      <c r="AA615" s="22"/>
      <c r="AB615" s="22"/>
      <c r="AC615" s="22"/>
      <c r="AD615" s="22"/>
      <c r="AE615" s="22"/>
      <c r="AF615" s="22"/>
      <c r="AG615" s="22"/>
      <c r="AH615" s="22"/>
      <c r="AI615" s="22"/>
      <c r="AJ615" s="22"/>
      <c r="AK615" s="22"/>
      <c r="AL615" s="22"/>
      <c r="AM615" s="22"/>
    </row>
    <row r="616">
      <c r="B616" s="28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22"/>
      <c r="Y616" s="22"/>
      <c r="Z616" s="22"/>
      <c r="AA616" s="22"/>
      <c r="AB616" s="22"/>
      <c r="AC616" s="22"/>
      <c r="AD616" s="22"/>
      <c r="AE616" s="22"/>
      <c r="AF616" s="22"/>
      <c r="AG616" s="22"/>
      <c r="AH616" s="22"/>
      <c r="AI616" s="22"/>
      <c r="AJ616" s="22"/>
      <c r="AK616" s="22"/>
      <c r="AL616" s="22"/>
      <c r="AM616" s="22"/>
    </row>
    <row r="617">
      <c r="B617" s="28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22"/>
      <c r="Y617" s="22"/>
      <c r="Z617" s="22"/>
      <c r="AA617" s="22"/>
      <c r="AB617" s="22"/>
      <c r="AC617" s="22"/>
      <c r="AD617" s="22"/>
      <c r="AE617" s="22"/>
      <c r="AF617" s="22"/>
      <c r="AG617" s="22"/>
      <c r="AH617" s="22"/>
      <c r="AI617" s="22"/>
      <c r="AJ617" s="22"/>
      <c r="AK617" s="22"/>
      <c r="AL617" s="22"/>
      <c r="AM617" s="22"/>
    </row>
    <row r="618">
      <c r="B618" s="28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22"/>
      <c r="Y618" s="22"/>
      <c r="Z618" s="22"/>
      <c r="AA618" s="22"/>
      <c r="AB618" s="22"/>
      <c r="AC618" s="22"/>
      <c r="AD618" s="22"/>
      <c r="AE618" s="22"/>
      <c r="AF618" s="22"/>
      <c r="AG618" s="22"/>
      <c r="AH618" s="22"/>
      <c r="AI618" s="22"/>
      <c r="AJ618" s="22"/>
      <c r="AK618" s="22"/>
      <c r="AL618" s="22"/>
      <c r="AM618" s="22"/>
    </row>
    <row r="619">
      <c r="B619" s="28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22"/>
      <c r="Y619" s="22"/>
      <c r="Z619" s="22"/>
      <c r="AA619" s="22"/>
      <c r="AB619" s="22"/>
      <c r="AC619" s="22"/>
      <c r="AD619" s="22"/>
      <c r="AE619" s="22"/>
      <c r="AF619" s="22"/>
      <c r="AG619" s="22"/>
      <c r="AH619" s="22"/>
      <c r="AI619" s="22"/>
      <c r="AJ619" s="22"/>
      <c r="AK619" s="22"/>
      <c r="AL619" s="22"/>
      <c r="AM619" s="22"/>
    </row>
    <row r="620">
      <c r="B620" s="28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22"/>
      <c r="Y620" s="22"/>
      <c r="Z620" s="22"/>
      <c r="AA620" s="22"/>
      <c r="AB620" s="22"/>
      <c r="AC620" s="22"/>
      <c r="AD620" s="22"/>
      <c r="AE620" s="22"/>
      <c r="AF620" s="22"/>
      <c r="AG620" s="22"/>
      <c r="AH620" s="22"/>
      <c r="AI620" s="22"/>
      <c r="AJ620" s="22"/>
      <c r="AK620" s="22"/>
      <c r="AL620" s="22"/>
      <c r="AM620" s="22"/>
    </row>
    <row r="621">
      <c r="B621" s="28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22"/>
      <c r="Y621" s="22"/>
      <c r="Z621" s="22"/>
      <c r="AA621" s="22"/>
      <c r="AB621" s="22"/>
      <c r="AC621" s="22"/>
      <c r="AD621" s="22"/>
      <c r="AE621" s="22"/>
      <c r="AF621" s="22"/>
      <c r="AG621" s="22"/>
      <c r="AH621" s="22"/>
      <c r="AI621" s="22"/>
      <c r="AJ621" s="22"/>
      <c r="AK621" s="22"/>
      <c r="AL621" s="22"/>
      <c r="AM621" s="22"/>
    </row>
    <row r="622">
      <c r="B622" s="28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22"/>
      <c r="Y622" s="22"/>
      <c r="Z622" s="22"/>
      <c r="AA622" s="22"/>
      <c r="AB622" s="22"/>
      <c r="AC622" s="22"/>
      <c r="AD622" s="22"/>
      <c r="AE622" s="22"/>
      <c r="AF622" s="22"/>
      <c r="AG622" s="22"/>
      <c r="AH622" s="22"/>
      <c r="AI622" s="22"/>
      <c r="AJ622" s="22"/>
      <c r="AK622" s="22"/>
      <c r="AL622" s="22"/>
      <c r="AM622" s="22"/>
    </row>
    <row r="623">
      <c r="B623" s="28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22"/>
      <c r="Y623" s="22"/>
      <c r="Z623" s="22"/>
      <c r="AA623" s="22"/>
      <c r="AB623" s="22"/>
      <c r="AC623" s="22"/>
      <c r="AD623" s="22"/>
      <c r="AE623" s="22"/>
      <c r="AF623" s="22"/>
      <c r="AG623" s="22"/>
      <c r="AH623" s="22"/>
      <c r="AI623" s="22"/>
      <c r="AJ623" s="22"/>
      <c r="AK623" s="22"/>
      <c r="AL623" s="22"/>
      <c r="AM623" s="22"/>
    </row>
    <row r="624">
      <c r="B624" s="28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22"/>
      <c r="Y624" s="22"/>
      <c r="Z624" s="22"/>
      <c r="AA624" s="22"/>
      <c r="AB624" s="22"/>
      <c r="AC624" s="22"/>
      <c r="AD624" s="22"/>
      <c r="AE624" s="22"/>
      <c r="AF624" s="22"/>
      <c r="AG624" s="22"/>
      <c r="AH624" s="22"/>
      <c r="AI624" s="22"/>
      <c r="AJ624" s="22"/>
      <c r="AK624" s="22"/>
      <c r="AL624" s="22"/>
      <c r="AM624" s="22"/>
    </row>
    <row r="625">
      <c r="B625" s="28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22"/>
      <c r="Y625" s="22"/>
      <c r="Z625" s="22"/>
      <c r="AA625" s="22"/>
      <c r="AB625" s="22"/>
      <c r="AC625" s="22"/>
      <c r="AD625" s="22"/>
      <c r="AE625" s="22"/>
      <c r="AF625" s="22"/>
      <c r="AG625" s="22"/>
      <c r="AH625" s="22"/>
      <c r="AI625" s="22"/>
      <c r="AJ625" s="22"/>
      <c r="AK625" s="22"/>
      <c r="AL625" s="22"/>
      <c r="AM625" s="22"/>
    </row>
    <row r="626">
      <c r="B626" s="28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22"/>
      <c r="Y626" s="22"/>
      <c r="Z626" s="22"/>
      <c r="AA626" s="22"/>
      <c r="AB626" s="22"/>
      <c r="AC626" s="22"/>
      <c r="AD626" s="22"/>
      <c r="AE626" s="22"/>
      <c r="AF626" s="22"/>
      <c r="AG626" s="22"/>
      <c r="AH626" s="22"/>
      <c r="AI626" s="22"/>
      <c r="AJ626" s="22"/>
      <c r="AK626" s="22"/>
      <c r="AL626" s="22"/>
      <c r="AM626" s="22"/>
    </row>
    <row r="627">
      <c r="B627" s="28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22"/>
      <c r="Y627" s="22"/>
      <c r="Z627" s="22"/>
      <c r="AA627" s="22"/>
      <c r="AB627" s="22"/>
      <c r="AC627" s="22"/>
      <c r="AD627" s="22"/>
      <c r="AE627" s="22"/>
      <c r="AF627" s="22"/>
      <c r="AG627" s="22"/>
      <c r="AH627" s="22"/>
      <c r="AI627" s="22"/>
      <c r="AJ627" s="22"/>
      <c r="AK627" s="22"/>
      <c r="AL627" s="22"/>
      <c r="AM627" s="22"/>
    </row>
    <row r="628">
      <c r="B628" s="28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22"/>
      <c r="Y628" s="22"/>
      <c r="Z628" s="22"/>
      <c r="AA628" s="22"/>
      <c r="AB628" s="22"/>
      <c r="AC628" s="22"/>
      <c r="AD628" s="22"/>
      <c r="AE628" s="22"/>
      <c r="AF628" s="22"/>
      <c r="AG628" s="22"/>
      <c r="AH628" s="22"/>
      <c r="AI628" s="22"/>
      <c r="AJ628" s="22"/>
      <c r="AK628" s="22"/>
      <c r="AL628" s="22"/>
      <c r="AM628" s="22"/>
    </row>
    <row r="629">
      <c r="B629" s="28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22"/>
      <c r="Y629" s="22"/>
      <c r="Z629" s="22"/>
      <c r="AA629" s="22"/>
      <c r="AB629" s="22"/>
      <c r="AC629" s="22"/>
      <c r="AD629" s="22"/>
      <c r="AE629" s="22"/>
      <c r="AF629" s="22"/>
      <c r="AG629" s="22"/>
      <c r="AH629" s="22"/>
      <c r="AI629" s="22"/>
      <c r="AJ629" s="22"/>
      <c r="AK629" s="22"/>
      <c r="AL629" s="22"/>
      <c r="AM629" s="22"/>
    </row>
    <row r="630">
      <c r="B630" s="28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22"/>
      <c r="Y630" s="22"/>
      <c r="Z630" s="22"/>
      <c r="AA630" s="22"/>
      <c r="AB630" s="22"/>
      <c r="AC630" s="22"/>
      <c r="AD630" s="22"/>
      <c r="AE630" s="22"/>
      <c r="AF630" s="22"/>
      <c r="AG630" s="22"/>
      <c r="AH630" s="22"/>
      <c r="AI630" s="22"/>
      <c r="AJ630" s="22"/>
      <c r="AK630" s="22"/>
      <c r="AL630" s="22"/>
      <c r="AM630" s="22"/>
    </row>
    <row r="631">
      <c r="B631" s="28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22"/>
      <c r="Y631" s="22"/>
      <c r="Z631" s="22"/>
      <c r="AA631" s="22"/>
      <c r="AB631" s="22"/>
      <c r="AC631" s="22"/>
      <c r="AD631" s="22"/>
      <c r="AE631" s="22"/>
      <c r="AF631" s="22"/>
      <c r="AG631" s="22"/>
      <c r="AH631" s="22"/>
      <c r="AI631" s="22"/>
      <c r="AJ631" s="22"/>
      <c r="AK631" s="22"/>
      <c r="AL631" s="22"/>
      <c r="AM631" s="22"/>
    </row>
    <row r="632">
      <c r="B632" s="28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22"/>
      <c r="Y632" s="22"/>
      <c r="Z632" s="22"/>
      <c r="AA632" s="22"/>
      <c r="AB632" s="22"/>
      <c r="AC632" s="22"/>
      <c r="AD632" s="22"/>
      <c r="AE632" s="22"/>
      <c r="AF632" s="22"/>
      <c r="AG632" s="22"/>
      <c r="AH632" s="22"/>
      <c r="AI632" s="22"/>
      <c r="AJ632" s="22"/>
      <c r="AK632" s="22"/>
      <c r="AL632" s="22"/>
      <c r="AM632" s="22"/>
    </row>
    <row r="633">
      <c r="B633" s="28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22"/>
      <c r="Y633" s="22"/>
      <c r="Z633" s="22"/>
      <c r="AA633" s="22"/>
      <c r="AB633" s="22"/>
      <c r="AC633" s="22"/>
      <c r="AD633" s="22"/>
      <c r="AE633" s="22"/>
      <c r="AF633" s="22"/>
      <c r="AG633" s="22"/>
      <c r="AH633" s="22"/>
      <c r="AI633" s="22"/>
      <c r="AJ633" s="22"/>
      <c r="AK633" s="22"/>
      <c r="AL633" s="22"/>
      <c r="AM633" s="22"/>
    </row>
    <row r="634">
      <c r="B634" s="28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22"/>
      <c r="Y634" s="22"/>
      <c r="Z634" s="22"/>
      <c r="AA634" s="22"/>
      <c r="AB634" s="22"/>
      <c r="AC634" s="22"/>
      <c r="AD634" s="22"/>
      <c r="AE634" s="22"/>
      <c r="AF634" s="22"/>
      <c r="AG634" s="22"/>
      <c r="AH634" s="22"/>
      <c r="AI634" s="22"/>
      <c r="AJ634" s="22"/>
      <c r="AK634" s="22"/>
      <c r="AL634" s="22"/>
      <c r="AM634" s="22"/>
    </row>
    <row r="635">
      <c r="B635" s="28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22"/>
      <c r="Y635" s="22"/>
      <c r="Z635" s="22"/>
      <c r="AA635" s="22"/>
      <c r="AB635" s="22"/>
      <c r="AC635" s="22"/>
      <c r="AD635" s="22"/>
      <c r="AE635" s="22"/>
      <c r="AF635" s="22"/>
      <c r="AG635" s="22"/>
      <c r="AH635" s="22"/>
      <c r="AI635" s="22"/>
      <c r="AJ635" s="22"/>
      <c r="AK635" s="22"/>
      <c r="AL635" s="22"/>
      <c r="AM635" s="22"/>
    </row>
    <row r="636">
      <c r="B636" s="28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22"/>
      <c r="Y636" s="22"/>
      <c r="Z636" s="22"/>
      <c r="AA636" s="22"/>
      <c r="AB636" s="22"/>
      <c r="AC636" s="22"/>
      <c r="AD636" s="22"/>
      <c r="AE636" s="22"/>
      <c r="AF636" s="22"/>
      <c r="AG636" s="22"/>
      <c r="AH636" s="22"/>
      <c r="AI636" s="22"/>
      <c r="AJ636" s="22"/>
      <c r="AK636" s="22"/>
      <c r="AL636" s="22"/>
      <c r="AM636" s="22"/>
    </row>
    <row r="637">
      <c r="B637" s="28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22"/>
      <c r="Y637" s="22"/>
      <c r="Z637" s="22"/>
      <c r="AA637" s="22"/>
      <c r="AB637" s="22"/>
      <c r="AC637" s="22"/>
      <c r="AD637" s="22"/>
      <c r="AE637" s="22"/>
      <c r="AF637" s="22"/>
      <c r="AG637" s="22"/>
      <c r="AH637" s="22"/>
      <c r="AI637" s="22"/>
      <c r="AJ637" s="22"/>
      <c r="AK637" s="22"/>
      <c r="AL637" s="22"/>
      <c r="AM637" s="22"/>
    </row>
    <row r="638">
      <c r="B638" s="28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22"/>
      <c r="Y638" s="22"/>
      <c r="Z638" s="22"/>
      <c r="AA638" s="22"/>
      <c r="AB638" s="22"/>
      <c r="AC638" s="22"/>
      <c r="AD638" s="22"/>
      <c r="AE638" s="22"/>
      <c r="AF638" s="22"/>
      <c r="AG638" s="22"/>
      <c r="AH638" s="22"/>
      <c r="AI638" s="22"/>
      <c r="AJ638" s="22"/>
      <c r="AK638" s="22"/>
      <c r="AL638" s="22"/>
      <c r="AM638" s="22"/>
    </row>
    <row r="639">
      <c r="B639" s="28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22"/>
      <c r="Y639" s="22"/>
      <c r="Z639" s="22"/>
      <c r="AA639" s="22"/>
      <c r="AB639" s="22"/>
      <c r="AC639" s="22"/>
      <c r="AD639" s="22"/>
      <c r="AE639" s="22"/>
      <c r="AF639" s="22"/>
      <c r="AG639" s="22"/>
      <c r="AH639" s="22"/>
      <c r="AI639" s="22"/>
      <c r="AJ639" s="22"/>
      <c r="AK639" s="22"/>
      <c r="AL639" s="22"/>
      <c r="AM639" s="22"/>
    </row>
    <row r="640">
      <c r="B640" s="28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22"/>
      <c r="Y640" s="22"/>
      <c r="Z640" s="22"/>
      <c r="AA640" s="22"/>
      <c r="AB640" s="22"/>
      <c r="AC640" s="22"/>
      <c r="AD640" s="22"/>
      <c r="AE640" s="22"/>
      <c r="AF640" s="22"/>
      <c r="AG640" s="22"/>
      <c r="AH640" s="22"/>
      <c r="AI640" s="22"/>
      <c r="AJ640" s="22"/>
      <c r="AK640" s="22"/>
      <c r="AL640" s="22"/>
      <c r="AM640" s="22"/>
    </row>
    <row r="641">
      <c r="B641" s="28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22"/>
      <c r="Y641" s="22"/>
      <c r="Z641" s="22"/>
      <c r="AA641" s="22"/>
      <c r="AB641" s="22"/>
      <c r="AC641" s="22"/>
      <c r="AD641" s="22"/>
      <c r="AE641" s="22"/>
      <c r="AF641" s="22"/>
      <c r="AG641" s="22"/>
      <c r="AH641" s="22"/>
      <c r="AI641" s="22"/>
      <c r="AJ641" s="22"/>
      <c r="AK641" s="22"/>
      <c r="AL641" s="22"/>
      <c r="AM641" s="22"/>
    </row>
    <row r="642">
      <c r="B642" s="28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22"/>
      <c r="Y642" s="22"/>
      <c r="Z642" s="22"/>
      <c r="AA642" s="22"/>
      <c r="AB642" s="22"/>
      <c r="AC642" s="22"/>
      <c r="AD642" s="22"/>
      <c r="AE642" s="22"/>
      <c r="AF642" s="22"/>
      <c r="AG642" s="22"/>
      <c r="AH642" s="22"/>
      <c r="AI642" s="22"/>
      <c r="AJ642" s="22"/>
      <c r="AK642" s="22"/>
      <c r="AL642" s="22"/>
      <c r="AM642" s="22"/>
    </row>
    <row r="643">
      <c r="B643" s="28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22"/>
      <c r="Y643" s="22"/>
      <c r="Z643" s="22"/>
      <c r="AA643" s="22"/>
      <c r="AB643" s="22"/>
      <c r="AC643" s="22"/>
      <c r="AD643" s="22"/>
      <c r="AE643" s="22"/>
      <c r="AF643" s="22"/>
      <c r="AG643" s="22"/>
      <c r="AH643" s="22"/>
      <c r="AI643" s="22"/>
      <c r="AJ643" s="22"/>
      <c r="AK643" s="22"/>
      <c r="AL643" s="22"/>
      <c r="AM643" s="22"/>
    </row>
    <row r="644">
      <c r="B644" s="28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22"/>
      <c r="Y644" s="22"/>
      <c r="Z644" s="22"/>
      <c r="AA644" s="22"/>
      <c r="AB644" s="22"/>
      <c r="AC644" s="22"/>
      <c r="AD644" s="22"/>
      <c r="AE644" s="22"/>
      <c r="AF644" s="22"/>
      <c r="AG644" s="22"/>
      <c r="AH644" s="22"/>
      <c r="AI644" s="22"/>
      <c r="AJ644" s="22"/>
      <c r="AK644" s="22"/>
      <c r="AL644" s="22"/>
      <c r="AM644" s="22"/>
    </row>
    <row r="645">
      <c r="B645" s="28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22"/>
      <c r="Y645" s="22"/>
      <c r="Z645" s="22"/>
      <c r="AA645" s="22"/>
      <c r="AB645" s="22"/>
      <c r="AC645" s="22"/>
      <c r="AD645" s="22"/>
      <c r="AE645" s="22"/>
      <c r="AF645" s="22"/>
      <c r="AG645" s="22"/>
      <c r="AH645" s="22"/>
      <c r="AI645" s="22"/>
      <c r="AJ645" s="22"/>
      <c r="AK645" s="22"/>
      <c r="AL645" s="22"/>
      <c r="AM645" s="22"/>
    </row>
    <row r="646">
      <c r="B646" s="28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22"/>
      <c r="Y646" s="22"/>
      <c r="Z646" s="22"/>
      <c r="AA646" s="22"/>
      <c r="AB646" s="22"/>
      <c r="AC646" s="22"/>
      <c r="AD646" s="22"/>
      <c r="AE646" s="22"/>
      <c r="AF646" s="22"/>
      <c r="AG646" s="22"/>
      <c r="AH646" s="22"/>
      <c r="AI646" s="22"/>
      <c r="AJ646" s="22"/>
      <c r="AK646" s="22"/>
      <c r="AL646" s="22"/>
      <c r="AM646" s="22"/>
    </row>
    <row r="647">
      <c r="B647" s="28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22"/>
      <c r="Y647" s="22"/>
      <c r="Z647" s="22"/>
      <c r="AA647" s="22"/>
      <c r="AB647" s="22"/>
      <c r="AC647" s="22"/>
      <c r="AD647" s="22"/>
      <c r="AE647" s="22"/>
      <c r="AF647" s="22"/>
      <c r="AG647" s="22"/>
      <c r="AH647" s="22"/>
      <c r="AI647" s="22"/>
      <c r="AJ647" s="22"/>
      <c r="AK647" s="22"/>
      <c r="AL647" s="22"/>
      <c r="AM647" s="22"/>
    </row>
    <row r="648">
      <c r="B648" s="28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22"/>
      <c r="Y648" s="22"/>
      <c r="Z648" s="22"/>
      <c r="AA648" s="22"/>
      <c r="AB648" s="22"/>
      <c r="AC648" s="22"/>
      <c r="AD648" s="22"/>
      <c r="AE648" s="22"/>
      <c r="AF648" s="22"/>
      <c r="AG648" s="22"/>
      <c r="AH648" s="22"/>
      <c r="AI648" s="22"/>
      <c r="AJ648" s="22"/>
      <c r="AK648" s="22"/>
      <c r="AL648" s="22"/>
      <c r="AM648" s="22"/>
    </row>
    <row r="649">
      <c r="B649" s="28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22"/>
      <c r="Y649" s="22"/>
      <c r="Z649" s="22"/>
      <c r="AA649" s="22"/>
      <c r="AB649" s="22"/>
      <c r="AC649" s="22"/>
      <c r="AD649" s="22"/>
      <c r="AE649" s="22"/>
      <c r="AF649" s="22"/>
      <c r="AG649" s="22"/>
      <c r="AH649" s="22"/>
      <c r="AI649" s="22"/>
      <c r="AJ649" s="22"/>
      <c r="AK649" s="22"/>
      <c r="AL649" s="22"/>
      <c r="AM649" s="22"/>
    </row>
    <row r="650">
      <c r="B650" s="28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22"/>
      <c r="Y650" s="22"/>
      <c r="Z650" s="22"/>
      <c r="AA650" s="22"/>
      <c r="AB650" s="22"/>
      <c r="AC650" s="22"/>
      <c r="AD650" s="22"/>
      <c r="AE650" s="22"/>
      <c r="AF650" s="22"/>
      <c r="AG650" s="22"/>
      <c r="AH650" s="22"/>
      <c r="AI650" s="22"/>
      <c r="AJ650" s="22"/>
      <c r="AK650" s="22"/>
      <c r="AL650" s="22"/>
      <c r="AM650" s="22"/>
    </row>
    <row r="651">
      <c r="B651" s="28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22"/>
      <c r="Y651" s="22"/>
      <c r="Z651" s="22"/>
      <c r="AA651" s="22"/>
      <c r="AB651" s="22"/>
      <c r="AC651" s="22"/>
      <c r="AD651" s="22"/>
      <c r="AE651" s="22"/>
      <c r="AF651" s="22"/>
      <c r="AG651" s="22"/>
      <c r="AH651" s="22"/>
      <c r="AI651" s="22"/>
      <c r="AJ651" s="22"/>
      <c r="AK651" s="22"/>
      <c r="AL651" s="22"/>
      <c r="AM651" s="22"/>
    </row>
    <row r="652">
      <c r="B652" s="28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22"/>
      <c r="Y652" s="22"/>
      <c r="Z652" s="22"/>
      <c r="AA652" s="22"/>
      <c r="AB652" s="22"/>
      <c r="AC652" s="22"/>
      <c r="AD652" s="22"/>
      <c r="AE652" s="22"/>
      <c r="AF652" s="22"/>
      <c r="AG652" s="22"/>
      <c r="AH652" s="22"/>
      <c r="AI652" s="22"/>
      <c r="AJ652" s="22"/>
      <c r="AK652" s="22"/>
      <c r="AL652" s="22"/>
      <c r="AM652" s="22"/>
    </row>
    <row r="653">
      <c r="B653" s="28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22"/>
      <c r="Y653" s="22"/>
      <c r="Z653" s="22"/>
      <c r="AA653" s="22"/>
      <c r="AB653" s="22"/>
      <c r="AC653" s="22"/>
      <c r="AD653" s="22"/>
      <c r="AE653" s="22"/>
      <c r="AF653" s="22"/>
      <c r="AG653" s="22"/>
      <c r="AH653" s="22"/>
      <c r="AI653" s="22"/>
      <c r="AJ653" s="22"/>
      <c r="AK653" s="22"/>
      <c r="AL653" s="22"/>
      <c r="AM653" s="22"/>
    </row>
    <row r="654">
      <c r="B654" s="28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22"/>
      <c r="Y654" s="22"/>
      <c r="Z654" s="22"/>
      <c r="AA654" s="22"/>
      <c r="AB654" s="22"/>
      <c r="AC654" s="22"/>
      <c r="AD654" s="22"/>
      <c r="AE654" s="22"/>
      <c r="AF654" s="22"/>
      <c r="AG654" s="22"/>
      <c r="AH654" s="22"/>
      <c r="AI654" s="22"/>
      <c r="AJ654" s="22"/>
      <c r="AK654" s="22"/>
      <c r="AL654" s="22"/>
      <c r="AM654" s="22"/>
    </row>
    <row r="655">
      <c r="B655" s="28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22"/>
      <c r="Y655" s="22"/>
      <c r="Z655" s="22"/>
      <c r="AA655" s="22"/>
      <c r="AB655" s="22"/>
      <c r="AC655" s="22"/>
      <c r="AD655" s="22"/>
      <c r="AE655" s="22"/>
      <c r="AF655" s="22"/>
      <c r="AG655" s="22"/>
      <c r="AH655" s="22"/>
      <c r="AI655" s="22"/>
      <c r="AJ655" s="22"/>
      <c r="AK655" s="22"/>
      <c r="AL655" s="22"/>
      <c r="AM655" s="22"/>
    </row>
    <row r="656">
      <c r="B656" s="28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22"/>
      <c r="Y656" s="22"/>
      <c r="Z656" s="22"/>
      <c r="AA656" s="22"/>
      <c r="AB656" s="22"/>
      <c r="AC656" s="22"/>
      <c r="AD656" s="22"/>
      <c r="AE656" s="22"/>
      <c r="AF656" s="22"/>
      <c r="AG656" s="22"/>
      <c r="AH656" s="22"/>
      <c r="AI656" s="22"/>
      <c r="AJ656" s="22"/>
      <c r="AK656" s="22"/>
      <c r="AL656" s="22"/>
      <c r="AM656" s="22"/>
    </row>
    <row r="657">
      <c r="B657" s="28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22"/>
      <c r="Y657" s="22"/>
      <c r="Z657" s="22"/>
      <c r="AA657" s="22"/>
      <c r="AB657" s="22"/>
      <c r="AC657" s="22"/>
      <c r="AD657" s="22"/>
      <c r="AE657" s="22"/>
      <c r="AF657" s="22"/>
      <c r="AG657" s="22"/>
      <c r="AH657" s="22"/>
      <c r="AI657" s="22"/>
      <c r="AJ657" s="22"/>
      <c r="AK657" s="22"/>
      <c r="AL657" s="22"/>
      <c r="AM657" s="22"/>
    </row>
    <row r="658">
      <c r="B658" s="28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22"/>
      <c r="Y658" s="22"/>
      <c r="Z658" s="22"/>
      <c r="AA658" s="22"/>
      <c r="AB658" s="22"/>
      <c r="AC658" s="22"/>
      <c r="AD658" s="22"/>
      <c r="AE658" s="22"/>
      <c r="AF658" s="22"/>
      <c r="AG658" s="22"/>
      <c r="AH658" s="22"/>
      <c r="AI658" s="22"/>
      <c r="AJ658" s="22"/>
      <c r="AK658" s="22"/>
      <c r="AL658" s="22"/>
      <c r="AM658" s="22"/>
    </row>
    <row r="659">
      <c r="B659" s="28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22"/>
      <c r="Y659" s="22"/>
      <c r="Z659" s="22"/>
      <c r="AA659" s="22"/>
      <c r="AB659" s="22"/>
      <c r="AC659" s="22"/>
      <c r="AD659" s="22"/>
      <c r="AE659" s="22"/>
      <c r="AF659" s="22"/>
      <c r="AG659" s="22"/>
      <c r="AH659" s="22"/>
      <c r="AI659" s="22"/>
      <c r="AJ659" s="22"/>
      <c r="AK659" s="22"/>
      <c r="AL659" s="22"/>
      <c r="AM659" s="22"/>
    </row>
    <row r="660">
      <c r="B660" s="28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22"/>
      <c r="Y660" s="22"/>
      <c r="Z660" s="22"/>
      <c r="AA660" s="22"/>
      <c r="AB660" s="22"/>
      <c r="AC660" s="22"/>
      <c r="AD660" s="22"/>
      <c r="AE660" s="22"/>
      <c r="AF660" s="22"/>
      <c r="AG660" s="22"/>
      <c r="AH660" s="22"/>
      <c r="AI660" s="22"/>
      <c r="AJ660" s="22"/>
      <c r="AK660" s="22"/>
      <c r="AL660" s="22"/>
      <c r="AM660" s="22"/>
    </row>
    <row r="661">
      <c r="B661" s="28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22"/>
      <c r="Y661" s="22"/>
      <c r="Z661" s="22"/>
      <c r="AA661" s="22"/>
      <c r="AB661" s="22"/>
      <c r="AC661" s="22"/>
      <c r="AD661" s="22"/>
      <c r="AE661" s="22"/>
      <c r="AF661" s="22"/>
      <c r="AG661" s="22"/>
      <c r="AH661" s="22"/>
      <c r="AI661" s="22"/>
      <c r="AJ661" s="22"/>
      <c r="AK661" s="22"/>
      <c r="AL661" s="22"/>
      <c r="AM661" s="22"/>
    </row>
    <row r="662">
      <c r="B662" s="28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22"/>
      <c r="Y662" s="22"/>
      <c r="Z662" s="22"/>
      <c r="AA662" s="22"/>
      <c r="AB662" s="22"/>
      <c r="AC662" s="22"/>
      <c r="AD662" s="22"/>
      <c r="AE662" s="22"/>
      <c r="AF662" s="22"/>
      <c r="AG662" s="22"/>
      <c r="AH662" s="22"/>
      <c r="AI662" s="22"/>
      <c r="AJ662" s="22"/>
      <c r="AK662" s="22"/>
      <c r="AL662" s="22"/>
      <c r="AM662" s="22"/>
    </row>
    <row r="663">
      <c r="B663" s="28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22"/>
      <c r="Y663" s="22"/>
      <c r="Z663" s="22"/>
      <c r="AA663" s="22"/>
      <c r="AB663" s="22"/>
      <c r="AC663" s="22"/>
      <c r="AD663" s="22"/>
      <c r="AE663" s="22"/>
      <c r="AF663" s="22"/>
      <c r="AG663" s="22"/>
      <c r="AH663" s="22"/>
      <c r="AI663" s="22"/>
      <c r="AJ663" s="22"/>
      <c r="AK663" s="22"/>
      <c r="AL663" s="22"/>
      <c r="AM663" s="22"/>
    </row>
    <row r="664">
      <c r="B664" s="28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22"/>
      <c r="Y664" s="22"/>
      <c r="Z664" s="22"/>
      <c r="AA664" s="22"/>
      <c r="AB664" s="22"/>
      <c r="AC664" s="22"/>
      <c r="AD664" s="22"/>
      <c r="AE664" s="22"/>
      <c r="AF664" s="22"/>
      <c r="AG664" s="22"/>
      <c r="AH664" s="22"/>
      <c r="AI664" s="22"/>
      <c r="AJ664" s="22"/>
      <c r="AK664" s="22"/>
      <c r="AL664" s="22"/>
      <c r="AM664" s="22"/>
    </row>
    <row r="665">
      <c r="B665" s="28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22"/>
      <c r="Y665" s="22"/>
      <c r="Z665" s="22"/>
      <c r="AA665" s="22"/>
      <c r="AB665" s="22"/>
      <c r="AC665" s="22"/>
      <c r="AD665" s="22"/>
      <c r="AE665" s="22"/>
      <c r="AF665" s="22"/>
      <c r="AG665" s="22"/>
      <c r="AH665" s="22"/>
      <c r="AI665" s="22"/>
      <c r="AJ665" s="22"/>
      <c r="AK665" s="22"/>
      <c r="AL665" s="22"/>
      <c r="AM665" s="22"/>
    </row>
    <row r="666">
      <c r="B666" s="28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22"/>
      <c r="Y666" s="22"/>
      <c r="Z666" s="22"/>
      <c r="AA666" s="22"/>
      <c r="AB666" s="22"/>
      <c r="AC666" s="22"/>
      <c r="AD666" s="22"/>
      <c r="AE666" s="22"/>
      <c r="AF666" s="22"/>
      <c r="AG666" s="22"/>
      <c r="AH666" s="22"/>
      <c r="AI666" s="22"/>
      <c r="AJ666" s="22"/>
      <c r="AK666" s="22"/>
      <c r="AL666" s="22"/>
      <c r="AM666" s="22"/>
    </row>
    <row r="667">
      <c r="B667" s="28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22"/>
      <c r="Y667" s="22"/>
      <c r="Z667" s="22"/>
      <c r="AA667" s="22"/>
      <c r="AB667" s="22"/>
      <c r="AC667" s="22"/>
      <c r="AD667" s="22"/>
      <c r="AE667" s="22"/>
      <c r="AF667" s="22"/>
      <c r="AG667" s="22"/>
      <c r="AH667" s="22"/>
      <c r="AI667" s="22"/>
      <c r="AJ667" s="22"/>
      <c r="AK667" s="22"/>
      <c r="AL667" s="22"/>
      <c r="AM667" s="22"/>
    </row>
    <row r="668">
      <c r="B668" s="28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22"/>
      <c r="Y668" s="22"/>
      <c r="Z668" s="22"/>
      <c r="AA668" s="22"/>
      <c r="AB668" s="22"/>
      <c r="AC668" s="22"/>
      <c r="AD668" s="22"/>
      <c r="AE668" s="22"/>
      <c r="AF668" s="22"/>
      <c r="AG668" s="22"/>
      <c r="AH668" s="22"/>
      <c r="AI668" s="22"/>
      <c r="AJ668" s="22"/>
      <c r="AK668" s="22"/>
      <c r="AL668" s="22"/>
      <c r="AM668" s="22"/>
    </row>
    <row r="669">
      <c r="B669" s="28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22"/>
      <c r="Y669" s="22"/>
      <c r="Z669" s="22"/>
      <c r="AA669" s="22"/>
      <c r="AB669" s="22"/>
      <c r="AC669" s="22"/>
      <c r="AD669" s="22"/>
      <c r="AE669" s="22"/>
      <c r="AF669" s="22"/>
      <c r="AG669" s="22"/>
      <c r="AH669" s="22"/>
      <c r="AI669" s="22"/>
      <c r="AJ669" s="22"/>
      <c r="AK669" s="22"/>
      <c r="AL669" s="22"/>
      <c r="AM669" s="22"/>
    </row>
    <row r="670">
      <c r="B670" s="28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22"/>
      <c r="Y670" s="22"/>
      <c r="Z670" s="22"/>
      <c r="AA670" s="22"/>
      <c r="AB670" s="22"/>
      <c r="AC670" s="22"/>
      <c r="AD670" s="22"/>
      <c r="AE670" s="22"/>
      <c r="AF670" s="22"/>
      <c r="AG670" s="22"/>
      <c r="AH670" s="22"/>
      <c r="AI670" s="22"/>
      <c r="AJ670" s="22"/>
      <c r="AK670" s="22"/>
      <c r="AL670" s="22"/>
      <c r="AM670" s="22"/>
    </row>
    <row r="671">
      <c r="B671" s="28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22"/>
      <c r="Y671" s="22"/>
      <c r="Z671" s="22"/>
      <c r="AA671" s="22"/>
      <c r="AB671" s="22"/>
      <c r="AC671" s="22"/>
      <c r="AD671" s="22"/>
      <c r="AE671" s="22"/>
      <c r="AF671" s="22"/>
      <c r="AG671" s="22"/>
      <c r="AH671" s="22"/>
      <c r="AI671" s="22"/>
      <c r="AJ671" s="22"/>
      <c r="AK671" s="22"/>
      <c r="AL671" s="22"/>
      <c r="AM671" s="22"/>
    </row>
    <row r="672">
      <c r="B672" s="28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22"/>
      <c r="Y672" s="22"/>
      <c r="Z672" s="22"/>
      <c r="AA672" s="22"/>
      <c r="AB672" s="22"/>
      <c r="AC672" s="22"/>
      <c r="AD672" s="22"/>
      <c r="AE672" s="22"/>
      <c r="AF672" s="22"/>
      <c r="AG672" s="22"/>
      <c r="AH672" s="22"/>
      <c r="AI672" s="22"/>
      <c r="AJ672" s="22"/>
      <c r="AK672" s="22"/>
      <c r="AL672" s="22"/>
      <c r="AM672" s="22"/>
    </row>
    <row r="673">
      <c r="B673" s="28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22"/>
      <c r="Y673" s="22"/>
      <c r="Z673" s="22"/>
      <c r="AA673" s="22"/>
      <c r="AB673" s="22"/>
      <c r="AC673" s="22"/>
      <c r="AD673" s="22"/>
      <c r="AE673" s="22"/>
      <c r="AF673" s="22"/>
      <c r="AG673" s="22"/>
      <c r="AH673" s="22"/>
      <c r="AI673" s="22"/>
      <c r="AJ673" s="22"/>
      <c r="AK673" s="22"/>
      <c r="AL673" s="22"/>
      <c r="AM673" s="22"/>
    </row>
    <row r="674">
      <c r="B674" s="28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22"/>
      <c r="Y674" s="22"/>
      <c r="Z674" s="22"/>
      <c r="AA674" s="22"/>
      <c r="AB674" s="22"/>
      <c r="AC674" s="22"/>
      <c r="AD674" s="22"/>
      <c r="AE674" s="22"/>
      <c r="AF674" s="22"/>
      <c r="AG674" s="22"/>
      <c r="AH674" s="22"/>
      <c r="AI674" s="22"/>
      <c r="AJ674" s="22"/>
      <c r="AK674" s="22"/>
      <c r="AL674" s="22"/>
      <c r="AM674" s="22"/>
    </row>
    <row r="675">
      <c r="B675" s="28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22"/>
      <c r="Y675" s="22"/>
      <c r="Z675" s="22"/>
      <c r="AA675" s="22"/>
      <c r="AB675" s="22"/>
      <c r="AC675" s="22"/>
      <c r="AD675" s="22"/>
      <c r="AE675" s="22"/>
      <c r="AF675" s="22"/>
      <c r="AG675" s="22"/>
      <c r="AH675" s="22"/>
      <c r="AI675" s="22"/>
      <c r="AJ675" s="22"/>
      <c r="AK675" s="22"/>
      <c r="AL675" s="22"/>
      <c r="AM675" s="22"/>
    </row>
    <row r="676">
      <c r="B676" s="28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22"/>
      <c r="Y676" s="22"/>
      <c r="Z676" s="22"/>
      <c r="AA676" s="22"/>
      <c r="AB676" s="22"/>
      <c r="AC676" s="22"/>
      <c r="AD676" s="22"/>
      <c r="AE676" s="22"/>
      <c r="AF676" s="22"/>
      <c r="AG676" s="22"/>
      <c r="AH676" s="22"/>
      <c r="AI676" s="22"/>
      <c r="AJ676" s="22"/>
      <c r="AK676" s="22"/>
      <c r="AL676" s="22"/>
      <c r="AM676" s="22"/>
    </row>
    <row r="677">
      <c r="B677" s="28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22"/>
      <c r="Y677" s="22"/>
      <c r="Z677" s="22"/>
      <c r="AA677" s="22"/>
      <c r="AB677" s="22"/>
      <c r="AC677" s="22"/>
      <c r="AD677" s="22"/>
      <c r="AE677" s="22"/>
      <c r="AF677" s="22"/>
      <c r="AG677" s="22"/>
      <c r="AH677" s="22"/>
      <c r="AI677" s="22"/>
      <c r="AJ677" s="22"/>
      <c r="AK677" s="22"/>
      <c r="AL677" s="22"/>
      <c r="AM677" s="22"/>
    </row>
    <row r="678">
      <c r="B678" s="28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22"/>
      <c r="Y678" s="22"/>
      <c r="Z678" s="22"/>
      <c r="AA678" s="22"/>
      <c r="AB678" s="22"/>
      <c r="AC678" s="22"/>
      <c r="AD678" s="22"/>
      <c r="AE678" s="22"/>
      <c r="AF678" s="22"/>
      <c r="AG678" s="22"/>
      <c r="AH678" s="22"/>
      <c r="AI678" s="22"/>
      <c r="AJ678" s="22"/>
      <c r="AK678" s="22"/>
      <c r="AL678" s="22"/>
      <c r="AM678" s="22"/>
    </row>
    <row r="679">
      <c r="B679" s="28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22"/>
      <c r="Y679" s="22"/>
      <c r="Z679" s="22"/>
      <c r="AA679" s="22"/>
      <c r="AB679" s="22"/>
      <c r="AC679" s="22"/>
      <c r="AD679" s="22"/>
      <c r="AE679" s="22"/>
      <c r="AF679" s="22"/>
      <c r="AG679" s="22"/>
      <c r="AH679" s="22"/>
      <c r="AI679" s="22"/>
      <c r="AJ679" s="22"/>
      <c r="AK679" s="22"/>
      <c r="AL679" s="22"/>
      <c r="AM679" s="22"/>
    </row>
    <row r="680">
      <c r="B680" s="28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22"/>
      <c r="Y680" s="22"/>
      <c r="Z680" s="22"/>
      <c r="AA680" s="22"/>
      <c r="AB680" s="22"/>
      <c r="AC680" s="22"/>
      <c r="AD680" s="22"/>
      <c r="AE680" s="22"/>
      <c r="AF680" s="22"/>
      <c r="AG680" s="22"/>
      <c r="AH680" s="22"/>
      <c r="AI680" s="22"/>
      <c r="AJ680" s="22"/>
      <c r="AK680" s="22"/>
      <c r="AL680" s="22"/>
      <c r="AM680" s="22"/>
    </row>
    <row r="681">
      <c r="B681" s="28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22"/>
      <c r="Y681" s="22"/>
      <c r="Z681" s="22"/>
      <c r="AA681" s="22"/>
      <c r="AB681" s="22"/>
      <c r="AC681" s="22"/>
      <c r="AD681" s="22"/>
      <c r="AE681" s="22"/>
      <c r="AF681" s="22"/>
      <c r="AG681" s="22"/>
      <c r="AH681" s="22"/>
      <c r="AI681" s="22"/>
      <c r="AJ681" s="22"/>
      <c r="AK681" s="22"/>
      <c r="AL681" s="22"/>
      <c r="AM681" s="22"/>
    </row>
    <row r="682">
      <c r="B682" s="28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22"/>
      <c r="Y682" s="22"/>
      <c r="Z682" s="22"/>
      <c r="AA682" s="22"/>
      <c r="AB682" s="22"/>
      <c r="AC682" s="22"/>
      <c r="AD682" s="22"/>
      <c r="AE682" s="22"/>
      <c r="AF682" s="22"/>
      <c r="AG682" s="22"/>
      <c r="AH682" s="22"/>
      <c r="AI682" s="22"/>
      <c r="AJ682" s="22"/>
      <c r="AK682" s="22"/>
      <c r="AL682" s="22"/>
      <c r="AM682" s="22"/>
    </row>
    <row r="683">
      <c r="B683" s="28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22"/>
      <c r="Y683" s="22"/>
      <c r="Z683" s="22"/>
      <c r="AA683" s="22"/>
      <c r="AB683" s="22"/>
      <c r="AC683" s="22"/>
      <c r="AD683" s="22"/>
      <c r="AE683" s="22"/>
      <c r="AF683" s="22"/>
      <c r="AG683" s="22"/>
      <c r="AH683" s="22"/>
      <c r="AI683" s="22"/>
      <c r="AJ683" s="22"/>
      <c r="AK683" s="22"/>
      <c r="AL683" s="22"/>
      <c r="AM683" s="22"/>
    </row>
    <row r="684">
      <c r="B684" s="28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22"/>
      <c r="Y684" s="22"/>
      <c r="Z684" s="22"/>
      <c r="AA684" s="22"/>
      <c r="AB684" s="22"/>
      <c r="AC684" s="22"/>
      <c r="AD684" s="22"/>
      <c r="AE684" s="22"/>
      <c r="AF684" s="22"/>
      <c r="AG684" s="22"/>
      <c r="AH684" s="22"/>
      <c r="AI684" s="22"/>
      <c r="AJ684" s="22"/>
      <c r="AK684" s="22"/>
      <c r="AL684" s="22"/>
      <c r="AM684" s="22"/>
    </row>
    <row r="685">
      <c r="B685" s="28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22"/>
      <c r="Y685" s="22"/>
      <c r="Z685" s="22"/>
      <c r="AA685" s="22"/>
      <c r="AB685" s="22"/>
      <c r="AC685" s="22"/>
      <c r="AD685" s="22"/>
      <c r="AE685" s="22"/>
      <c r="AF685" s="22"/>
      <c r="AG685" s="22"/>
      <c r="AH685" s="22"/>
      <c r="AI685" s="22"/>
      <c r="AJ685" s="22"/>
      <c r="AK685" s="22"/>
      <c r="AL685" s="22"/>
      <c r="AM685" s="22"/>
    </row>
    <row r="686">
      <c r="B686" s="28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22"/>
      <c r="Y686" s="22"/>
      <c r="Z686" s="22"/>
      <c r="AA686" s="22"/>
      <c r="AB686" s="22"/>
      <c r="AC686" s="22"/>
      <c r="AD686" s="22"/>
      <c r="AE686" s="22"/>
      <c r="AF686" s="22"/>
      <c r="AG686" s="22"/>
      <c r="AH686" s="22"/>
      <c r="AI686" s="22"/>
      <c r="AJ686" s="22"/>
      <c r="AK686" s="22"/>
      <c r="AL686" s="22"/>
      <c r="AM686" s="22"/>
    </row>
    <row r="687">
      <c r="B687" s="28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22"/>
      <c r="Y687" s="22"/>
      <c r="Z687" s="22"/>
      <c r="AA687" s="22"/>
      <c r="AB687" s="22"/>
      <c r="AC687" s="22"/>
      <c r="AD687" s="22"/>
      <c r="AE687" s="22"/>
      <c r="AF687" s="22"/>
      <c r="AG687" s="22"/>
      <c r="AH687" s="22"/>
      <c r="AI687" s="22"/>
      <c r="AJ687" s="22"/>
      <c r="AK687" s="22"/>
      <c r="AL687" s="22"/>
      <c r="AM687" s="22"/>
    </row>
    <row r="688">
      <c r="B688" s="28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22"/>
      <c r="Y688" s="22"/>
      <c r="Z688" s="22"/>
      <c r="AA688" s="22"/>
      <c r="AB688" s="22"/>
      <c r="AC688" s="22"/>
      <c r="AD688" s="22"/>
      <c r="AE688" s="22"/>
      <c r="AF688" s="22"/>
      <c r="AG688" s="22"/>
      <c r="AH688" s="22"/>
      <c r="AI688" s="22"/>
      <c r="AJ688" s="22"/>
      <c r="AK688" s="22"/>
      <c r="AL688" s="22"/>
      <c r="AM688" s="22"/>
    </row>
    <row r="689">
      <c r="B689" s="28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22"/>
      <c r="Y689" s="22"/>
      <c r="Z689" s="22"/>
      <c r="AA689" s="22"/>
      <c r="AB689" s="22"/>
      <c r="AC689" s="22"/>
      <c r="AD689" s="22"/>
      <c r="AE689" s="22"/>
      <c r="AF689" s="22"/>
      <c r="AG689" s="22"/>
      <c r="AH689" s="22"/>
      <c r="AI689" s="22"/>
      <c r="AJ689" s="22"/>
      <c r="AK689" s="22"/>
      <c r="AL689" s="22"/>
      <c r="AM689" s="22"/>
    </row>
    <row r="690">
      <c r="B690" s="28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22"/>
      <c r="Y690" s="22"/>
      <c r="Z690" s="22"/>
      <c r="AA690" s="22"/>
      <c r="AB690" s="22"/>
      <c r="AC690" s="22"/>
      <c r="AD690" s="22"/>
      <c r="AE690" s="22"/>
      <c r="AF690" s="22"/>
      <c r="AG690" s="22"/>
      <c r="AH690" s="22"/>
      <c r="AI690" s="22"/>
      <c r="AJ690" s="22"/>
      <c r="AK690" s="22"/>
      <c r="AL690" s="22"/>
      <c r="AM690" s="22"/>
    </row>
    <row r="691">
      <c r="B691" s="28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22"/>
      <c r="Y691" s="22"/>
      <c r="Z691" s="22"/>
      <c r="AA691" s="22"/>
      <c r="AB691" s="22"/>
      <c r="AC691" s="22"/>
      <c r="AD691" s="22"/>
      <c r="AE691" s="22"/>
      <c r="AF691" s="22"/>
      <c r="AG691" s="22"/>
      <c r="AH691" s="22"/>
      <c r="AI691" s="22"/>
      <c r="AJ691" s="22"/>
      <c r="AK691" s="22"/>
      <c r="AL691" s="22"/>
      <c r="AM691" s="22"/>
    </row>
    <row r="692">
      <c r="B692" s="28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22"/>
      <c r="Y692" s="22"/>
      <c r="Z692" s="22"/>
      <c r="AA692" s="22"/>
      <c r="AB692" s="22"/>
      <c r="AC692" s="22"/>
      <c r="AD692" s="22"/>
      <c r="AE692" s="22"/>
      <c r="AF692" s="22"/>
      <c r="AG692" s="22"/>
      <c r="AH692" s="22"/>
      <c r="AI692" s="22"/>
      <c r="AJ692" s="22"/>
      <c r="AK692" s="22"/>
      <c r="AL692" s="22"/>
      <c r="AM692" s="22"/>
    </row>
    <row r="693">
      <c r="B693" s="28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22"/>
      <c r="Y693" s="22"/>
      <c r="Z693" s="22"/>
      <c r="AA693" s="22"/>
      <c r="AB693" s="22"/>
      <c r="AC693" s="22"/>
      <c r="AD693" s="22"/>
      <c r="AE693" s="22"/>
      <c r="AF693" s="22"/>
      <c r="AG693" s="22"/>
      <c r="AH693" s="22"/>
      <c r="AI693" s="22"/>
      <c r="AJ693" s="22"/>
      <c r="AK693" s="22"/>
      <c r="AL693" s="22"/>
      <c r="AM693" s="22"/>
    </row>
    <row r="694">
      <c r="B694" s="28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22"/>
      <c r="Y694" s="22"/>
      <c r="Z694" s="22"/>
      <c r="AA694" s="22"/>
      <c r="AB694" s="22"/>
      <c r="AC694" s="22"/>
      <c r="AD694" s="22"/>
      <c r="AE694" s="22"/>
      <c r="AF694" s="22"/>
      <c r="AG694" s="22"/>
      <c r="AH694" s="22"/>
      <c r="AI694" s="22"/>
      <c r="AJ694" s="22"/>
      <c r="AK694" s="22"/>
      <c r="AL694" s="22"/>
      <c r="AM694" s="22"/>
    </row>
    <row r="695">
      <c r="B695" s="28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22"/>
      <c r="Y695" s="22"/>
      <c r="Z695" s="22"/>
      <c r="AA695" s="22"/>
      <c r="AB695" s="22"/>
      <c r="AC695" s="22"/>
      <c r="AD695" s="22"/>
      <c r="AE695" s="22"/>
      <c r="AF695" s="22"/>
      <c r="AG695" s="22"/>
      <c r="AH695" s="22"/>
      <c r="AI695" s="22"/>
      <c r="AJ695" s="22"/>
      <c r="AK695" s="22"/>
      <c r="AL695" s="22"/>
      <c r="AM695" s="22"/>
    </row>
    <row r="696">
      <c r="B696" s="28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22"/>
      <c r="Y696" s="22"/>
      <c r="Z696" s="22"/>
      <c r="AA696" s="22"/>
      <c r="AB696" s="22"/>
      <c r="AC696" s="22"/>
      <c r="AD696" s="22"/>
      <c r="AE696" s="22"/>
      <c r="AF696" s="22"/>
      <c r="AG696" s="22"/>
      <c r="AH696" s="22"/>
      <c r="AI696" s="22"/>
      <c r="AJ696" s="22"/>
      <c r="AK696" s="22"/>
      <c r="AL696" s="22"/>
      <c r="AM696" s="22"/>
    </row>
    <row r="697">
      <c r="B697" s="28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22"/>
      <c r="Y697" s="22"/>
      <c r="Z697" s="22"/>
      <c r="AA697" s="22"/>
      <c r="AB697" s="22"/>
      <c r="AC697" s="22"/>
      <c r="AD697" s="22"/>
      <c r="AE697" s="22"/>
      <c r="AF697" s="22"/>
      <c r="AG697" s="22"/>
      <c r="AH697" s="22"/>
      <c r="AI697" s="22"/>
      <c r="AJ697" s="22"/>
      <c r="AK697" s="22"/>
      <c r="AL697" s="22"/>
      <c r="AM697" s="22"/>
    </row>
    <row r="698">
      <c r="B698" s="28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22"/>
      <c r="Y698" s="22"/>
      <c r="Z698" s="22"/>
      <c r="AA698" s="22"/>
      <c r="AB698" s="22"/>
      <c r="AC698" s="22"/>
      <c r="AD698" s="22"/>
      <c r="AE698" s="22"/>
      <c r="AF698" s="22"/>
      <c r="AG698" s="22"/>
      <c r="AH698" s="22"/>
      <c r="AI698" s="22"/>
      <c r="AJ698" s="22"/>
      <c r="AK698" s="22"/>
      <c r="AL698" s="22"/>
      <c r="AM698" s="22"/>
    </row>
    <row r="699">
      <c r="B699" s="28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22"/>
      <c r="Y699" s="22"/>
      <c r="Z699" s="22"/>
      <c r="AA699" s="22"/>
      <c r="AB699" s="22"/>
      <c r="AC699" s="22"/>
      <c r="AD699" s="22"/>
      <c r="AE699" s="22"/>
      <c r="AF699" s="22"/>
      <c r="AG699" s="22"/>
      <c r="AH699" s="22"/>
      <c r="AI699" s="22"/>
      <c r="AJ699" s="22"/>
      <c r="AK699" s="22"/>
      <c r="AL699" s="22"/>
      <c r="AM699" s="22"/>
    </row>
    <row r="700">
      <c r="B700" s="28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22"/>
      <c r="Y700" s="22"/>
      <c r="Z700" s="22"/>
      <c r="AA700" s="22"/>
      <c r="AB700" s="22"/>
      <c r="AC700" s="22"/>
      <c r="AD700" s="22"/>
      <c r="AE700" s="22"/>
      <c r="AF700" s="22"/>
      <c r="AG700" s="22"/>
      <c r="AH700" s="22"/>
      <c r="AI700" s="22"/>
      <c r="AJ700" s="22"/>
      <c r="AK700" s="22"/>
      <c r="AL700" s="22"/>
      <c r="AM700" s="22"/>
    </row>
    <row r="701">
      <c r="B701" s="28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22"/>
      <c r="Y701" s="22"/>
      <c r="Z701" s="22"/>
      <c r="AA701" s="22"/>
      <c r="AB701" s="22"/>
      <c r="AC701" s="22"/>
      <c r="AD701" s="22"/>
      <c r="AE701" s="22"/>
      <c r="AF701" s="22"/>
      <c r="AG701" s="22"/>
      <c r="AH701" s="22"/>
      <c r="AI701" s="22"/>
      <c r="AJ701" s="22"/>
      <c r="AK701" s="22"/>
      <c r="AL701" s="22"/>
      <c r="AM701" s="22"/>
    </row>
    <row r="702">
      <c r="B702" s="28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22"/>
      <c r="Y702" s="22"/>
      <c r="Z702" s="22"/>
      <c r="AA702" s="22"/>
      <c r="AB702" s="22"/>
      <c r="AC702" s="22"/>
      <c r="AD702" s="22"/>
      <c r="AE702" s="22"/>
      <c r="AF702" s="22"/>
      <c r="AG702" s="22"/>
      <c r="AH702" s="22"/>
      <c r="AI702" s="22"/>
      <c r="AJ702" s="22"/>
      <c r="AK702" s="22"/>
      <c r="AL702" s="22"/>
      <c r="AM702" s="22"/>
    </row>
    <row r="703">
      <c r="B703" s="28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22"/>
      <c r="Y703" s="22"/>
      <c r="Z703" s="22"/>
      <c r="AA703" s="22"/>
      <c r="AB703" s="22"/>
      <c r="AC703" s="22"/>
      <c r="AD703" s="22"/>
      <c r="AE703" s="22"/>
      <c r="AF703" s="22"/>
      <c r="AG703" s="22"/>
      <c r="AH703" s="22"/>
      <c r="AI703" s="22"/>
      <c r="AJ703" s="22"/>
      <c r="AK703" s="22"/>
      <c r="AL703" s="22"/>
      <c r="AM703" s="22"/>
    </row>
    <row r="704">
      <c r="B704" s="28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22"/>
      <c r="Y704" s="22"/>
      <c r="Z704" s="22"/>
      <c r="AA704" s="22"/>
      <c r="AB704" s="22"/>
      <c r="AC704" s="22"/>
      <c r="AD704" s="22"/>
      <c r="AE704" s="22"/>
      <c r="AF704" s="22"/>
      <c r="AG704" s="22"/>
      <c r="AH704" s="22"/>
      <c r="AI704" s="22"/>
      <c r="AJ704" s="22"/>
      <c r="AK704" s="22"/>
      <c r="AL704" s="22"/>
      <c r="AM704" s="22"/>
    </row>
    <row r="705">
      <c r="B705" s="28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22"/>
      <c r="Y705" s="22"/>
      <c r="Z705" s="22"/>
      <c r="AA705" s="22"/>
      <c r="AB705" s="22"/>
      <c r="AC705" s="22"/>
      <c r="AD705" s="22"/>
      <c r="AE705" s="22"/>
      <c r="AF705" s="22"/>
      <c r="AG705" s="22"/>
      <c r="AH705" s="22"/>
      <c r="AI705" s="22"/>
      <c r="AJ705" s="22"/>
      <c r="AK705" s="22"/>
      <c r="AL705" s="22"/>
      <c r="AM705" s="22"/>
    </row>
    <row r="706">
      <c r="B706" s="28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22"/>
      <c r="Y706" s="22"/>
      <c r="Z706" s="22"/>
      <c r="AA706" s="22"/>
      <c r="AB706" s="22"/>
      <c r="AC706" s="22"/>
      <c r="AD706" s="22"/>
      <c r="AE706" s="22"/>
      <c r="AF706" s="22"/>
      <c r="AG706" s="22"/>
      <c r="AH706" s="22"/>
      <c r="AI706" s="22"/>
      <c r="AJ706" s="22"/>
      <c r="AK706" s="22"/>
      <c r="AL706" s="22"/>
      <c r="AM706" s="22"/>
    </row>
    <row r="707">
      <c r="B707" s="28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22"/>
      <c r="Y707" s="22"/>
      <c r="Z707" s="22"/>
      <c r="AA707" s="22"/>
      <c r="AB707" s="22"/>
      <c r="AC707" s="22"/>
      <c r="AD707" s="22"/>
      <c r="AE707" s="22"/>
      <c r="AF707" s="22"/>
      <c r="AG707" s="22"/>
      <c r="AH707" s="22"/>
      <c r="AI707" s="22"/>
      <c r="AJ707" s="22"/>
      <c r="AK707" s="22"/>
      <c r="AL707" s="22"/>
      <c r="AM707" s="22"/>
    </row>
    <row r="708">
      <c r="B708" s="28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22"/>
      <c r="Y708" s="22"/>
      <c r="Z708" s="22"/>
      <c r="AA708" s="22"/>
      <c r="AB708" s="22"/>
      <c r="AC708" s="22"/>
      <c r="AD708" s="22"/>
      <c r="AE708" s="22"/>
      <c r="AF708" s="22"/>
      <c r="AG708" s="22"/>
      <c r="AH708" s="22"/>
      <c r="AI708" s="22"/>
      <c r="AJ708" s="22"/>
      <c r="AK708" s="22"/>
      <c r="AL708" s="22"/>
      <c r="AM708" s="22"/>
    </row>
    <row r="709">
      <c r="B709" s="28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22"/>
      <c r="Y709" s="22"/>
      <c r="Z709" s="22"/>
      <c r="AA709" s="22"/>
      <c r="AB709" s="22"/>
      <c r="AC709" s="22"/>
      <c r="AD709" s="22"/>
      <c r="AE709" s="22"/>
      <c r="AF709" s="22"/>
      <c r="AG709" s="22"/>
      <c r="AH709" s="22"/>
      <c r="AI709" s="22"/>
      <c r="AJ709" s="22"/>
      <c r="AK709" s="22"/>
      <c r="AL709" s="22"/>
      <c r="AM709" s="22"/>
    </row>
    <row r="710">
      <c r="B710" s="28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22"/>
      <c r="Y710" s="22"/>
      <c r="Z710" s="22"/>
      <c r="AA710" s="22"/>
      <c r="AB710" s="22"/>
      <c r="AC710" s="22"/>
      <c r="AD710" s="22"/>
      <c r="AE710" s="22"/>
      <c r="AF710" s="22"/>
      <c r="AG710" s="22"/>
      <c r="AH710" s="22"/>
      <c r="AI710" s="22"/>
      <c r="AJ710" s="22"/>
      <c r="AK710" s="22"/>
      <c r="AL710" s="22"/>
      <c r="AM710" s="22"/>
    </row>
    <row r="711">
      <c r="B711" s="28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22"/>
      <c r="Y711" s="22"/>
      <c r="Z711" s="22"/>
      <c r="AA711" s="22"/>
      <c r="AB711" s="22"/>
      <c r="AC711" s="22"/>
      <c r="AD711" s="22"/>
      <c r="AE711" s="22"/>
      <c r="AF711" s="22"/>
      <c r="AG711" s="22"/>
      <c r="AH711" s="22"/>
      <c r="AI711" s="22"/>
      <c r="AJ711" s="22"/>
      <c r="AK711" s="22"/>
      <c r="AL711" s="22"/>
      <c r="AM711" s="22"/>
    </row>
    <row r="712">
      <c r="B712" s="28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22"/>
      <c r="Y712" s="22"/>
      <c r="Z712" s="22"/>
      <c r="AA712" s="22"/>
      <c r="AB712" s="22"/>
      <c r="AC712" s="22"/>
      <c r="AD712" s="22"/>
      <c r="AE712" s="22"/>
      <c r="AF712" s="22"/>
      <c r="AG712" s="22"/>
      <c r="AH712" s="22"/>
      <c r="AI712" s="22"/>
      <c r="AJ712" s="22"/>
      <c r="AK712" s="22"/>
      <c r="AL712" s="22"/>
      <c r="AM712" s="22"/>
    </row>
    <row r="713">
      <c r="B713" s="28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22"/>
      <c r="Y713" s="22"/>
      <c r="Z713" s="22"/>
      <c r="AA713" s="22"/>
      <c r="AB713" s="22"/>
      <c r="AC713" s="22"/>
      <c r="AD713" s="22"/>
      <c r="AE713" s="22"/>
      <c r="AF713" s="22"/>
      <c r="AG713" s="22"/>
      <c r="AH713" s="22"/>
      <c r="AI713" s="22"/>
      <c r="AJ713" s="22"/>
      <c r="AK713" s="22"/>
      <c r="AL713" s="22"/>
      <c r="AM713" s="22"/>
    </row>
    <row r="714">
      <c r="B714" s="28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22"/>
      <c r="Y714" s="22"/>
      <c r="Z714" s="22"/>
      <c r="AA714" s="22"/>
      <c r="AB714" s="22"/>
      <c r="AC714" s="22"/>
      <c r="AD714" s="22"/>
      <c r="AE714" s="22"/>
      <c r="AF714" s="22"/>
      <c r="AG714" s="22"/>
      <c r="AH714" s="22"/>
      <c r="AI714" s="22"/>
      <c r="AJ714" s="22"/>
      <c r="AK714" s="22"/>
      <c r="AL714" s="22"/>
      <c r="AM714" s="22"/>
    </row>
    <row r="715">
      <c r="B715" s="28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22"/>
      <c r="Y715" s="22"/>
      <c r="Z715" s="22"/>
      <c r="AA715" s="22"/>
      <c r="AB715" s="22"/>
      <c r="AC715" s="22"/>
      <c r="AD715" s="22"/>
      <c r="AE715" s="22"/>
      <c r="AF715" s="22"/>
      <c r="AG715" s="22"/>
      <c r="AH715" s="22"/>
      <c r="AI715" s="22"/>
      <c r="AJ715" s="22"/>
      <c r="AK715" s="22"/>
      <c r="AL715" s="22"/>
      <c r="AM715" s="22"/>
    </row>
    <row r="716">
      <c r="B716" s="28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22"/>
      <c r="Y716" s="22"/>
      <c r="Z716" s="22"/>
      <c r="AA716" s="22"/>
      <c r="AB716" s="22"/>
      <c r="AC716" s="22"/>
      <c r="AD716" s="22"/>
      <c r="AE716" s="22"/>
      <c r="AF716" s="22"/>
      <c r="AG716" s="22"/>
      <c r="AH716" s="22"/>
      <c r="AI716" s="22"/>
      <c r="AJ716" s="22"/>
      <c r="AK716" s="22"/>
      <c r="AL716" s="22"/>
      <c r="AM716" s="22"/>
    </row>
    <row r="717">
      <c r="B717" s="28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22"/>
      <c r="Y717" s="22"/>
      <c r="Z717" s="22"/>
      <c r="AA717" s="22"/>
      <c r="AB717" s="22"/>
      <c r="AC717" s="22"/>
      <c r="AD717" s="22"/>
      <c r="AE717" s="22"/>
      <c r="AF717" s="22"/>
      <c r="AG717" s="22"/>
      <c r="AH717" s="22"/>
      <c r="AI717" s="22"/>
      <c r="AJ717" s="22"/>
      <c r="AK717" s="22"/>
      <c r="AL717" s="22"/>
      <c r="AM717" s="22"/>
    </row>
    <row r="718">
      <c r="B718" s="28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22"/>
      <c r="Y718" s="22"/>
      <c r="Z718" s="22"/>
      <c r="AA718" s="22"/>
      <c r="AB718" s="22"/>
      <c r="AC718" s="22"/>
      <c r="AD718" s="22"/>
      <c r="AE718" s="22"/>
      <c r="AF718" s="22"/>
      <c r="AG718" s="22"/>
      <c r="AH718" s="22"/>
      <c r="AI718" s="22"/>
      <c r="AJ718" s="22"/>
      <c r="AK718" s="22"/>
      <c r="AL718" s="22"/>
      <c r="AM718" s="22"/>
    </row>
    <row r="719">
      <c r="B719" s="28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22"/>
      <c r="Y719" s="22"/>
      <c r="Z719" s="22"/>
      <c r="AA719" s="22"/>
      <c r="AB719" s="22"/>
      <c r="AC719" s="22"/>
      <c r="AD719" s="22"/>
      <c r="AE719" s="22"/>
      <c r="AF719" s="22"/>
      <c r="AG719" s="22"/>
      <c r="AH719" s="22"/>
      <c r="AI719" s="22"/>
      <c r="AJ719" s="22"/>
      <c r="AK719" s="22"/>
      <c r="AL719" s="22"/>
      <c r="AM719" s="22"/>
    </row>
    <row r="720">
      <c r="B720" s="28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22"/>
      <c r="Y720" s="22"/>
      <c r="Z720" s="22"/>
      <c r="AA720" s="22"/>
      <c r="AB720" s="22"/>
      <c r="AC720" s="22"/>
      <c r="AD720" s="22"/>
      <c r="AE720" s="22"/>
      <c r="AF720" s="22"/>
      <c r="AG720" s="22"/>
      <c r="AH720" s="22"/>
      <c r="AI720" s="22"/>
      <c r="AJ720" s="22"/>
      <c r="AK720" s="22"/>
      <c r="AL720" s="22"/>
      <c r="AM720" s="22"/>
    </row>
    <row r="721">
      <c r="B721" s="28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22"/>
      <c r="Y721" s="22"/>
      <c r="Z721" s="22"/>
      <c r="AA721" s="22"/>
      <c r="AB721" s="22"/>
      <c r="AC721" s="22"/>
      <c r="AD721" s="22"/>
      <c r="AE721" s="22"/>
      <c r="AF721" s="22"/>
      <c r="AG721" s="22"/>
      <c r="AH721" s="22"/>
      <c r="AI721" s="22"/>
      <c r="AJ721" s="22"/>
      <c r="AK721" s="22"/>
      <c r="AL721" s="22"/>
      <c r="AM721" s="22"/>
    </row>
    <row r="722">
      <c r="B722" s="28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22"/>
      <c r="Y722" s="22"/>
      <c r="Z722" s="22"/>
      <c r="AA722" s="22"/>
      <c r="AB722" s="22"/>
      <c r="AC722" s="22"/>
      <c r="AD722" s="22"/>
      <c r="AE722" s="22"/>
      <c r="AF722" s="22"/>
      <c r="AG722" s="22"/>
      <c r="AH722" s="22"/>
      <c r="AI722" s="22"/>
      <c r="AJ722" s="22"/>
      <c r="AK722" s="22"/>
      <c r="AL722" s="22"/>
      <c r="AM722" s="22"/>
    </row>
    <row r="723">
      <c r="B723" s="28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22"/>
      <c r="Y723" s="22"/>
      <c r="Z723" s="22"/>
      <c r="AA723" s="22"/>
      <c r="AB723" s="22"/>
      <c r="AC723" s="22"/>
      <c r="AD723" s="22"/>
      <c r="AE723" s="22"/>
      <c r="AF723" s="22"/>
      <c r="AG723" s="22"/>
      <c r="AH723" s="22"/>
      <c r="AI723" s="22"/>
      <c r="AJ723" s="22"/>
      <c r="AK723" s="22"/>
      <c r="AL723" s="22"/>
      <c r="AM723" s="22"/>
    </row>
    <row r="724">
      <c r="B724" s="28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22"/>
      <c r="Y724" s="22"/>
      <c r="Z724" s="22"/>
      <c r="AA724" s="22"/>
      <c r="AB724" s="22"/>
      <c r="AC724" s="22"/>
      <c r="AD724" s="22"/>
      <c r="AE724" s="22"/>
      <c r="AF724" s="22"/>
      <c r="AG724" s="22"/>
      <c r="AH724" s="22"/>
      <c r="AI724" s="22"/>
      <c r="AJ724" s="22"/>
      <c r="AK724" s="22"/>
      <c r="AL724" s="22"/>
      <c r="AM724" s="22"/>
    </row>
    <row r="725">
      <c r="B725" s="28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22"/>
      <c r="Y725" s="22"/>
      <c r="Z725" s="22"/>
      <c r="AA725" s="22"/>
      <c r="AB725" s="22"/>
      <c r="AC725" s="22"/>
      <c r="AD725" s="22"/>
      <c r="AE725" s="22"/>
      <c r="AF725" s="22"/>
      <c r="AG725" s="22"/>
      <c r="AH725" s="22"/>
      <c r="AI725" s="22"/>
      <c r="AJ725" s="22"/>
      <c r="AK725" s="22"/>
      <c r="AL725" s="22"/>
      <c r="AM725" s="22"/>
    </row>
    <row r="726">
      <c r="B726" s="28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22"/>
      <c r="Y726" s="22"/>
      <c r="Z726" s="22"/>
      <c r="AA726" s="22"/>
      <c r="AB726" s="22"/>
      <c r="AC726" s="22"/>
      <c r="AD726" s="22"/>
      <c r="AE726" s="22"/>
      <c r="AF726" s="22"/>
      <c r="AG726" s="22"/>
      <c r="AH726" s="22"/>
      <c r="AI726" s="22"/>
      <c r="AJ726" s="22"/>
      <c r="AK726" s="22"/>
      <c r="AL726" s="22"/>
      <c r="AM726" s="22"/>
    </row>
    <row r="727">
      <c r="B727" s="28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22"/>
      <c r="Y727" s="22"/>
      <c r="Z727" s="22"/>
      <c r="AA727" s="22"/>
      <c r="AB727" s="22"/>
      <c r="AC727" s="22"/>
      <c r="AD727" s="22"/>
      <c r="AE727" s="22"/>
      <c r="AF727" s="22"/>
      <c r="AG727" s="22"/>
      <c r="AH727" s="22"/>
      <c r="AI727" s="22"/>
      <c r="AJ727" s="22"/>
      <c r="AK727" s="22"/>
      <c r="AL727" s="22"/>
      <c r="AM727" s="22"/>
    </row>
    <row r="728">
      <c r="B728" s="28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22"/>
      <c r="Y728" s="22"/>
      <c r="Z728" s="22"/>
      <c r="AA728" s="22"/>
      <c r="AB728" s="22"/>
      <c r="AC728" s="22"/>
      <c r="AD728" s="22"/>
      <c r="AE728" s="22"/>
      <c r="AF728" s="22"/>
      <c r="AG728" s="22"/>
      <c r="AH728" s="22"/>
      <c r="AI728" s="22"/>
      <c r="AJ728" s="22"/>
      <c r="AK728" s="22"/>
      <c r="AL728" s="22"/>
      <c r="AM728" s="22"/>
    </row>
    <row r="729">
      <c r="B729" s="28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22"/>
      <c r="Y729" s="22"/>
      <c r="Z729" s="22"/>
      <c r="AA729" s="22"/>
      <c r="AB729" s="22"/>
      <c r="AC729" s="22"/>
      <c r="AD729" s="22"/>
      <c r="AE729" s="22"/>
      <c r="AF729" s="22"/>
      <c r="AG729" s="22"/>
      <c r="AH729" s="22"/>
      <c r="AI729" s="22"/>
      <c r="AJ729" s="22"/>
      <c r="AK729" s="22"/>
      <c r="AL729" s="22"/>
      <c r="AM729" s="22"/>
    </row>
    <row r="730">
      <c r="B730" s="28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22"/>
      <c r="Y730" s="22"/>
      <c r="Z730" s="22"/>
      <c r="AA730" s="22"/>
      <c r="AB730" s="22"/>
      <c r="AC730" s="22"/>
      <c r="AD730" s="22"/>
      <c r="AE730" s="22"/>
      <c r="AF730" s="22"/>
      <c r="AG730" s="22"/>
      <c r="AH730" s="22"/>
      <c r="AI730" s="22"/>
      <c r="AJ730" s="22"/>
      <c r="AK730" s="22"/>
      <c r="AL730" s="22"/>
      <c r="AM730" s="22"/>
    </row>
    <row r="731">
      <c r="B731" s="28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22"/>
      <c r="Y731" s="22"/>
      <c r="Z731" s="22"/>
      <c r="AA731" s="22"/>
      <c r="AB731" s="22"/>
      <c r="AC731" s="22"/>
      <c r="AD731" s="22"/>
      <c r="AE731" s="22"/>
      <c r="AF731" s="22"/>
      <c r="AG731" s="22"/>
      <c r="AH731" s="22"/>
      <c r="AI731" s="22"/>
      <c r="AJ731" s="22"/>
      <c r="AK731" s="22"/>
      <c r="AL731" s="22"/>
      <c r="AM731" s="22"/>
    </row>
    <row r="732">
      <c r="B732" s="28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22"/>
      <c r="Y732" s="22"/>
      <c r="Z732" s="22"/>
      <c r="AA732" s="22"/>
      <c r="AB732" s="22"/>
      <c r="AC732" s="22"/>
      <c r="AD732" s="22"/>
      <c r="AE732" s="22"/>
      <c r="AF732" s="22"/>
      <c r="AG732" s="22"/>
      <c r="AH732" s="22"/>
      <c r="AI732" s="22"/>
      <c r="AJ732" s="22"/>
      <c r="AK732" s="22"/>
      <c r="AL732" s="22"/>
      <c r="AM732" s="22"/>
    </row>
    <row r="733">
      <c r="B733" s="28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22"/>
      <c r="Y733" s="22"/>
      <c r="Z733" s="22"/>
      <c r="AA733" s="22"/>
      <c r="AB733" s="22"/>
      <c r="AC733" s="22"/>
      <c r="AD733" s="22"/>
      <c r="AE733" s="22"/>
      <c r="AF733" s="22"/>
      <c r="AG733" s="22"/>
      <c r="AH733" s="22"/>
      <c r="AI733" s="22"/>
      <c r="AJ733" s="22"/>
      <c r="AK733" s="22"/>
      <c r="AL733" s="22"/>
      <c r="AM733" s="22"/>
    </row>
    <row r="734">
      <c r="B734" s="28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22"/>
      <c r="Y734" s="22"/>
      <c r="Z734" s="22"/>
      <c r="AA734" s="22"/>
      <c r="AB734" s="22"/>
      <c r="AC734" s="22"/>
      <c r="AD734" s="22"/>
      <c r="AE734" s="22"/>
      <c r="AF734" s="22"/>
      <c r="AG734" s="22"/>
      <c r="AH734" s="22"/>
      <c r="AI734" s="22"/>
      <c r="AJ734" s="22"/>
      <c r="AK734" s="22"/>
      <c r="AL734" s="22"/>
      <c r="AM734" s="22"/>
    </row>
    <row r="735">
      <c r="B735" s="28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22"/>
      <c r="Y735" s="22"/>
      <c r="Z735" s="22"/>
      <c r="AA735" s="22"/>
      <c r="AB735" s="22"/>
      <c r="AC735" s="22"/>
      <c r="AD735" s="22"/>
      <c r="AE735" s="22"/>
      <c r="AF735" s="22"/>
      <c r="AG735" s="22"/>
      <c r="AH735" s="22"/>
      <c r="AI735" s="22"/>
      <c r="AJ735" s="22"/>
      <c r="AK735" s="22"/>
      <c r="AL735" s="22"/>
      <c r="AM735" s="22"/>
    </row>
    <row r="736">
      <c r="B736" s="28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22"/>
      <c r="Y736" s="22"/>
      <c r="Z736" s="22"/>
      <c r="AA736" s="22"/>
      <c r="AB736" s="22"/>
      <c r="AC736" s="22"/>
      <c r="AD736" s="22"/>
      <c r="AE736" s="22"/>
      <c r="AF736" s="22"/>
      <c r="AG736" s="22"/>
      <c r="AH736" s="22"/>
      <c r="AI736" s="22"/>
      <c r="AJ736" s="22"/>
      <c r="AK736" s="22"/>
      <c r="AL736" s="22"/>
      <c r="AM736" s="22"/>
    </row>
    <row r="737">
      <c r="B737" s="28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22"/>
      <c r="Y737" s="22"/>
      <c r="Z737" s="22"/>
      <c r="AA737" s="22"/>
      <c r="AB737" s="22"/>
      <c r="AC737" s="22"/>
      <c r="AD737" s="22"/>
      <c r="AE737" s="22"/>
      <c r="AF737" s="22"/>
      <c r="AG737" s="22"/>
      <c r="AH737" s="22"/>
      <c r="AI737" s="22"/>
      <c r="AJ737" s="22"/>
      <c r="AK737" s="22"/>
      <c r="AL737" s="22"/>
      <c r="AM737" s="22"/>
    </row>
    <row r="738">
      <c r="B738" s="28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22"/>
      <c r="Y738" s="22"/>
      <c r="Z738" s="22"/>
      <c r="AA738" s="22"/>
      <c r="AB738" s="22"/>
      <c r="AC738" s="22"/>
      <c r="AD738" s="22"/>
      <c r="AE738" s="22"/>
      <c r="AF738" s="22"/>
      <c r="AG738" s="22"/>
      <c r="AH738" s="22"/>
      <c r="AI738" s="22"/>
      <c r="AJ738" s="22"/>
      <c r="AK738" s="22"/>
      <c r="AL738" s="22"/>
      <c r="AM738" s="22"/>
    </row>
    <row r="739">
      <c r="B739" s="28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22"/>
      <c r="Y739" s="22"/>
      <c r="Z739" s="22"/>
      <c r="AA739" s="22"/>
      <c r="AB739" s="22"/>
      <c r="AC739" s="22"/>
      <c r="AD739" s="22"/>
      <c r="AE739" s="22"/>
      <c r="AF739" s="22"/>
      <c r="AG739" s="22"/>
      <c r="AH739" s="22"/>
      <c r="AI739" s="22"/>
      <c r="AJ739" s="22"/>
      <c r="AK739" s="22"/>
      <c r="AL739" s="22"/>
      <c r="AM739" s="22"/>
    </row>
    <row r="740">
      <c r="B740" s="28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22"/>
      <c r="Y740" s="22"/>
      <c r="Z740" s="22"/>
      <c r="AA740" s="22"/>
      <c r="AB740" s="22"/>
      <c r="AC740" s="22"/>
      <c r="AD740" s="22"/>
      <c r="AE740" s="22"/>
      <c r="AF740" s="22"/>
      <c r="AG740" s="22"/>
      <c r="AH740" s="22"/>
      <c r="AI740" s="22"/>
      <c r="AJ740" s="22"/>
      <c r="AK740" s="22"/>
      <c r="AL740" s="22"/>
      <c r="AM740" s="22"/>
    </row>
    <row r="741">
      <c r="B741" s="28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22"/>
      <c r="Y741" s="22"/>
      <c r="Z741" s="22"/>
      <c r="AA741" s="22"/>
      <c r="AB741" s="22"/>
      <c r="AC741" s="22"/>
      <c r="AD741" s="22"/>
      <c r="AE741" s="22"/>
      <c r="AF741" s="22"/>
      <c r="AG741" s="22"/>
      <c r="AH741" s="22"/>
      <c r="AI741" s="22"/>
      <c r="AJ741" s="22"/>
      <c r="AK741" s="22"/>
      <c r="AL741" s="22"/>
      <c r="AM741" s="22"/>
    </row>
    <row r="742">
      <c r="B742" s="28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22"/>
      <c r="Y742" s="22"/>
      <c r="Z742" s="22"/>
      <c r="AA742" s="22"/>
      <c r="AB742" s="22"/>
      <c r="AC742" s="22"/>
      <c r="AD742" s="22"/>
      <c r="AE742" s="22"/>
      <c r="AF742" s="22"/>
      <c r="AG742" s="22"/>
      <c r="AH742" s="22"/>
      <c r="AI742" s="22"/>
      <c r="AJ742" s="22"/>
      <c r="AK742" s="22"/>
      <c r="AL742" s="22"/>
      <c r="AM742" s="22"/>
    </row>
    <row r="743">
      <c r="B743" s="28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22"/>
      <c r="Y743" s="22"/>
      <c r="Z743" s="22"/>
      <c r="AA743" s="22"/>
      <c r="AB743" s="22"/>
      <c r="AC743" s="22"/>
      <c r="AD743" s="22"/>
      <c r="AE743" s="22"/>
      <c r="AF743" s="22"/>
      <c r="AG743" s="22"/>
      <c r="AH743" s="22"/>
      <c r="AI743" s="22"/>
      <c r="AJ743" s="22"/>
      <c r="AK743" s="22"/>
      <c r="AL743" s="22"/>
      <c r="AM743" s="22"/>
    </row>
    <row r="744">
      <c r="B744" s="28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22"/>
      <c r="Y744" s="22"/>
      <c r="Z744" s="22"/>
      <c r="AA744" s="22"/>
      <c r="AB744" s="22"/>
      <c r="AC744" s="22"/>
      <c r="AD744" s="22"/>
      <c r="AE744" s="22"/>
      <c r="AF744" s="22"/>
      <c r="AG744" s="22"/>
      <c r="AH744" s="22"/>
      <c r="AI744" s="22"/>
      <c r="AJ744" s="22"/>
      <c r="AK744" s="22"/>
      <c r="AL744" s="22"/>
      <c r="AM744" s="22"/>
    </row>
    <row r="745">
      <c r="B745" s="28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22"/>
      <c r="Y745" s="22"/>
      <c r="Z745" s="22"/>
      <c r="AA745" s="22"/>
      <c r="AB745" s="22"/>
      <c r="AC745" s="22"/>
      <c r="AD745" s="22"/>
      <c r="AE745" s="22"/>
      <c r="AF745" s="22"/>
      <c r="AG745" s="22"/>
      <c r="AH745" s="22"/>
      <c r="AI745" s="22"/>
      <c r="AJ745" s="22"/>
      <c r="AK745" s="22"/>
      <c r="AL745" s="22"/>
      <c r="AM745" s="22"/>
    </row>
    <row r="746">
      <c r="B746" s="28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22"/>
      <c r="Y746" s="22"/>
      <c r="Z746" s="22"/>
      <c r="AA746" s="22"/>
      <c r="AB746" s="22"/>
      <c r="AC746" s="22"/>
      <c r="AD746" s="22"/>
      <c r="AE746" s="22"/>
      <c r="AF746" s="22"/>
      <c r="AG746" s="22"/>
      <c r="AH746" s="22"/>
      <c r="AI746" s="22"/>
      <c r="AJ746" s="22"/>
      <c r="AK746" s="22"/>
      <c r="AL746" s="22"/>
      <c r="AM746" s="22"/>
    </row>
    <row r="747">
      <c r="B747" s="28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22"/>
      <c r="Y747" s="22"/>
      <c r="Z747" s="22"/>
      <c r="AA747" s="22"/>
      <c r="AB747" s="22"/>
      <c r="AC747" s="22"/>
      <c r="AD747" s="22"/>
      <c r="AE747" s="22"/>
      <c r="AF747" s="22"/>
      <c r="AG747" s="22"/>
      <c r="AH747" s="22"/>
      <c r="AI747" s="22"/>
      <c r="AJ747" s="22"/>
      <c r="AK747" s="22"/>
      <c r="AL747" s="22"/>
      <c r="AM747" s="22"/>
    </row>
    <row r="748">
      <c r="B748" s="28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22"/>
      <c r="Y748" s="22"/>
      <c r="Z748" s="22"/>
      <c r="AA748" s="22"/>
      <c r="AB748" s="22"/>
      <c r="AC748" s="22"/>
      <c r="AD748" s="22"/>
      <c r="AE748" s="22"/>
      <c r="AF748" s="22"/>
      <c r="AG748" s="22"/>
      <c r="AH748" s="22"/>
      <c r="AI748" s="22"/>
      <c r="AJ748" s="22"/>
      <c r="AK748" s="22"/>
      <c r="AL748" s="22"/>
      <c r="AM748" s="22"/>
    </row>
    <row r="749">
      <c r="B749" s="28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22"/>
      <c r="Y749" s="22"/>
      <c r="Z749" s="22"/>
      <c r="AA749" s="22"/>
      <c r="AB749" s="22"/>
      <c r="AC749" s="22"/>
      <c r="AD749" s="22"/>
      <c r="AE749" s="22"/>
      <c r="AF749" s="22"/>
      <c r="AG749" s="22"/>
      <c r="AH749" s="22"/>
      <c r="AI749" s="22"/>
      <c r="AJ749" s="22"/>
      <c r="AK749" s="22"/>
      <c r="AL749" s="22"/>
      <c r="AM749" s="22"/>
    </row>
    <row r="750">
      <c r="B750" s="28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22"/>
      <c r="Y750" s="22"/>
      <c r="Z750" s="22"/>
      <c r="AA750" s="22"/>
      <c r="AB750" s="22"/>
      <c r="AC750" s="22"/>
      <c r="AD750" s="22"/>
      <c r="AE750" s="22"/>
      <c r="AF750" s="22"/>
      <c r="AG750" s="22"/>
      <c r="AH750" s="22"/>
      <c r="AI750" s="22"/>
      <c r="AJ750" s="22"/>
      <c r="AK750" s="22"/>
      <c r="AL750" s="22"/>
      <c r="AM750" s="22"/>
    </row>
    <row r="751">
      <c r="B751" s="28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22"/>
      <c r="Y751" s="22"/>
      <c r="Z751" s="22"/>
      <c r="AA751" s="22"/>
      <c r="AB751" s="22"/>
      <c r="AC751" s="22"/>
      <c r="AD751" s="22"/>
      <c r="AE751" s="22"/>
      <c r="AF751" s="22"/>
      <c r="AG751" s="22"/>
      <c r="AH751" s="22"/>
      <c r="AI751" s="22"/>
      <c r="AJ751" s="22"/>
      <c r="AK751" s="22"/>
      <c r="AL751" s="22"/>
      <c r="AM751" s="22"/>
    </row>
    <row r="752">
      <c r="B752" s="28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22"/>
      <c r="Y752" s="22"/>
      <c r="Z752" s="22"/>
      <c r="AA752" s="22"/>
      <c r="AB752" s="22"/>
      <c r="AC752" s="22"/>
      <c r="AD752" s="22"/>
      <c r="AE752" s="22"/>
      <c r="AF752" s="22"/>
      <c r="AG752" s="22"/>
      <c r="AH752" s="22"/>
      <c r="AI752" s="22"/>
      <c r="AJ752" s="22"/>
      <c r="AK752" s="22"/>
      <c r="AL752" s="22"/>
      <c r="AM752" s="22"/>
    </row>
    <row r="753">
      <c r="B753" s="28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22"/>
      <c r="Y753" s="22"/>
      <c r="Z753" s="22"/>
      <c r="AA753" s="22"/>
      <c r="AB753" s="22"/>
      <c r="AC753" s="22"/>
      <c r="AD753" s="22"/>
      <c r="AE753" s="22"/>
      <c r="AF753" s="22"/>
      <c r="AG753" s="22"/>
      <c r="AH753" s="22"/>
      <c r="AI753" s="22"/>
      <c r="AJ753" s="22"/>
      <c r="AK753" s="22"/>
      <c r="AL753" s="22"/>
      <c r="AM753" s="22"/>
    </row>
    <row r="754">
      <c r="B754" s="28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22"/>
      <c r="Y754" s="22"/>
      <c r="Z754" s="22"/>
      <c r="AA754" s="22"/>
      <c r="AB754" s="22"/>
      <c r="AC754" s="22"/>
      <c r="AD754" s="22"/>
      <c r="AE754" s="22"/>
      <c r="AF754" s="22"/>
      <c r="AG754" s="22"/>
      <c r="AH754" s="22"/>
      <c r="AI754" s="22"/>
      <c r="AJ754" s="22"/>
      <c r="AK754" s="22"/>
      <c r="AL754" s="22"/>
      <c r="AM754" s="22"/>
    </row>
    <row r="755">
      <c r="B755" s="28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22"/>
      <c r="Y755" s="22"/>
      <c r="Z755" s="22"/>
      <c r="AA755" s="22"/>
      <c r="AB755" s="22"/>
      <c r="AC755" s="22"/>
      <c r="AD755" s="22"/>
      <c r="AE755" s="22"/>
      <c r="AF755" s="22"/>
      <c r="AG755" s="22"/>
      <c r="AH755" s="22"/>
      <c r="AI755" s="22"/>
      <c r="AJ755" s="22"/>
      <c r="AK755" s="22"/>
      <c r="AL755" s="22"/>
      <c r="AM755" s="22"/>
    </row>
    <row r="756">
      <c r="B756" s="28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22"/>
      <c r="Y756" s="22"/>
      <c r="Z756" s="22"/>
      <c r="AA756" s="22"/>
      <c r="AB756" s="22"/>
      <c r="AC756" s="22"/>
      <c r="AD756" s="22"/>
      <c r="AE756" s="22"/>
      <c r="AF756" s="22"/>
      <c r="AG756" s="22"/>
      <c r="AH756" s="22"/>
      <c r="AI756" s="22"/>
      <c r="AJ756" s="22"/>
      <c r="AK756" s="22"/>
      <c r="AL756" s="22"/>
      <c r="AM756" s="22"/>
    </row>
    <row r="757">
      <c r="B757" s="28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22"/>
      <c r="Y757" s="22"/>
      <c r="Z757" s="22"/>
      <c r="AA757" s="22"/>
      <c r="AB757" s="22"/>
      <c r="AC757" s="22"/>
      <c r="AD757" s="22"/>
      <c r="AE757" s="22"/>
      <c r="AF757" s="22"/>
      <c r="AG757" s="22"/>
      <c r="AH757" s="22"/>
      <c r="AI757" s="22"/>
      <c r="AJ757" s="22"/>
      <c r="AK757" s="22"/>
      <c r="AL757" s="22"/>
      <c r="AM757" s="22"/>
    </row>
    <row r="758">
      <c r="B758" s="28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22"/>
      <c r="Y758" s="22"/>
      <c r="Z758" s="22"/>
      <c r="AA758" s="22"/>
      <c r="AB758" s="22"/>
      <c r="AC758" s="22"/>
      <c r="AD758" s="22"/>
      <c r="AE758" s="22"/>
      <c r="AF758" s="22"/>
      <c r="AG758" s="22"/>
      <c r="AH758" s="22"/>
      <c r="AI758" s="22"/>
      <c r="AJ758" s="22"/>
      <c r="AK758" s="22"/>
      <c r="AL758" s="22"/>
      <c r="AM758" s="22"/>
    </row>
    <row r="759">
      <c r="B759" s="28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22"/>
      <c r="Y759" s="22"/>
      <c r="Z759" s="22"/>
      <c r="AA759" s="22"/>
      <c r="AB759" s="22"/>
      <c r="AC759" s="22"/>
      <c r="AD759" s="22"/>
      <c r="AE759" s="22"/>
      <c r="AF759" s="22"/>
      <c r="AG759" s="22"/>
      <c r="AH759" s="22"/>
      <c r="AI759" s="22"/>
      <c r="AJ759" s="22"/>
      <c r="AK759" s="22"/>
      <c r="AL759" s="22"/>
      <c r="AM759" s="22"/>
    </row>
    <row r="760">
      <c r="B760" s="28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22"/>
      <c r="Y760" s="22"/>
      <c r="Z760" s="22"/>
      <c r="AA760" s="22"/>
      <c r="AB760" s="22"/>
      <c r="AC760" s="22"/>
      <c r="AD760" s="22"/>
      <c r="AE760" s="22"/>
      <c r="AF760" s="22"/>
      <c r="AG760" s="22"/>
      <c r="AH760" s="22"/>
      <c r="AI760" s="22"/>
      <c r="AJ760" s="22"/>
      <c r="AK760" s="22"/>
      <c r="AL760" s="22"/>
      <c r="AM760" s="22"/>
    </row>
    <row r="761">
      <c r="B761" s="28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22"/>
      <c r="Y761" s="22"/>
      <c r="Z761" s="22"/>
      <c r="AA761" s="22"/>
      <c r="AB761" s="22"/>
      <c r="AC761" s="22"/>
      <c r="AD761" s="22"/>
      <c r="AE761" s="22"/>
      <c r="AF761" s="22"/>
      <c r="AG761" s="22"/>
      <c r="AH761" s="22"/>
      <c r="AI761" s="22"/>
      <c r="AJ761" s="22"/>
      <c r="AK761" s="22"/>
      <c r="AL761" s="22"/>
      <c r="AM761" s="22"/>
    </row>
    <row r="762">
      <c r="B762" s="28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22"/>
      <c r="Y762" s="22"/>
      <c r="Z762" s="22"/>
      <c r="AA762" s="22"/>
      <c r="AB762" s="22"/>
      <c r="AC762" s="22"/>
      <c r="AD762" s="22"/>
      <c r="AE762" s="22"/>
      <c r="AF762" s="22"/>
      <c r="AG762" s="22"/>
      <c r="AH762" s="22"/>
      <c r="AI762" s="22"/>
      <c r="AJ762" s="22"/>
      <c r="AK762" s="22"/>
      <c r="AL762" s="22"/>
      <c r="AM762" s="22"/>
    </row>
    <row r="763">
      <c r="B763" s="28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22"/>
      <c r="Y763" s="22"/>
      <c r="Z763" s="22"/>
      <c r="AA763" s="22"/>
      <c r="AB763" s="22"/>
      <c r="AC763" s="22"/>
      <c r="AD763" s="22"/>
      <c r="AE763" s="22"/>
      <c r="AF763" s="22"/>
      <c r="AG763" s="22"/>
      <c r="AH763" s="22"/>
      <c r="AI763" s="22"/>
      <c r="AJ763" s="22"/>
      <c r="AK763" s="22"/>
      <c r="AL763" s="22"/>
      <c r="AM763" s="22"/>
    </row>
    <row r="764">
      <c r="B764" s="28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22"/>
      <c r="Y764" s="22"/>
      <c r="Z764" s="22"/>
      <c r="AA764" s="22"/>
      <c r="AB764" s="22"/>
      <c r="AC764" s="22"/>
      <c r="AD764" s="22"/>
      <c r="AE764" s="22"/>
      <c r="AF764" s="22"/>
      <c r="AG764" s="22"/>
      <c r="AH764" s="22"/>
      <c r="AI764" s="22"/>
      <c r="AJ764" s="22"/>
      <c r="AK764" s="22"/>
      <c r="AL764" s="22"/>
      <c r="AM764" s="22"/>
    </row>
    <row r="765">
      <c r="B765" s="28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22"/>
      <c r="Y765" s="22"/>
      <c r="Z765" s="22"/>
      <c r="AA765" s="22"/>
      <c r="AB765" s="22"/>
      <c r="AC765" s="22"/>
      <c r="AD765" s="22"/>
      <c r="AE765" s="22"/>
      <c r="AF765" s="22"/>
      <c r="AG765" s="22"/>
      <c r="AH765" s="22"/>
      <c r="AI765" s="22"/>
      <c r="AJ765" s="22"/>
      <c r="AK765" s="22"/>
      <c r="AL765" s="22"/>
      <c r="AM765" s="22"/>
    </row>
    <row r="766">
      <c r="B766" s="28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22"/>
      <c r="Y766" s="22"/>
      <c r="Z766" s="22"/>
      <c r="AA766" s="22"/>
      <c r="AB766" s="22"/>
      <c r="AC766" s="22"/>
      <c r="AD766" s="22"/>
      <c r="AE766" s="22"/>
      <c r="AF766" s="22"/>
      <c r="AG766" s="22"/>
      <c r="AH766" s="22"/>
      <c r="AI766" s="22"/>
      <c r="AJ766" s="22"/>
      <c r="AK766" s="22"/>
      <c r="AL766" s="22"/>
      <c r="AM766" s="22"/>
    </row>
    <row r="767">
      <c r="B767" s="28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22"/>
      <c r="Y767" s="22"/>
      <c r="Z767" s="22"/>
      <c r="AA767" s="22"/>
      <c r="AB767" s="22"/>
      <c r="AC767" s="22"/>
      <c r="AD767" s="22"/>
      <c r="AE767" s="22"/>
      <c r="AF767" s="22"/>
      <c r="AG767" s="22"/>
      <c r="AH767" s="22"/>
      <c r="AI767" s="22"/>
      <c r="AJ767" s="22"/>
      <c r="AK767" s="22"/>
      <c r="AL767" s="22"/>
      <c r="AM767" s="22"/>
    </row>
    <row r="768">
      <c r="B768" s="28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22"/>
      <c r="Y768" s="22"/>
      <c r="Z768" s="22"/>
      <c r="AA768" s="22"/>
      <c r="AB768" s="22"/>
      <c r="AC768" s="22"/>
      <c r="AD768" s="22"/>
      <c r="AE768" s="22"/>
      <c r="AF768" s="22"/>
      <c r="AG768" s="22"/>
      <c r="AH768" s="22"/>
      <c r="AI768" s="22"/>
      <c r="AJ768" s="22"/>
      <c r="AK768" s="22"/>
      <c r="AL768" s="22"/>
      <c r="AM768" s="22"/>
    </row>
    <row r="769">
      <c r="B769" s="28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22"/>
      <c r="Y769" s="22"/>
      <c r="Z769" s="22"/>
      <c r="AA769" s="22"/>
      <c r="AB769" s="22"/>
      <c r="AC769" s="22"/>
      <c r="AD769" s="22"/>
      <c r="AE769" s="22"/>
      <c r="AF769" s="22"/>
      <c r="AG769" s="22"/>
      <c r="AH769" s="22"/>
      <c r="AI769" s="22"/>
      <c r="AJ769" s="22"/>
      <c r="AK769" s="22"/>
      <c r="AL769" s="22"/>
      <c r="AM769" s="22"/>
    </row>
    <row r="770">
      <c r="B770" s="28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22"/>
      <c r="Y770" s="22"/>
      <c r="Z770" s="22"/>
      <c r="AA770" s="22"/>
      <c r="AB770" s="22"/>
      <c r="AC770" s="22"/>
      <c r="AD770" s="22"/>
      <c r="AE770" s="22"/>
      <c r="AF770" s="22"/>
      <c r="AG770" s="22"/>
      <c r="AH770" s="22"/>
      <c r="AI770" s="22"/>
      <c r="AJ770" s="22"/>
      <c r="AK770" s="22"/>
      <c r="AL770" s="22"/>
      <c r="AM770" s="22"/>
    </row>
    <row r="771">
      <c r="B771" s="28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22"/>
      <c r="Y771" s="22"/>
      <c r="Z771" s="22"/>
      <c r="AA771" s="22"/>
      <c r="AB771" s="22"/>
      <c r="AC771" s="22"/>
      <c r="AD771" s="22"/>
      <c r="AE771" s="22"/>
      <c r="AF771" s="22"/>
      <c r="AG771" s="22"/>
      <c r="AH771" s="22"/>
      <c r="AI771" s="22"/>
      <c r="AJ771" s="22"/>
      <c r="AK771" s="22"/>
      <c r="AL771" s="22"/>
      <c r="AM771" s="22"/>
    </row>
    <row r="772">
      <c r="B772" s="28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22"/>
      <c r="Y772" s="22"/>
      <c r="Z772" s="22"/>
      <c r="AA772" s="22"/>
      <c r="AB772" s="22"/>
      <c r="AC772" s="22"/>
      <c r="AD772" s="22"/>
      <c r="AE772" s="22"/>
      <c r="AF772" s="22"/>
      <c r="AG772" s="22"/>
      <c r="AH772" s="22"/>
      <c r="AI772" s="22"/>
      <c r="AJ772" s="22"/>
      <c r="AK772" s="22"/>
      <c r="AL772" s="22"/>
      <c r="AM772" s="22"/>
    </row>
    <row r="773">
      <c r="B773" s="28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22"/>
      <c r="Y773" s="22"/>
      <c r="Z773" s="22"/>
      <c r="AA773" s="22"/>
      <c r="AB773" s="22"/>
      <c r="AC773" s="22"/>
      <c r="AD773" s="22"/>
      <c r="AE773" s="22"/>
      <c r="AF773" s="22"/>
      <c r="AG773" s="22"/>
      <c r="AH773" s="22"/>
      <c r="AI773" s="22"/>
      <c r="AJ773" s="22"/>
      <c r="AK773" s="22"/>
      <c r="AL773" s="22"/>
      <c r="AM773" s="22"/>
    </row>
    <row r="774">
      <c r="B774" s="28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22"/>
      <c r="Y774" s="22"/>
      <c r="Z774" s="22"/>
      <c r="AA774" s="22"/>
      <c r="AB774" s="22"/>
      <c r="AC774" s="22"/>
      <c r="AD774" s="22"/>
      <c r="AE774" s="22"/>
      <c r="AF774" s="22"/>
      <c r="AG774" s="22"/>
      <c r="AH774" s="22"/>
      <c r="AI774" s="22"/>
      <c r="AJ774" s="22"/>
      <c r="AK774" s="22"/>
      <c r="AL774" s="22"/>
      <c r="AM774" s="22"/>
    </row>
    <row r="775">
      <c r="B775" s="28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22"/>
      <c r="Y775" s="22"/>
      <c r="Z775" s="22"/>
      <c r="AA775" s="22"/>
      <c r="AB775" s="22"/>
      <c r="AC775" s="22"/>
      <c r="AD775" s="22"/>
      <c r="AE775" s="22"/>
      <c r="AF775" s="22"/>
      <c r="AG775" s="22"/>
      <c r="AH775" s="22"/>
      <c r="AI775" s="22"/>
      <c r="AJ775" s="22"/>
      <c r="AK775" s="22"/>
      <c r="AL775" s="22"/>
      <c r="AM775" s="22"/>
    </row>
    <row r="776">
      <c r="B776" s="28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22"/>
      <c r="Y776" s="22"/>
      <c r="Z776" s="22"/>
      <c r="AA776" s="22"/>
      <c r="AB776" s="22"/>
      <c r="AC776" s="22"/>
      <c r="AD776" s="22"/>
      <c r="AE776" s="22"/>
      <c r="AF776" s="22"/>
      <c r="AG776" s="22"/>
      <c r="AH776" s="22"/>
      <c r="AI776" s="22"/>
      <c r="AJ776" s="22"/>
      <c r="AK776" s="22"/>
      <c r="AL776" s="22"/>
      <c r="AM776" s="22"/>
    </row>
    <row r="777">
      <c r="B777" s="28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22"/>
      <c r="Y777" s="22"/>
      <c r="Z777" s="22"/>
      <c r="AA777" s="22"/>
      <c r="AB777" s="22"/>
      <c r="AC777" s="22"/>
      <c r="AD777" s="22"/>
      <c r="AE777" s="22"/>
      <c r="AF777" s="22"/>
      <c r="AG777" s="22"/>
      <c r="AH777" s="22"/>
      <c r="AI777" s="22"/>
      <c r="AJ777" s="22"/>
      <c r="AK777" s="22"/>
      <c r="AL777" s="22"/>
      <c r="AM777" s="22"/>
    </row>
    <row r="778">
      <c r="B778" s="28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22"/>
      <c r="Y778" s="22"/>
      <c r="Z778" s="22"/>
      <c r="AA778" s="22"/>
      <c r="AB778" s="22"/>
      <c r="AC778" s="22"/>
      <c r="AD778" s="22"/>
      <c r="AE778" s="22"/>
      <c r="AF778" s="22"/>
      <c r="AG778" s="22"/>
      <c r="AH778" s="22"/>
      <c r="AI778" s="22"/>
      <c r="AJ778" s="22"/>
      <c r="AK778" s="22"/>
      <c r="AL778" s="22"/>
      <c r="AM778" s="22"/>
    </row>
    <row r="779">
      <c r="B779" s="28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22"/>
      <c r="Y779" s="22"/>
      <c r="Z779" s="22"/>
      <c r="AA779" s="22"/>
      <c r="AB779" s="22"/>
      <c r="AC779" s="22"/>
      <c r="AD779" s="22"/>
      <c r="AE779" s="22"/>
      <c r="AF779" s="22"/>
      <c r="AG779" s="22"/>
      <c r="AH779" s="22"/>
      <c r="AI779" s="22"/>
      <c r="AJ779" s="22"/>
      <c r="AK779" s="22"/>
      <c r="AL779" s="22"/>
      <c r="AM779" s="22"/>
    </row>
    <row r="780">
      <c r="B780" s="28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22"/>
      <c r="Y780" s="22"/>
      <c r="Z780" s="22"/>
      <c r="AA780" s="22"/>
      <c r="AB780" s="22"/>
      <c r="AC780" s="22"/>
      <c r="AD780" s="22"/>
      <c r="AE780" s="22"/>
      <c r="AF780" s="22"/>
      <c r="AG780" s="22"/>
      <c r="AH780" s="22"/>
      <c r="AI780" s="22"/>
      <c r="AJ780" s="22"/>
      <c r="AK780" s="22"/>
      <c r="AL780" s="22"/>
      <c r="AM780" s="22"/>
    </row>
    <row r="781">
      <c r="B781" s="28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22"/>
      <c r="Y781" s="22"/>
      <c r="Z781" s="22"/>
      <c r="AA781" s="22"/>
      <c r="AB781" s="22"/>
      <c r="AC781" s="22"/>
      <c r="AD781" s="22"/>
      <c r="AE781" s="22"/>
      <c r="AF781" s="22"/>
      <c r="AG781" s="22"/>
      <c r="AH781" s="22"/>
      <c r="AI781" s="22"/>
      <c r="AJ781" s="22"/>
      <c r="AK781" s="22"/>
      <c r="AL781" s="22"/>
      <c r="AM781" s="22"/>
    </row>
    <row r="782">
      <c r="B782" s="28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22"/>
      <c r="Y782" s="22"/>
      <c r="Z782" s="22"/>
      <c r="AA782" s="22"/>
      <c r="AB782" s="22"/>
      <c r="AC782" s="22"/>
      <c r="AD782" s="22"/>
      <c r="AE782" s="22"/>
      <c r="AF782" s="22"/>
      <c r="AG782" s="22"/>
      <c r="AH782" s="22"/>
      <c r="AI782" s="22"/>
      <c r="AJ782" s="22"/>
      <c r="AK782" s="22"/>
      <c r="AL782" s="22"/>
      <c r="AM782" s="22"/>
    </row>
    <row r="783">
      <c r="B783" s="28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22"/>
      <c r="Y783" s="22"/>
      <c r="Z783" s="22"/>
      <c r="AA783" s="22"/>
      <c r="AB783" s="22"/>
      <c r="AC783" s="22"/>
      <c r="AD783" s="22"/>
      <c r="AE783" s="22"/>
      <c r="AF783" s="22"/>
      <c r="AG783" s="22"/>
      <c r="AH783" s="22"/>
      <c r="AI783" s="22"/>
      <c r="AJ783" s="22"/>
      <c r="AK783" s="22"/>
      <c r="AL783" s="22"/>
      <c r="AM783" s="22"/>
    </row>
    <row r="784">
      <c r="B784" s="28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22"/>
      <c r="Y784" s="22"/>
      <c r="Z784" s="22"/>
      <c r="AA784" s="22"/>
      <c r="AB784" s="22"/>
      <c r="AC784" s="22"/>
      <c r="AD784" s="22"/>
      <c r="AE784" s="22"/>
      <c r="AF784" s="22"/>
      <c r="AG784" s="22"/>
      <c r="AH784" s="22"/>
      <c r="AI784" s="22"/>
      <c r="AJ784" s="22"/>
      <c r="AK784" s="22"/>
      <c r="AL784" s="22"/>
      <c r="AM784" s="22"/>
    </row>
    <row r="785">
      <c r="B785" s="28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22"/>
      <c r="Y785" s="22"/>
      <c r="Z785" s="22"/>
      <c r="AA785" s="22"/>
      <c r="AB785" s="22"/>
      <c r="AC785" s="22"/>
      <c r="AD785" s="22"/>
      <c r="AE785" s="22"/>
      <c r="AF785" s="22"/>
      <c r="AG785" s="22"/>
      <c r="AH785" s="22"/>
      <c r="AI785" s="22"/>
      <c r="AJ785" s="22"/>
      <c r="AK785" s="22"/>
      <c r="AL785" s="22"/>
      <c r="AM785" s="22"/>
    </row>
    <row r="786">
      <c r="B786" s="28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22"/>
      <c r="Y786" s="22"/>
      <c r="Z786" s="22"/>
      <c r="AA786" s="22"/>
      <c r="AB786" s="22"/>
      <c r="AC786" s="22"/>
      <c r="AD786" s="22"/>
      <c r="AE786" s="22"/>
      <c r="AF786" s="22"/>
      <c r="AG786" s="22"/>
      <c r="AH786" s="22"/>
      <c r="AI786" s="22"/>
      <c r="AJ786" s="22"/>
      <c r="AK786" s="22"/>
      <c r="AL786" s="22"/>
      <c r="AM786" s="22"/>
    </row>
    <row r="787">
      <c r="B787" s="28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22"/>
      <c r="Y787" s="22"/>
      <c r="Z787" s="22"/>
      <c r="AA787" s="22"/>
      <c r="AB787" s="22"/>
      <c r="AC787" s="22"/>
      <c r="AD787" s="22"/>
      <c r="AE787" s="22"/>
      <c r="AF787" s="22"/>
      <c r="AG787" s="22"/>
      <c r="AH787" s="22"/>
      <c r="AI787" s="22"/>
      <c r="AJ787" s="22"/>
      <c r="AK787" s="22"/>
      <c r="AL787" s="22"/>
      <c r="AM787" s="22"/>
    </row>
    <row r="788">
      <c r="B788" s="28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22"/>
      <c r="Y788" s="22"/>
      <c r="Z788" s="22"/>
      <c r="AA788" s="22"/>
      <c r="AB788" s="22"/>
      <c r="AC788" s="22"/>
      <c r="AD788" s="22"/>
      <c r="AE788" s="22"/>
      <c r="AF788" s="22"/>
      <c r="AG788" s="22"/>
      <c r="AH788" s="22"/>
      <c r="AI788" s="22"/>
      <c r="AJ788" s="22"/>
      <c r="AK788" s="22"/>
      <c r="AL788" s="22"/>
      <c r="AM788" s="22"/>
    </row>
    <row r="789">
      <c r="B789" s="28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22"/>
      <c r="Y789" s="22"/>
      <c r="Z789" s="22"/>
      <c r="AA789" s="22"/>
      <c r="AB789" s="22"/>
      <c r="AC789" s="22"/>
      <c r="AD789" s="22"/>
      <c r="AE789" s="22"/>
      <c r="AF789" s="22"/>
      <c r="AG789" s="22"/>
      <c r="AH789" s="22"/>
      <c r="AI789" s="22"/>
      <c r="AJ789" s="22"/>
      <c r="AK789" s="22"/>
      <c r="AL789" s="22"/>
      <c r="AM789" s="22"/>
    </row>
    <row r="790">
      <c r="B790" s="28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22"/>
      <c r="Y790" s="22"/>
      <c r="Z790" s="22"/>
      <c r="AA790" s="22"/>
      <c r="AB790" s="22"/>
      <c r="AC790" s="22"/>
      <c r="AD790" s="22"/>
      <c r="AE790" s="22"/>
      <c r="AF790" s="22"/>
      <c r="AG790" s="22"/>
      <c r="AH790" s="22"/>
      <c r="AI790" s="22"/>
      <c r="AJ790" s="22"/>
      <c r="AK790" s="22"/>
      <c r="AL790" s="22"/>
      <c r="AM790" s="22"/>
    </row>
    <row r="791">
      <c r="B791" s="28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22"/>
      <c r="Y791" s="22"/>
      <c r="Z791" s="22"/>
      <c r="AA791" s="22"/>
      <c r="AB791" s="22"/>
      <c r="AC791" s="22"/>
      <c r="AD791" s="22"/>
      <c r="AE791" s="22"/>
      <c r="AF791" s="22"/>
      <c r="AG791" s="22"/>
      <c r="AH791" s="22"/>
      <c r="AI791" s="22"/>
      <c r="AJ791" s="22"/>
      <c r="AK791" s="22"/>
      <c r="AL791" s="22"/>
      <c r="AM791" s="22"/>
    </row>
    <row r="792">
      <c r="B792" s="28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22"/>
      <c r="Y792" s="22"/>
      <c r="Z792" s="22"/>
      <c r="AA792" s="22"/>
      <c r="AB792" s="22"/>
      <c r="AC792" s="22"/>
      <c r="AD792" s="22"/>
      <c r="AE792" s="22"/>
      <c r="AF792" s="22"/>
      <c r="AG792" s="22"/>
      <c r="AH792" s="22"/>
      <c r="AI792" s="22"/>
      <c r="AJ792" s="22"/>
      <c r="AK792" s="22"/>
      <c r="AL792" s="22"/>
      <c r="AM792" s="22"/>
    </row>
    <row r="793">
      <c r="B793" s="28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22"/>
      <c r="Y793" s="22"/>
      <c r="Z793" s="22"/>
      <c r="AA793" s="22"/>
      <c r="AB793" s="22"/>
      <c r="AC793" s="22"/>
      <c r="AD793" s="22"/>
      <c r="AE793" s="22"/>
      <c r="AF793" s="22"/>
      <c r="AG793" s="22"/>
      <c r="AH793" s="22"/>
      <c r="AI793" s="22"/>
      <c r="AJ793" s="22"/>
      <c r="AK793" s="22"/>
      <c r="AL793" s="22"/>
      <c r="AM793" s="22"/>
    </row>
    <row r="794">
      <c r="B794" s="28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22"/>
      <c r="Y794" s="22"/>
      <c r="Z794" s="22"/>
      <c r="AA794" s="22"/>
      <c r="AB794" s="22"/>
      <c r="AC794" s="22"/>
      <c r="AD794" s="22"/>
      <c r="AE794" s="22"/>
      <c r="AF794" s="22"/>
      <c r="AG794" s="22"/>
      <c r="AH794" s="22"/>
      <c r="AI794" s="22"/>
      <c r="AJ794" s="22"/>
      <c r="AK794" s="22"/>
      <c r="AL794" s="22"/>
      <c r="AM794" s="22"/>
    </row>
    <row r="795">
      <c r="B795" s="28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22"/>
      <c r="Y795" s="22"/>
      <c r="Z795" s="22"/>
      <c r="AA795" s="22"/>
      <c r="AB795" s="22"/>
      <c r="AC795" s="22"/>
      <c r="AD795" s="22"/>
      <c r="AE795" s="22"/>
      <c r="AF795" s="22"/>
      <c r="AG795" s="22"/>
      <c r="AH795" s="22"/>
      <c r="AI795" s="22"/>
      <c r="AJ795" s="22"/>
      <c r="AK795" s="22"/>
      <c r="AL795" s="22"/>
      <c r="AM795" s="22"/>
    </row>
    <row r="796">
      <c r="B796" s="28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22"/>
      <c r="Y796" s="22"/>
      <c r="Z796" s="22"/>
      <c r="AA796" s="22"/>
      <c r="AB796" s="22"/>
      <c r="AC796" s="22"/>
      <c r="AD796" s="22"/>
      <c r="AE796" s="22"/>
      <c r="AF796" s="22"/>
      <c r="AG796" s="22"/>
      <c r="AH796" s="22"/>
      <c r="AI796" s="22"/>
      <c r="AJ796" s="22"/>
      <c r="AK796" s="22"/>
      <c r="AL796" s="22"/>
      <c r="AM796" s="22"/>
    </row>
    <row r="797">
      <c r="B797" s="28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22"/>
      <c r="Y797" s="22"/>
      <c r="Z797" s="22"/>
      <c r="AA797" s="22"/>
      <c r="AB797" s="22"/>
      <c r="AC797" s="22"/>
      <c r="AD797" s="22"/>
      <c r="AE797" s="22"/>
      <c r="AF797" s="22"/>
      <c r="AG797" s="22"/>
      <c r="AH797" s="22"/>
      <c r="AI797" s="22"/>
      <c r="AJ797" s="22"/>
      <c r="AK797" s="22"/>
      <c r="AL797" s="22"/>
      <c r="AM797" s="22"/>
    </row>
    <row r="798">
      <c r="B798" s="28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22"/>
      <c r="Y798" s="22"/>
      <c r="Z798" s="22"/>
      <c r="AA798" s="22"/>
      <c r="AB798" s="22"/>
      <c r="AC798" s="22"/>
      <c r="AD798" s="22"/>
      <c r="AE798" s="22"/>
      <c r="AF798" s="22"/>
      <c r="AG798" s="22"/>
      <c r="AH798" s="22"/>
      <c r="AI798" s="22"/>
      <c r="AJ798" s="22"/>
      <c r="AK798" s="22"/>
      <c r="AL798" s="22"/>
      <c r="AM798" s="22"/>
    </row>
    <row r="799">
      <c r="B799" s="28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22"/>
      <c r="Y799" s="22"/>
      <c r="Z799" s="22"/>
      <c r="AA799" s="22"/>
      <c r="AB799" s="22"/>
      <c r="AC799" s="22"/>
      <c r="AD799" s="22"/>
      <c r="AE799" s="22"/>
      <c r="AF799" s="22"/>
      <c r="AG799" s="22"/>
      <c r="AH799" s="22"/>
      <c r="AI799" s="22"/>
      <c r="AJ799" s="22"/>
      <c r="AK799" s="22"/>
      <c r="AL799" s="22"/>
      <c r="AM799" s="22"/>
    </row>
    <row r="800">
      <c r="B800" s="28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22"/>
      <c r="Y800" s="22"/>
      <c r="Z800" s="22"/>
      <c r="AA800" s="22"/>
      <c r="AB800" s="22"/>
      <c r="AC800" s="22"/>
      <c r="AD800" s="22"/>
      <c r="AE800" s="22"/>
      <c r="AF800" s="22"/>
      <c r="AG800" s="22"/>
      <c r="AH800" s="22"/>
      <c r="AI800" s="22"/>
      <c r="AJ800" s="22"/>
      <c r="AK800" s="22"/>
      <c r="AL800" s="22"/>
      <c r="AM800" s="22"/>
    </row>
    <row r="801">
      <c r="B801" s="28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22"/>
      <c r="Y801" s="22"/>
      <c r="Z801" s="22"/>
      <c r="AA801" s="22"/>
      <c r="AB801" s="22"/>
      <c r="AC801" s="22"/>
      <c r="AD801" s="22"/>
      <c r="AE801" s="22"/>
      <c r="AF801" s="22"/>
      <c r="AG801" s="22"/>
      <c r="AH801" s="22"/>
      <c r="AI801" s="22"/>
      <c r="AJ801" s="22"/>
      <c r="AK801" s="22"/>
      <c r="AL801" s="22"/>
      <c r="AM801" s="22"/>
    </row>
    <row r="802">
      <c r="B802" s="28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22"/>
      <c r="Y802" s="22"/>
      <c r="Z802" s="22"/>
      <c r="AA802" s="22"/>
      <c r="AB802" s="22"/>
      <c r="AC802" s="22"/>
      <c r="AD802" s="22"/>
      <c r="AE802" s="22"/>
      <c r="AF802" s="22"/>
      <c r="AG802" s="22"/>
      <c r="AH802" s="22"/>
      <c r="AI802" s="22"/>
      <c r="AJ802" s="22"/>
      <c r="AK802" s="22"/>
      <c r="AL802" s="22"/>
      <c r="AM802" s="22"/>
    </row>
    <row r="803">
      <c r="B803" s="28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22"/>
      <c r="Y803" s="22"/>
      <c r="Z803" s="22"/>
      <c r="AA803" s="22"/>
      <c r="AB803" s="22"/>
      <c r="AC803" s="22"/>
      <c r="AD803" s="22"/>
      <c r="AE803" s="22"/>
      <c r="AF803" s="22"/>
      <c r="AG803" s="22"/>
      <c r="AH803" s="22"/>
      <c r="AI803" s="22"/>
      <c r="AJ803" s="22"/>
      <c r="AK803" s="22"/>
      <c r="AL803" s="22"/>
      <c r="AM803" s="22"/>
    </row>
    <row r="804">
      <c r="B804" s="28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22"/>
      <c r="Y804" s="22"/>
      <c r="Z804" s="22"/>
      <c r="AA804" s="22"/>
      <c r="AB804" s="22"/>
      <c r="AC804" s="22"/>
      <c r="AD804" s="22"/>
      <c r="AE804" s="22"/>
      <c r="AF804" s="22"/>
      <c r="AG804" s="22"/>
      <c r="AH804" s="22"/>
      <c r="AI804" s="22"/>
      <c r="AJ804" s="22"/>
      <c r="AK804" s="22"/>
      <c r="AL804" s="22"/>
      <c r="AM804" s="22"/>
    </row>
    <row r="805">
      <c r="B805" s="28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22"/>
      <c r="Y805" s="22"/>
      <c r="Z805" s="22"/>
      <c r="AA805" s="22"/>
      <c r="AB805" s="22"/>
      <c r="AC805" s="22"/>
      <c r="AD805" s="22"/>
      <c r="AE805" s="22"/>
      <c r="AF805" s="22"/>
      <c r="AG805" s="22"/>
      <c r="AH805" s="22"/>
      <c r="AI805" s="22"/>
      <c r="AJ805" s="22"/>
      <c r="AK805" s="22"/>
      <c r="AL805" s="22"/>
      <c r="AM805" s="22"/>
    </row>
    <row r="806">
      <c r="B806" s="28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22"/>
      <c r="Y806" s="22"/>
      <c r="Z806" s="22"/>
      <c r="AA806" s="22"/>
      <c r="AB806" s="22"/>
      <c r="AC806" s="22"/>
      <c r="AD806" s="22"/>
      <c r="AE806" s="22"/>
      <c r="AF806" s="22"/>
      <c r="AG806" s="22"/>
      <c r="AH806" s="22"/>
      <c r="AI806" s="22"/>
      <c r="AJ806" s="22"/>
      <c r="AK806" s="22"/>
      <c r="AL806" s="22"/>
      <c r="AM806" s="22"/>
    </row>
    <row r="807">
      <c r="B807" s="28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22"/>
      <c r="Y807" s="22"/>
      <c r="Z807" s="22"/>
      <c r="AA807" s="22"/>
      <c r="AB807" s="22"/>
      <c r="AC807" s="22"/>
      <c r="AD807" s="22"/>
      <c r="AE807" s="22"/>
      <c r="AF807" s="22"/>
      <c r="AG807" s="22"/>
      <c r="AH807" s="22"/>
      <c r="AI807" s="22"/>
      <c r="AJ807" s="22"/>
      <c r="AK807" s="22"/>
      <c r="AL807" s="22"/>
      <c r="AM807" s="22"/>
    </row>
    <row r="808">
      <c r="B808" s="28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22"/>
      <c r="Y808" s="22"/>
      <c r="Z808" s="22"/>
      <c r="AA808" s="22"/>
      <c r="AB808" s="22"/>
      <c r="AC808" s="22"/>
      <c r="AD808" s="22"/>
      <c r="AE808" s="22"/>
      <c r="AF808" s="22"/>
      <c r="AG808" s="22"/>
      <c r="AH808" s="22"/>
      <c r="AI808" s="22"/>
      <c r="AJ808" s="22"/>
      <c r="AK808" s="22"/>
      <c r="AL808" s="22"/>
      <c r="AM808" s="22"/>
    </row>
    <row r="809">
      <c r="B809" s="28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22"/>
      <c r="Y809" s="22"/>
      <c r="Z809" s="22"/>
      <c r="AA809" s="22"/>
      <c r="AB809" s="22"/>
      <c r="AC809" s="22"/>
      <c r="AD809" s="22"/>
      <c r="AE809" s="22"/>
      <c r="AF809" s="22"/>
      <c r="AG809" s="22"/>
      <c r="AH809" s="22"/>
      <c r="AI809" s="22"/>
      <c r="AJ809" s="22"/>
      <c r="AK809" s="22"/>
      <c r="AL809" s="22"/>
      <c r="AM809" s="22"/>
    </row>
    <row r="810">
      <c r="B810" s="28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22"/>
      <c r="Y810" s="22"/>
      <c r="Z810" s="22"/>
      <c r="AA810" s="22"/>
      <c r="AB810" s="22"/>
      <c r="AC810" s="22"/>
      <c r="AD810" s="22"/>
      <c r="AE810" s="22"/>
      <c r="AF810" s="22"/>
      <c r="AG810" s="22"/>
      <c r="AH810" s="22"/>
      <c r="AI810" s="22"/>
      <c r="AJ810" s="22"/>
      <c r="AK810" s="22"/>
      <c r="AL810" s="22"/>
      <c r="AM810" s="22"/>
    </row>
    <row r="811">
      <c r="B811" s="28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22"/>
      <c r="Y811" s="22"/>
      <c r="Z811" s="22"/>
      <c r="AA811" s="22"/>
      <c r="AB811" s="22"/>
      <c r="AC811" s="22"/>
      <c r="AD811" s="22"/>
      <c r="AE811" s="22"/>
      <c r="AF811" s="22"/>
      <c r="AG811" s="22"/>
      <c r="AH811" s="22"/>
      <c r="AI811" s="22"/>
      <c r="AJ811" s="22"/>
      <c r="AK811" s="22"/>
      <c r="AL811" s="22"/>
      <c r="AM811" s="22"/>
    </row>
    <row r="812">
      <c r="B812" s="28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22"/>
      <c r="Y812" s="22"/>
      <c r="Z812" s="22"/>
      <c r="AA812" s="22"/>
      <c r="AB812" s="22"/>
      <c r="AC812" s="22"/>
      <c r="AD812" s="22"/>
      <c r="AE812" s="22"/>
      <c r="AF812" s="22"/>
      <c r="AG812" s="22"/>
      <c r="AH812" s="22"/>
      <c r="AI812" s="22"/>
      <c r="AJ812" s="22"/>
      <c r="AK812" s="22"/>
      <c r="AL812" s="22"/>
      <c r="AM812" s="22"/>
    </row>
    <row r="813">
      <c r="B813" s="28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22"/>
      <c r="Y813" s="22"/>
      <c r="Z813" s="22"/>
      <c r="AA813" s="22"/>
      <c r="AB813" s="22"/>
      <c r="AC813" s="22"/>
      <c r="AD813" s="22"/>
      <c r="AE813" s="22"/>
      <c r="AF813" s="22"/>
      <c r="AG813" s="22"/>
      <c r="AH813" s="22"/>
      <c r="AI813" s="22"/>
      <c r="AJ813" s="22"/>
      <c r="AK813" s="22"/>
      <c r="AL813" s="22"/>
      <c r="AM813" s="22"/>
    </row>
    <row r="814">
      <c r="B814" s="28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22"/>
      <c r="Y814" s="22"/>
      <c r="Z814" s="22"/>
      <c r="AA814" s="22"/>
      <c r="AB814" s="22"/>
      <c r="AC814" s="22"/>
      <c r="AD814" s="22"/>
      <c r="AE814" s="22"/>
      <c r="AF814" s="22"/>
      <c r="AG814" s="22"/>
      <c r="AH814" s="22"/>
      <c r="AI814" s="22"/>
      <c r="AJ814" s="22"/>
      <c r="AK814" s="22"/>
      <c r="AL814" s="22"/>
      <c r="AM814" s="22"/>
    </row>
    <row r="815">
      <c r="B815" s="28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22"/>
      <c r="Y815" s="22"/>
      <c r="Z815" s="22"/>
      <c r="AA815" s="22"/>
      <c r="AB815" s="22"/>
      <c r="AC815" s="22"/>
      <c r="AD815" s="22"/>
      <c r="AE815" s="22"/>
      <c r="AF815" s="22"/>
      <c r="AG815" s="22"/>
      <c r="AH815" s="22"/>
      <c r="AI815" s="22"/>
      <c r="AJ815" s="22"/>
      <c r="AK815" s="22"/>
      <c r="AL815" s="22"/>
      <c r="AM815" s="22"/>
    </row>
    <row r="816">
      <c r="B816" s="28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22"/>
      <c r="Y816" s="22"/>
      <c r="Z816" s="22"/>
      <c r="AA816" s="22"/>
      <c r="AB816" s="22"/>
      <c r="AC816" s="22"/>
      <c r="AD816" s="22"/>
      <c r="AE816" s="22"/>
      <c r="AF816" s="22"/>
      <c r="AG816" s="22"/>
      <c r="AH816" s="22"/>
      <c r="AI816" s="22"/>
      <c r="AJ816" s="22"/>
      <c r="AK816" s="22"/>
      <c r="AL816" s="22"/>
      <c r="AM816" s="22"/>
    </row>
    <row r="817">
      <c r="B817" s="28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22"/>
      <c r="Y817" s="22"/>
      <c r="Z817" s="22"/>
      <c r="AA817" s="22"/>
      <c r="AB817" s="22"/>
      <c r="AC817" s="22"/>
      <c r="AD817" s="22"/>
      <c r="AE817" s="22"/>
      <c r="AF817" s="22"/>
      <c r="AG817" s="22"/>
      <c r="AH817" s="22"/>
      <c r="AI817" s="22"/>
      <c r="AJ817" s="22"/>
      <c r="AK817" s="22"/>
      <c r="AL817" s="22"/>
      <c r="AM817" s="22"/>
    </row>
    <row r="818">
      <c r="B818" s="28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22"/>
      <c r="Y818" s="22"/>
      <c r="Z818" s="22"/>
      <c r="AA818" s="22"/>
      <c r="AB818" s="22"/>
      <c r="AC818" s="22"/>
      <c r="AD818" s="22"/>
      <c r="AE818" s="22"/>
      <c r="AF818" s="22"/>
      <c r="AG818" s="22"/>
      <c r="AH818" s="22"/>
      <c r="AI818" s="22"/>
      <c r="AJ818" s="22"/>
      <c r="AK818" s="22"/>
      <c r="AL818" s="22"/>
      <c r="AM818" s="22"/>
    </row>
    <row r="819">
      <c r="B819" s="28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22"/>
      <c r="Y819" s="22"/>
      <c r="Z819" s="22"/>
      <c r="AA819" s="22"/>
      <c r="AB819" s="22"/>
      <c r="AC819" s="22"/>
      <c r="AD819" s="22"/>
      <c r="AE819" s="22"/>
      <c r="AF819" s="22"/>
      <c r="AG819" s="22"/>
      <c r="AH819" s="22"/>
      <c r="AI819" s="22"/>
      <c r="AJ819" s="22"/>
      <c r="AK819" s="22"/>
      <c r="AL819" s="22"/>
      <c r="AM819" s="22"/>
    </row>
    <row r="820">
      <c r="B820" s="28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22"/>
      <c r="Y820" s="22"/>
      <c r="Z820" s="22"/>
      <c r="AA820" s="22"/>
      <c r="AB820" s="22"/>
      <c r="AC820" s="22"/>
      <c r="AD820" s="22"/>
      <c r="AE820" s="22"/>
      <c r="AF820" s="22"/>
      <c r="AG820" s="22"/>
      <c r="AH820" s="22"/>
      <c r="AI820" s="22"/>
      <c r="AJ820" s="22"/>
      <c r="AK820" s="22"/>
      <c r="AL820" s="22"/>
      <c r="AM820" s="22"/>
    </row>
    <row r="821">
      <c r="B821" s="28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22"/>
      <c r="Y821" s="22"/>
      <c r="Z821" s="22"/>
      <c r="AA821" s="22"/>
      <c r="AB821" s="22"/>
      <c r="AC821" s="22"/>
      <c r="AD821" s="22"/>
      <c r="AE821" s="22"/>
      <c r="AF821" s="22"/>
      <c r="AG821" s="22"/>
      <c r="AH821" s="22"/>
      <c r="AI821" s="22"/>
      <c r="AJ821" s="22"/>
      <c r="AK821" s="22"/>
      <c r="AL821" s="22"/>
      <c r="AM821" s="22"/>
    </row>
    <row r="822">
      <c r="B822" s="28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22"/>
      <c r="Y822" s="22"/>
      <c r="Z822" s="22"/>
      <c r="AA822" s="22"/>
      <c r="AB822" s="22"/>
      <c r="AC822" s="22"/>
      <c r="AD822" s="22"/>
      <c r="AE822" s="22"/>
      <c r="AF822" s="22"/>
      <c r="AG822" s="22"/>
      <c r="AH822" s="22"/>
      <c r="AI822" s="22"/>
      <c r="AJ822" s="22"/>
      <c r="AK822" s="22"/>
      <c r="AL822" s="22"/>
      <c r="AM822" s="22"/>
    </row>
    <row r="823">
      <c r="B823" s="28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22"/>
      <c r="Y823" s="22"/>
      <c r="Z823" s="22"/>
      <c r="AA823" s="22"/>
      <c r="AB823" s="22"/>
      <c r="AC823" s="22"/>
      <c r="AD823" s="22"/>
      <c r="AE823" s="22"/>
      <c r="AF823" s="22"/>
      <c r="AG823" s="22"/>
      <c r="AH823" s="22"/>
      <c r="AI823" s="22"/>
      <c r="AJ823" s="22"/>
      <c r="AK823" s="22"/>
      <c r="AL823" s="22"/>
      <c r="AM823" s="22"/>
    </row>
    <row r="824">
      <c r="B824" s="28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22"/>
      <c r="Y824" s="22"/>
      <c r="Z824" s="22"/>
      <c r="AA824" s="22"/>
      <c r="AB824" s="22"/>
      <c r="AC824" s="22"/>
      <c r="AD824" s="22"/>
      <c r="AE824" s="22"/>
      <c r="AF824" s="22"/>
      <c r="AG824" s="22"/>
      <c r="AH824" s="22"/>
      <c r="AI824" s="22"/>
      <c r="AJ824" s="22"/>
      <c r="AK824" s="22"/>
      <c r="AL824" s="22"/>
      <c r="AM824" s="22"/>
    </row>
    <row r="825">
      <c r="B825" s="28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22"/>
      <c r="Y825" s="22"/>
      <c r="Z825" s="22"/>
      <c r="AA825" s="22"/>
      <c r="AB825" s="22"/>
      <c r="AC825" s="22"/>
      <c r="AD825" s="22"/>
      <c r="AE825" s="22"/>
      <c r="AF825" s="22"/>
      <c r="AG825" s="22"/>
      <c r="AH825" s="22"/>
      <c r="AI825" s="22"/>
      <c r="AJ825" s="22"/>
      <c r="AK825" s="22"/>
      <c r="AL825" s="22"/>
      <c r="AM825" s="22"/>
    </row>
    <row r="826">
      <c r="B826" s="28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22"/>
      <c r="Y826" s="22"/>
      <c r="Z826" s="22"/>
      <c r="AA826" s="22"/>
      <c r="AB826" s="22"/>
      <c r="AC826" s="22"/>
      <c r="AD826" s="22"/>
      <c r="AE826" s="22"/>
      <c r="AF826" s="22"/>
      <c r="AG826" s="22"/>
      <c r="AH826" s="22"/>
      <c r="AI826" s="22"/>
      <c r="AJ826" s="22"/>
      <c r="AK826" s="22"/>
      <c r="AL826" s="22"/>
      <c r="AM826" s="22"/>
    </row>
    <row r="827">
      <c r="B827" s="28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22"/>
      <c r="Y827" s="22"/>
      <c r="Z827" s="22"/>
      <c r="AA827" s="22"/>
      <c r="AB827" s="22"/>
      <c r="AC827" s="22"/>
      <c r="AD827" s="22"/>
      <c r="AE827" s="22"/>
      <c r="AF827" s="22"/>
      <c r="AG827" s="22"/>
      <c r="AH827" s="22"/>
      <c r="AI827" s="22"/>
      <c r="AJ827" s="22"/>
      <c r="AK827" s="22"/>
      <c r="AL827" s="22"/>
      <c r="AM827" s="22"/>
    </row>
    <row r="828">
      <c r="B828" s="28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22"/>
      <c r="Y828" s="22"/>
      <c r="Z828" s="22"/>
      <c r="AA828" s="22"/>
      <c r="AB828" s="22"/>
      <c r="AC828" s="22"/>
      <c r="AD828" s="22"/>
      <c r="AE828" s="22"/>
      <c r="AF828" s="22"/>
      <c r="AG828" s="22"/>
      <c r="AH828" s="22"/>
      <c r="AI828" s="22"/>
      <c r="AJ828" s="22"/>
      <c r="AK828" s="22"/>
      <c r="AL828" s="22"/>
      <c r="AM828" s="22"/>
    </row>
    <row r="829">
      <c r="B829" s="28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22"/>
      <c r="Y829" s="22"/>
      <c r="Z829" s="22"/>
      <c r="AA829" s="22"/>
      <c r="AB829" s="22"/>
      <c r="AC829" s="22"/>
      <c r="AD829" s="22"/>
      <c r="AE829" s="22"/>
      <c r="AF829" s="22"/>
      <c r="AG829" s="22"/>
      <c r="AH829" s="22"/>
      <c r="AI829" s="22"/>
      <c r="AJ829" s="22"/>
      <c r="AK829" s="22"/>
      <c r="AL829" s="22"/>
      <c r="AM829" s="22"/>
    </row>
    <row r="830">
      <c r="B830" s="28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22"/>
      <c r="Y830" s="22"/>
      <c r="Z830" s="22"/>
      <c r="AA830" s="22"/>
      <c r="AB830" s="22"/>
      <c r="AC830" s="22"/>
      <c r="AD830" s="22"/>
      <c r="AE830" s="22"/>
      <c r="AF830" s="22"/>
      <c r="AG830" s="22"/>
      <c r="AH830" s="22"/>
      <c r="AI830" s="22"/>
      <c r="AJ830" s="22"/>
      <c r="AK830" s="22"/>
      <c r="AL830" s="22"/>
      <c r="AM830" s="22"/>
    </row>
    <row r="831">
      <c r="B831" s="28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22"/>
      <c r="Y831" s="22"/>
      <c r="Z831" s="22"/>
      <c r="AA831" s="22"/>
      <c r="AB831" s="22"/>
      <c r="AC831" s="22"/>
      <c r="AD831" s="22"/>
      <c r="AE831" s="22"/>
      <c r="AF831" s="22"/>
      <c r="AG831" s="22"/>
      <c r="AH831" s="22"/>
      <c r="AI831" s="22"/>
      <c r="AJ831" s="22"/>
      <c r="AK831" s="22"/>
      <c r="AL831" s="22"/>
      <c r="AM831" s="22"/>
    </row>
    <row r="832">
      <c r="B832" s="28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22"/>
      <c r="Y832" s="22"/>
      <c r="Z832" s="22"/>
      <c r="AA832" s="22"/>
      <c r="AB832" s="22"/>
      <c r="AC832" s="22"/>
      <c r="AD832" s="22"/>
      <c r="AE832" s="22"/>
      <c r="AF832" s="22"/>
      <c r="AG832" s="22"/>
      <c r="AH832" s="22"/>
      <c r="AI832" s="22"/>
      <c r="AJ832" s="22"/>
      <c r="AK832" s="22"/>
      <c r="AL832" s="22"/>
      <c r="AM832" s="22"/>
    </row>
    <row r="833">
      <c r="B833" s="28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22"/>
      <c r="Y833" s="22"/>
      <c r="Z833" s="22"/>
      <c r="AA833" s="22"/>
      <c r="AB833" s="22"/>
      <c r="AC833" s="22"/>
      <c r="AD833" s="22"/>
      <c r="AE833" s="22"/>
      <c r="AF833" s="22"/>
      <c r="AG833" s="22"/>
      <c r="AH833" s="22"/>
      <c r="AI833" s="22"/>
      <c r="AJ833" s="22"/>
      <c r="AK833" s="22"/>
      <c r="AL833" s="22"/>
      <c r="AM833" s="22"/>
    </row>
    <row r="834">
      <c r="B834" s="28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22"/>
      <c r="Y834" s="22"/>
      <c r="Z834" s="22"/>
      <c r="AA834" s="22"/>
      <c r="AB834" s="22"/>
      <c r="AC834" s="22"/>
      <c r="AD834" s="22"/>
      <c r="AE834" s="22"/>
      <c r="AF834" s="22"/>
      <c r="AG834" s="22"/>
      <c r="AH834" s="22"/>
      <c r="AI834" s="22"/>
      <c r="AJ834" s="22"/>
      <c r="AK834" s="22"/>
      <c r="AL834" s="22"/>
      <c r="AM834" s="22"/>
    </row>
    <row r="835">
      <c r="B835" s="28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22"/>
      <c r="Y835" s="22"/>
      <c r="Z835" s="22"/>
      <c r="AA835" s="22"/>
      <c r="AB835" s="22"/>
      <c r="AC835" s="22"/>
      <c r="AD835" s="22"/>
      <c r="AE835" s="22"/>
      <c r="AF835" s="22"/>
      <c r="AG835" s="22"/>
      <c r="AH835" s="22"/>
      <c r="AI835" s="22"/>
      <c r="AJ835" s="22"/>
      <c r="AK835" s="22"/>
      <c r="AL835" s="22"/>
      <c r="AM835" s="22"/>
    </row>
    <row r="836">
      <c r="B836" s="28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22"/>
      <c r="Y836" s="22"/>
      <c r="Z836" s="22"/>
      <c r="AA836" s="22"/>
      <c r="AB836" s="22"/>
      <c r="AC836" s="22"/>
      <c r="AD836" s="22"/>
      <c r="AE836" s="22"/>
      <c r="AF836" s="22"/>
      <c r="AG836" s="22"/>
      <c r="AH836" s="22"/>
      <c r="AI836" s="22"/>
      <c r="AJ836" s="22"/>
      <c r="AK836" s="22"/>
      <c r="AL836" s="22"/>
      <c r="AM836" s="22"/>
    </row>
    <row r="837">
      <c r="B837" s="28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22"/>
      <c r="Y837" s="22"/>
      <c r="Z837" s="22"/>
      <c r="AA837" s="22"/>
      <c r="AB837" s="22"/>
      <c r="AC837" s="22"/>
      <c r="AD837" s="22"/>
      <c r="AE837" s="22"/>
      <c r="AF837" s="22"/>
      <c r="AG837" s="22"/>
      <c r="AH837" s="22"/>
      <c r="AI837" s="22"/>
      <c r="AJ837" s="22"/>
      <c r="AK837" s="22"/>
      <c r="AL837" s="22"/>
      <c r="AM837" s="22"/>
    </row>
    <row r="838">
      <c r="B838" s="28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22"/>
      <c r="Y838" s="22"/>
      <c r="Z838" s="22"/>
      <c r="AA838" s="22"/>
      <c r="AB838" s="22"/>
      <c r="AC838" s="22"/>
      <c r="AD838" s="22"/>
      <c r="AE838" s="22"/>
      <c r="AF838" s="22"/>
      <c r="AG838" s="22"/>
      <c r="AH838" s="22"/>
      <c r="AI838" s="22"/>
      <c r="AJ838" s="22"/>
      <c r="AK838" s="22"/>
      <c r="AL838" s="22"/>
      <c r="AM838" s="22"/>
    </row>
    <row r="839">
      <c r="B839" s="28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22"/>
      <c r="Y839" s="22"/>
      <c r="Z839" s="22"/>
      <c r="AA839" s="22"/>
      <c r="AB839" s="22"/>
      <c r="AC839" s="22"/>
      <c r="AD839" s="22"/>
      <c r="AE839" s="22"/>
      <c r="AF839" s="22"/>
      <c r="AG839" s="22"/>
      <c r="AH839" s="22"/>
      <c r="AI839" s="22"/>
      <c r="AJ839" s="22"/>
      <c r="AK839" s="22"/>
      <c r="AL839" s="22"/>
      <c r="AM839" s="22"/>
    </row>
    <row r="840">
      <c r="B840" s="28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22"/>
      <c r="Y840" s="22"/>
      <c r="Z840" s="22"/>
      <c r="AA840" s="22"/>
      <c r="AB840" s="22"/>
      <c r="AC840" s="22"/>
      <c r="AD840" s="22"/>
      <c r="AE840" s="22"/>
      <c r="AF840" s="22"/>
      <c r="AG840" s="22"/>
      <c r="AH840" s="22"/>
      <c r="AI840" s="22"/>
      <c r="AJ840" s="22"/>
      <c r="AK840" s="22"/>
      <c r="AL840" s="22"/>
      <c r="AM840" s="22"/>
    </row>
    <row r="841">
      <c r="B841" s="28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22"/>
      <c r="Y841" s="22"/>
      <c r="Z841" s="22"/>
      <c r="AA841" s="22"/>
      <c r="AB841" s="22"/>
      <c r="AC841" s="22"/>
      <c r="AD841" s="22"/>
      <c r="AE841" s="22"/>
      <c r="AF841" s="22"/>
      <c r="AG841" s="22"/>
      <c r="AH841" s="22"/>
      <c r="AI841" s="22"/>
      <c r="AJ841" s="22"/>
      <c r="AK841" s="22"/>
      <c r="AL841" s="22"/>
      <c r="AM841" s="22"/>
    </row>
    <row r="842">
      <c r="B842" s="28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22"/>
      <c r="Y842" s="22"/>
      <c r="Z842" s="22"/>
      <c r="AA842" s="22"/>
      <c r="AB842" s="22"/>
      <c r="AC842" s="22"/>
      <c r="AD842" s="22"/>
      <c r="AE842" s="22"/>
      <c r="AF842" s="22"/>
      <c r="AG842" s="22"/>
      <c r="AH842" s="22"/>
      <c r="AI842" s="22"/>
      <c r="AJ842" s="22"/>
      <c r="AK842" s="22"/>
      <c r="AL842" s="22"/>
      <c r="AM842" s="22"/>
    </row>
    <row r="843">
      <c r="B843" s="28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22"/>
      <c r="Y843" s="22"/>
      <c r="Z843" s="22"/>
      <c r="AA843" s="22"/>
      <c r="AB843" s="22"/>
      <c r="AC843" s="22"/>
      <c r="AD843" s="22"/>
      <c r="AE843" s="22"/>
      <c r="AF843" s="22"/>
      <c r="AG843" s="22"/>
      <c r="AH843" s="22"/>
      <c r="AI843" s="22"/>
      <c r="AJ843" s="22"/>
      <c r="AK843" s="22"/>
      <c r="AL843" s="22"/>
      <c r="AM843" s="22"/>
    </row>
    <row r="844">
      <c r="B844" s="28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22"/>
      <c r="Y844" s="22"/>
      <c r="Z844" s="22"/>
      <c r="AA844" s="22"/>
      <c r="AB844" s="22"/>
      <c r="AC844" s="22"/>
      <c r="AD844" s="22"/>
      <c r="AE844" s="22"/>
      <c r="AF844" s="22"/>
      <c r="AG844" s="22"/>
      <c r="AH844" s="22"/>
      <c r="AI844" s="22"/>
      <c r="AJ844" s="22"/>
      <c r="AK844" s="22"/>
      <c r="AL844" s="22"/>
      <c r="AM844" s="22"/>
    </row>
    <row r="845">
      <c r="B845" s="28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22"/>
      <c r="Y845" s="22"/>
      <c r="Z845" s="22"/>
      <c r="AA845" s="22"/>
      <c r="AB845" s="22"/>
      <c r="AC845" s="22"/>
      <c r="AD845" s="22"/>
      <c r="AE845" s="22"/>
      <c r="AF845" s="22"/>
      <c r="AG845" s="22"/>
      <c r="AH845" s="22"/>
      <c r="AI845" s="22"/>
      <c r="AJ845" s="22"/>
      <c r="AK845" s="22"/>
      <c r="AL845" s="22"/>
      <c r="AM845" s="22"/>
    </row>
    <row r="846">
      <c r="B846" s="28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22"/>
      <c r="Y846" s="22"/>
      <c r="Z846" s="22"/>
      <c r="AA846" s="22"/>
      <c r="AB846" s="22"/>
      <c r="AC846" s="22"/>
      <c r="AD846" s="22"/>
      <c r="AE846" s="22"/>
      <c r="AF846" s="22"/>
      <c r="AG846" s="22"/>
      <c r="AH846" s="22"/>
      <c r="AI846" s="22"/>
      <c r="AJ846" s="22"/>
      <c r="AK846" s="22"/>
      <c r="AL846" s="22"/>
      <c r="AM846" s="22"/>
    </row>
    <row r="847">
      <c r="B847" s="28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22"/>
      <c r="Y847" s="22"/>
      <c r="Z847" s="22"/>
      <c r="AA847" s="22"/>
      <c r="AB847" s="22"/>
      <c r="AC847" s="22"/>
      <c r="AD847" s="22"/>
      <c r="AE847" s="22"/>
      <c r="AF847" s="22"/>
      <c r="AG847" s="22"/>
      <c r="AH847" s="22"/>
      <c r="AI847" s="22"/>
      <c r="AJ847" s="22"/>
      <c r="AK847" s="22"/>
      <c r="AL847" s="22"/>
      <c r="AM847" s="22"/>
    </row>
    <row r="848">
      <c r="B848" s="28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22"/>
      <c r="Y848" s="22"/>
      <c r="Z848" s="22"/>
      <c r="AA848" s="22"/>
      <c r="AB848" s="22"/>
      <c r="AC848" s="22"/>
      <c r="AD848" s="22"/>
      <c r="AE848" s="22"/>
      <c r="AF848" s="22"/>
      <c r="AG848" s="22"/>
      <c r="AH848" s="22"/>
      <c r="AI848" s="22"/>
      <c r="AJ848" s="22"/>
      <c r="AK848" s="22"/>
      <c r="AL848" s="22"/>
      <c r="AM848" s="22"/>
    </row>
    <row r="849">
      <c r="B849" s="28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22"/>
      <c r="Y849" s="22"/>
      <c r="Z849" s="22"/>
      <c r="AA849" s="22"/>
      <c r="AB849" s="22"/>
      <c r="AC849" s="22"/>
      <c r="AD849" s="22"/>
      <c r="AE849" s="22"/>
      <c r="AF849" s="22"/>
      <c r="AG849" s="22"/>
      <c r="AH849" s="22"/>
      <c r="AI849" s="22"/>
      <c r="AJ849" s="22"/>
      <c r="AK849" s="22"/>
      <c r="AL849" s="22"/>
      <c r="AM849" s="22"/>
    </row>
    <row r="850">
      <c r="B850" s="28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22"/>
      <c r="Y850" s="22"/>
      <c r="Z850" s="22"/>
      <c r="AA850" s="22"/>
      <c r="AB850" s="22"/>
      <c r="AC850" s="22"/>
      <c r="AD850" s="22"/>
      <c r="AE850" s="22"/>
      <c r="AF850" s="22"/>
      <c r="AG850" s="22"/>
      <c r="AH850" s="22"/>
      <c r="AI850" s="22"/>
      <c r="AJ850" s="22"/>
      <c r="AK850" s="22"/>
      <c r="AL850" s="22"/>
      <c r="AM850" s="22"/>
    </row>
    <row r="851">
      <c r="B851" s="28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22"/>
      <c r="Y851" s="22"/>
      <c r="Z851" s="22"/>
      <c r="AA851" s="22"/>
      <c r="AB851" s="22"/>
      <c r="AC851" s="22"/>
      <c r="AD851" s="22"/>
      <c r="AE851" s="22"/>
      <c r="AF851" s="22"/>
      <c r="AG851" s="22"/>
      <c r="AH851" s="22"/>
      <c r="AI851" s="22"/>
      <c r="AJ851" s="22"/>
      <c r="AK851" s="22"/>
      <c r="AL851" s="22"/>
      <c r="AM851" s="22"/>
    </row>
    <row r="852">
      <c r="B852" s="28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22"/>
      <c r="Y852" s="22"/>
      <c r="Z852" s="22"/>
      <c r="AA852" s="22"/>
      <c r="AB852" s="22"/>
      <c r="AC852" s="22"/>
      <c r="AD852" s="22"/>
      <c r="AE852" s="22"/>
      <c r="AF852" s="22"/>
      <c r="AG852" s="22"/>
      <c r="AH852" s="22"/>
      <c r="AI852" s="22"/>
      <c r="AJ852" s="22"/>
      <c r="AK852" s="22"/>
      <c r="AL852" s="22"/>
      <c r="AM852" s="22"/>
    </row>
    <row r="853">
      <c r="B853" s="28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22"/>
      <c r="Y853" s="22"/>
      <c r="Z853" s="22"/>
      <c r="AA853" s="22"/>
      <c r="AB853" s="22"/>
      <c r="AC853" s="22"/>
      <c r="AD853" s="22"/>
      <c r="AE853" s="22"/>
      <c r="AF853" s="22"/>
      <c r="AG853" s="22"/>
      <c r="AH853" s="22"/>
      <c r="AI853" s="22"/>
      <c r="AJ853" s="22"/>
      <c r="AK853" s="22"/>
      <c r="AL853" s="22"/>
      <c r="AM853" s="22"/>
    </row>
    <row r="854">
      <c r="B854" s="28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22"/>
      <c r="Y854" s="22"/>
      <c r="Z854" s="22"/>
      <c r="AA854" s="22"/>
      <c r="AB854" s="22"/>
      <c r="AC854" s="22"/>
      <c r="AD854" s="22"/>
      <c r="AE854" s="22"/>
      <c r="AF854" s="22"/>
      <c r="AG854" s="22"/>
      <c r="AH854" s="22"/>
      <c r="AI854" s="22"/>
      <c r="AJ854" s="22"/>
      <c r="AK854" s="22"/>
      <c r="AL854" s="22"/>
      <c r="AM854" s="22"/>
    </row>
    <row r="855">
      <c r="B855" s="28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22"/>
      <c r="Y855" s="22"/>
      <c r="Z855" s="22"/>
      <c r="AA855" s="22"/>
      <c r="AB855" s="22"/>
      <c r="AC855" s="22"/>
      <c r="AD855" s="22"/>
      <c r="AE855" s="22"/>
      <c r="AF855" s="22"/>
      <c r="AG855" s="22"/>
      <c r="AH855" s="22"/>
      <c r="AI855" s="22"/>
      <c r="AJ855" s="22"/>
      <c r="AK855" s="22"/>
      <c r="AL855" s="22"/>
      <c r="AM855" s="22"/>
    </row>
    <row r="856">
      <c r="B856" s="28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22"/>
      <c r="Y856" s="22"/>
      <c r="Z856" s="22"/>
      <c r="AA856" s="22"/>
      <c r="AB856" s="22"/>
      <c r="AC856" s="22"/>
      <c r="AD856" s="22"/>
      <c r="AE856" s="22"/>
      <c r="AF856" s="22"/>
      <c r="AG856" s="22"/>
      <c r="AH856" s="22"/>
      <c r="AI856" s="22"/>
      <c r="AJ856" s="22"/>
      <c r="AK856" s="22"/>
      <c r="AL856" s="22"/>
      <c r="AM856" s="22"/>
    </row>
    <row r="857">
      <c r="B857" s="28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22"/>
      <c r="Y857" s="22"/>
      <c r="Z857" s="22"/>
      <c r="AA857" s="22"/>
      <c r="AB857" s="22"/>
      <c r="AC857" s="22"/>
      <c r="AD857" s="22"/>
      <c r="AE857" s="22"/>
      <c r="AF857" s="22"/>
      <c r="AG857" s="22"/>
      <c r="AH857" s="22"/>
      <c r="AI857" s="22"/>
      <c r="AJ857" s="22"/>
      <c r="AK857" s="22"/>
      <c r="AL857" s="22"/>
      <c r="AM857" s="22"/>
    </row>
    <row r="858">
      <c r="B858" s="28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22"/>
      <c r="Y858" s="22"/>
      <c r="Z858" s="22"/>
      <c r="AA858" s="22"/>
      <c r="AB858" s="22"/>
      <c r="AC858" s="22"/>
      <c r="AD858" s="22"/>
      <c r="AE858" s="22"/>
      <c r="AF858" s="22"/>
      <c r="AG858" s="22"/>
      <c r="AH858" s="22"/>
      <c r="AI858" s="22"/>
      <c r="AJ858" s="22"/>
      <c r="AK858" s="22"/>
      <c r="AL858" s="22"/>
      <c r="AM858" s="22"/>
    </row>
    <row r="859">
      <c r="B859" s="28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22"/>
      <c r="Y859" s="22"/>
      <c r="Z859" s="22"/>
      <c r="AA859" s="22"/>
      <c r="AB859" s="22"/>
      <c r="AC859" s="22"/>
      <c r="AD859" s="22"/>
      <c r="AE859" s="22"/>
      <c r="AF859" s="22"/>
      <c r="AG859" s="22"/>
      <c r="AH859" s="22"/>
      <c r="AI859" s="22"/>
      <c r="AJ859" s="22"/>
      <c r="AK859" s="22"/>
      <c r="AL859" s="22"/>
      <c r="AM859" s="22"/>
    </row>
    <row r="860">
      <c r="B860" s="28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22"/>
      <c r="Y860" s="22"/>
      <c r="Z860" s="22"/>
      <c r="AA860" s="22"/>
      <c r="AB860" s="22"/>
      <c r="AC860" s="22"/>
      <c r="AD860" s="22"/>
      <c r="AE860" s="22"/>
      <c r="AF860" s="22"/>
      <c r="AG860" s="22"/>
      <c r="AH860" s="22"/>
      <c r="AI860" s="22"/>
      <c r="AJ860" s="22"/>
      <c r="AK860" s="22"/>
      <c r="AL860" s="22"/>
      <c r="AM860" s="22"/>
    </row>
    <row r="861">
      <c r="B861" s="28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22"/>
      <c r="Y861" s="22"/>
      <c r="Z861" s="22"/>
      <c r="AA861" s="22"/>
      <c r="AB861" s="22"/>
      <c r="AC861" s="22"/>
      <c r="AD861" s="22"/>
      <c r="AE861" s="22"/>
      <c r="AF861" s="22"/>
      <c r="AG861" s="22"/>
      <c r="AH861" s="22"/>
      <c r="AI861" s="22"/>
      <c r="AJ861" s="22"/>
      <c r="AK861" s="22"/>
      <c r="AL861" s="22"/>
      <c r="AM861" s="22"/>
    </row>
    <row r="862">
      <c r="B862" s="28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22"/>
      <c r="Y862" s="22"/>
      <c r="Z862" s="22"/>
      <c r="AA862" s="22"/>
      <c r="AB862" s="22"/>
      <c r="AC862" s="22"/>
      <c r="AD862" s="22"/>
      <c r="AE862" s="22"/>
      <c r="AF862" s="22"/>
      <c r="AG862" s="22"/>
      <c r="AH862" s="22"/>
      <c r="AI862" s="22"/>
      <c r="AJ862" s="22"/>
      <c r="AK862" s="22"/>
      <c r="AL862" s="22"/>
      <c r="AM862" s="22"/>
    </row>
    <row r="863">
      <c r="B863" s="28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22"/>
      <c r="Y863" s="22"/>
      <c r="Z863" s="22"/>
      <c r="AA863" s="22"/>
      <c r="AB863" s="22"/>
      <c r="AC863" s="22"/>
      <c r="AD863" s="22"/>
      <c r="AE863" s="22"/>
      <c r="AF863" s="22"/>
      <c r="AG863" s="22"/>
      <c r="AH863" s="22"/>
      <c r="AI863" s="22"/>
      <c r="AJ863" s="22"/>
      <c r="AK863" s="22"/>
      <c r="AL863" s="22"/>
      <c r="AM863" s="22"/>
    </row>
    <row r="864">
      <c r="B864" s="28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22"/>
      <c r="Y864" s="22"/>
      <c r="Z864" s="22"/>
      <c r="AA864" s="22"/>
      <c r="AB864" s="22"/>
      <c r="AC864" s="22"/>
      <c r="AD864" s="22"/>
      <c r="AE864" s="22"/>
      <c r="AF864" s="22"/>
      <c r="AG864" s="22"/>
      <c r="AH864" s="22"/>
      <c r="AI864" s="22"/>
      <c r="AJ864" s="22"/>
      <c r="AK864" s="22"/>
      <c r="AL864" s="22"/>
      <c r="AM864" s="22"/>
    </row>
    <row r="865">
      <c r="B865" s="28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22"/>
      <c r="Y865" s="22"/>
      <c r="Z865" s="22"/>
      <c r="AA865" s="22"/>
      <c r="AB865" s="22"/>
      <c r="AC865" s="22"/>
      <c r="AD865" s="22"/>
      <c r="AE865" s="22"/>
      <c r="AF865" s="22"/>
      <c r="AG865" s="22"/>
      <c r="AH865" s="22"/>
      <c r="AI865" s="22"/>
      <c r="AJ865" s="22"/>
      <c r="AK865" s="22"/>
      <c r="AL865" s="22"/>
      <c r="AM865" s="22"/>
    </row>
    <row r="866">
      <c r="B866" s="28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22"/>
      <c r="Y866" s="22"/>
      <c r="Z866" s="22"/>
      <c r="AA866" s="22"/>
      <c r="AB866" s="22"/>
      <c r="AC866" s="22"/>
      <c r="AD866" s="22"/>
      <c r="AE866" s="22"/>
      <c r="AF866" s="22"/>
      <c r="AG866" s="22"/>
      <c r="AH866" s="22"/>
      <c r="AI866" s="22"/>
      <c r="AJ866" s="22"/>
      <c r="AK866" s="22"/>
      <c r="AL866" s="22"/>
      <c r="AM866" s="22"/>
    </row>
    <row r="867">
      <c r="B867" s="28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22"/>
      <c r="Y867" s="22"/>
      <c r="Z867" s="22"/>
      <c r="AA867" s="22"/>
      <c r="AB867" s="22"/>
      <c r="AC867" s="22"/>
      <c r="AD867" s="22"/>
      <c r="AE867" s="22"/>
      <c r="AF867" s="22"/>
      <c r="AG867" s="22"/>
      <c r="AH867" s="22"/>
      <c r="AI867" s="22"/>
      <c r="AJ867" s="22"/>
      <c r="AK867" s="22"/>
      <c r="AL867" s="22"/>
      <c r="AM867" s="22"/>
    </row>
    <row r="868">
      <c r="B868" s="28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22"/>
      <c r="Y868" s="22"/>
      <c r="Z868" s="22"/>
      <c r="AA868" s="22"/>
      <c r="AB868" s="22"/>
      <c r="AC868" s="22"/>
      <c r="AD868" s="22"/>
      <c r="AE868" s="22"/>
      <c r="AF868" s="22"/>
      <c r="AG868" s="22"/>
      <c r="AH868" s="22"/>
      <c r="AI868" s="22"/>
      <c r="AJ868" s="22"/>
      <c r="AK868" s="22"/>
      <c r="AL868" s="22"/>
      <c r="AM868" s="22"/>
    </row>
    <row r="869">
      <c r="B869" s="28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22"/>
      <c r="Y869" s="22"/>
      <c r="Z869" s="22"/>
      <c r="AA869" s="22"/>
      <c r="AB869" s="22"/>
      <c r="AC869" s="22"/>
      <c r="AD869" s="22"/>
      <c r="AE869" s="22"/>
      <c r="AF869" s="22"/>
      <c r="AG869" s="22"/>
      <c r="AH869" s="22"/>
      <c r="AI869" s="22"/>
      <c r="AJ869" s="22"/>
      <c r="AK869" s="22"/>
      <c r="AL869" s="22"/>
      <c r="AM869" s="22"/>
    </row>
    <row r="870">
      <c r="B870" s="28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22"/>
      <c r="Y870" s="22"/>
      <c r="Z870" s="22"/>
      <c r="AA870" s="22"/>
      <c r="AB870" s="22"/>
      <c r="AC870" s="22"/>
      <c r="AD870" s="22"/>
      <c r="AE870" s="22"/>
      <c r="AF870" s="22"/>
      <c r="AG870" s="22"/>
      <c r="AH870" s="22"/>
      <c r="AI870" s="22"/>
      <c r="AJ870" s="22"/>
      <c r="AK870" s="22"/>
      <c r="AL870" s="22"/>
      <c r="AM870" s="22"/>
    </row>
    <row r="871">
      <c r="B871" s="28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22"/>
      <c r="Y871" s="22"/>
      <c r="Z871" s="22"/>
      <c r="AA871" s="22"/>
      <c r="AB871" s="22"/>
      <c r="AC871" s="22"/>
      <c r="AD871" s="22"/>
      <c r="AE871" s="22"/>
      <c r="AF871" s="22"/>
      <c r="AG871" s="22"/>
      <c r="AH871" s="22"/>
      <c r="AI871" s="22"/>
      <c r="AJ871" s="22"/>
      <c r="AK871" s="22"/>
      <c r="AL871" s="22"/>
      <c r="AM871" s="22"/>
    </row>
    <row r="872">
      <c r="B872" s="28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22"/>
      <c r="Y872" s="22"/>
      <c r="Z872" s="22"/>
      <c r="AA872" s="22"/>
      <c r="AB872" s="22"/>
      <c r="AC872" s="22"/>
      <c r="AD872" s="22"/>
      <c r="AE872" s="22"/>
      <c r="AF872" s="22"/>
      <c r="AG872" s="22"/>
      <c r="AH872" s="22"/>
      <c r="AI872" s="22"/>
      <c r="AJ872" s="22"/>
      <c r="AK872" s="22"/>
      <c r="AL872" s="22"/>
      <c r="AM872" s="22"/>
    </row>
    <row r="873">
      <c r="B873" s="28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22"/>
      <c r="Y873" s="22"/>
      <c r="Z873" s="22"/>
      <c r="AA873" s="22"/>
      <c r="AB873" s="22"/>
      <c r="AC873" s="22"/>
      <c r="AD873" s="22"/>
      <c r="AE873" s="22"/>
      <c r="AF873" s="22"/>
      <c r="AG873" s="22"/>
      <c r="AH873" s="22"/>
      <c r="AI873" s="22"/>
      <c r="AJ873" s="22"/>
      <c r="AK873" s="22"/>
      <c r="AL873" s="22"/>
      <c r="AM873" s="22"/>
    </row>
    <row r="874">
      <c r="B874" s="28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22"/>
      <c r="Y874" s="22"/>
      <c r="Z874" s="22"/>
      <c r="AA874" s="22"/>
      <c r="AB874" s="22"/>
      <c r="AC874" s="22"/>
      <c r="AD874" s="22"/>
      <c r="AE874" s="22"/>
      <c r="AF874" s="22"/>
      <c r="AG874" s="22"/>
      <c r="AH874" s="22"/>
      <c r="AI874" s="22"/>
      <c r="AJ874" s="22"/>
      <c r="AK874" s="22"/>
      <c r="AL874" s="22"/>
      <c r="AM874" s="22"/>
    </row>
    <row r="875">
      <c r="B875" s="28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22"/>
      <c r="Y875" s="22"/>
      <c r="Z875" s="22"/>
      <c r="AA875" s="22"/>
      <c r="AB875" s="22"/>
      <c r="AC875" s="22"/>
      <c r="AD875" s="22"/>
      <c r="AE875" s="22"/>
      <c r="AF875" s="22"/>
      <c r="AG875" s="22"/>
      <c r="AH875" s="22"/>
      <c r="AI875" s="22"/>
      <c r="AJ875" s="22"/>
      <c r="AK875" s="22"/>
      <c r="AL875" s="22"/>
      <c r="AM875" s="22"/>
    </row>
    <row r="876">
      <c r="B876" s="28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22"/>
      <c r="Y876" s="22"/>
      <c r="Z876" s="22"/>
      <c r="AA876" s="22"/>
      <c r="AB876" s="22"/>
      <c r="AC876" s="22"/>
      <c r="AD876" s="22"/>
      <c r="AE876" s="22"/>
      <c r="AF876" s="22"/>
      <c r="AG876" s="22"/>
      <c r="AH876" s="22"/>
      <c r="AI876" s="22"/>
      <c r="AJ876" s="22"/>
      <c r="AK876" s="22"/>
      <c r="AL876" s="22"/>
      <c r="AM876" s="22"/>
    </row>
    <row r="877">
      <c r="B877" s="28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22"/>
      <c r="Y877" s="22"/>
      <c r="Z877" s="22"/>
      <c r="AA877" s="22"/>
      <c r="AB877" s="22"/>
      <c r="AC877" s="22"/>
      <c r="AD877" s="22"/>
      <c r="AE877" s="22"/>
      <c r="AF877" s="22"/>
      <c r="AG877" s="22"/>
      <c r="AH877" s="22"/>
      <c r="AI877" s="22"/>
      <c r="AJ877" s="22"/>
      <c r="AK877" s="22"/>
      <c r="AL877" s="22"/>
      <c r="AM877" s="22"/>
    </row>
    <row r="878">
      <c r="B878" s="28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22"/>
      <c r="Y878" s="22"/>
      <c r="Z878" s="22"/>
      <c r="AA878" s="22"/>
      <c r="AB878" s="22"/>
      <c r="AC878" s="22"/>
      <c r="AD878" s="22"/>
      <c r="AE878" s="22"/>
      <c r="AF878" s="22"/>
      <c r="AG878" s="22"/>
      <c r="AH878" s="22"/>
      <c r="AI878" s="22"/>
      <c r="AJ878" s="22"/>
      <c r="AK878" s="22"/>
      <c r="AL878" s="22"/>
      <c r="AM878" s="22"/>
    </row>
    <row r="879">
      <c r="B879" s="28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22"/>
      <c r="Y879" s="22"/>
      <c r="Z879" s="22"/>
      <c r="AA879" s="22"/>
      <c r="AB879" s="22"/>
      <c r="AC879" s="22"/>
      <c r="AD879" s="22"/>
      <c r="AE879" s="22"/>
      <c r="AF879" s="22"/>
      <c r="AG879" s="22"/>
      <c r="AH879" s="22"/>
      <c r="AI879" s="22"/>
      <c r="AJ879" s="22"/>
      <c r="AK879" s="22"/>
      <c r="AL879" s="22"/>
      <c r="AM879" s="22"/>
    </row>
    <row r="880">
      <c r="B880" s="28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22"/>
      <c r="Y880" s="22"/>
      <c r="Z880" s="22"/>
      <c r="AA880" s="22"/>
      <c r="AB880" s="22"/>
      <c r="AC880" s="22"/>
      <c r="AD880" s="22"/>
      <c r="AE880" s="22"/>
      <c r="AF880" s="22"/>
      <c r="AG880" s="22"/>
      <c r="AH880" s="22"/>
      <c r="AI880" s="22"/>
      <c r="AJ880" s="22"/>
      <c r="AK880" s="22"/>
      <c r="AL880" s="22"/>
      <c r="AM880" s="22"/>
    </row>
    <row r="881">
      <c r="B881" s="28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22"/>
      <c r="Y881" s="22"/>
      <c r="Z881" s="22"/>
      <c r="AA881" s="22"/>
      <c r="AB881" s="22"/>
      <c r="AC881" s="22"/>
      <c r="AD881" s="22"/>
      <c r="AE881" s="22"/>
      <c r="AF881" s="22"/>
      <c r="AG881" s="22"/>
      <c r="AH881" s="22"/>
      <c r="AI881" s="22"/>
      <c r="AJ881" s="22"/>
      <c r="AK881" s="22"/>
      <c r="AL881" s="22"/>
      <c r="AM881" s="22"/>
    </row>
    <row r="882">
      <c r="B882" s="28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22"/>
      <c r="Y882" s="22"/>
      <c r="Z882" s="22"/>
      <c r="AA882" s="22"/>
      <c r="AB882" s="22"/>
      <c r="AC882" s="22"/>
      <c r="AD882" s="22"/>
      <c r="AE882" s="22"/>
      <c r="AF882" s="22"/>
      <c r="AG882" s="22"/>
      <c r="AH882" s="22"/>
      <c r="AI882" s="22"/>
      <c r="AJ882" s="22"/>
      <c r="AK882" s="22"/>
      <c r="AL882" s="22"/>
      <c r="AM882" s="22"/>
    </row>
    <row r="883">
      <c r="B883" s="28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22"/>
      <c r="Y883" s="22"/>
      <c r="Z883" s="22"/>
      <c r="AA883" s="22"/>
      <c r="AB883" s="22"/>
      <c r="AC883" s="22"/>
      <c r="AD883" s="22"/>
      <c r="AE883" s="22"/>
      <c r="AF883" s="22"/>
      <c r="AG883" s="22"/>
      <c r="AH883" s="22"/>
      <c r="AI883" s="22"/>
      <c r="AJ883" s="22"/>
      <c r="AK883" s="22"/>
      <c r="AL883" s="22"/>
      <c r="AM883" s="22"/>
    </row>
    <row r="884">
      <c r="B884" s="28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22"/>
      <c r="Y884" s="22"/>
      <c r="Z884" s="22"/>
      <c r="AA884" s="22"/>
      <c r="AB884" s="22"/>
      <c r="AC884" s="22"/>
      <c r="AD884" s="22"/>
      <c r="AE884" s="22"/>
      <c r="AF884" s="22"/>
      <c r="AG884" s="22"/>
      <c r="AH884" s="22"/>
      <c r="AI884" s="22"/>
      <c r="AJ884" s="22"/>
      <c r="AK884" s="22"/>
      <c r="AL884" s="22"/>
      <c r="AM884" s="22"/>
    </row>
    <row r="885">
      <c r="B885" s="28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22"/>
      <c r="Y885" s="22"/>
      <c r="Z885" s="22"/>
      <c r="AA885" s="22"/>
      <c r="AB885" s="22"/>
      <c r="AC885" s="22"/>
      <c r="AD885" s="22"/>
      <c r="AE885" s="22"/>
      <c r="AF885" s="22"/>
      <c r="AG885" s="22"/>
      <c r="AH885" s="22"/>
      <c r="AI885" s="22"/>
      <c r="AJ885" s="22"/>
      <c r="AK885" s="22"/>
      <c r="AL885" s="22"/>
      <c r="AM885" s="22"/>
    </row>
    <row r="886">
      <c r="B886" s="28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22"/>
      <c r="Y886" s="22"/>
      <c r="Z886" s="22"/>
      <c r="AA886" s="22"/>
      <c r="AB886" s="22"/>
      <c r="AC886" s="22"/>
      <c r="AD886" s="22"/>
      <c r="AE886" s="22"/>
      <c r="AF886" s="22"/>
      <c r="AG886" s="22"/>
      <c r="AH886" s="22"/>
      <c r="AI886" s="22"/>
      <c r="AJ886" s="22"/>
      <c r="AK886" s="22"/>
      <c r="AL886" s="22"/>
      <c r="AM886" s="22"/>
    </row>
    <row r="887">
      <c r="B887" s="28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22"/>
      <c r="Y887" s="22"/>
      <c r="Z887" s="22"/>
      <c r="AA887" s="22"/>
      <c r="AB887" s="22"/>
      <c r="AC887" s="22"/>
      <c r="AD887" s="22"/>
      <c r="AE887" s="22"/>
      <c r="AF887" s="22"/>
      <c r="AG887" s="22"/>
      <c r="AH887" s="22"/>
      <c r="AI887" s="22"/>
      <c r="AJ887" s="22"/>
      <c r="AK887" s="22"/>
      <c r="AL887" s="22"/>
      <c r="AM887" s="22"/>
    </row>
    <row r="888">
      <c r="B888" s="28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22"/>
      <c r="Y888" s="22"/>
      <c r="Z888" s="22"/>
      <c r="AA888" s="22"/>
      <c r="AB888" s="22"/>
      <c r="AC888" s="22"/>
      <c r="AD888" s="22"/>
      <c r="AE888" s="22"/>
      <c r="AF888" s="22"/>
      <c r="AG888" s="22"/>
      <c r="AH888" s="22"/>
      <c r="AI888" s="22"/>
      <c r="AJ888" s="22"/>
      <c r="AK888" s="22"/>
      <c r="AL888" s="22"/>
      <c r="AM888" s="22"/>
    </row>
    <row r="889">
      <c r="B889" s="28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22"/>
      <c r="Y889" s="22"/>
      <c r="Z889" s="22"/>
      <c r="AA889" s="22"/>
      <c r="AB889" s="22"/>
      <c r="AC889" s="22"/>
      <c r="AD889" s="22"/>
      <c r="AE889" s="22"/>
      <c r="AF889" s="22"/>
      <c r="AG889" s="22"/>
      <c r="AH889" s="22"/>
      <c r="AI889" s="22"/>
      <c r="AJ889" s="22"/>
      <c r="AK889" s="22"/>
      <c r="AL889" s="22"/>
      <c r="AM889" s="22"/>
    </row>
    <row r="890">
      <c r="B890" s="28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22"/>
      <c r="Y890" s="22"/>
      <c r="Z890" s="22"/>
      <c r="AA890" s="22"/>
      <c r="AB890" s="22"/>
      <c r="AC890" s="22"/>
      <c r="AD890" s="22"/>
      <c r="AE890" s="22"/>
      <c r="AF890" s="22"/>
      <c r="AG890" s="22"/>
      <c r="AH890" s="22"/>
      <c r="AI890" s="22"/>
      <c r="AJ890" s="22"/>
      <c r="AK890" s="22"/>
      <c r="AL890" s="22"/>
      <c r="AM890" s="22"/>
    </row>
    <row r="891">
      <c r="B891" s="28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22"/>
      <c r="Y891" s="22"/>
      <c r="Z891" s="22"/>
      <c r="AA891" s="22"/>
      <c r="AB891" s="22"/>
      <c r="AC891" s="22"/>
      <c r="AD891" s="22"/>
      <c r="AE891" s="22"/>
      <c r="AF891" s="22"/>
      <c r="AG891" s="22"/>
      <c r="AH891" s="22"/>
      <c r="AI891" s="22"/>
      <c r="AJ891" s="22"/>
      <c r="AK891" s="22"/>
      <c r="AL891" s="22"/>
      <c r="AM891" s="22"/>
    </row>
    <row r="892">
      <c r="B892" s="28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22"/>
      <c r="Y892" s="22"/>
      <c r="Z892" s="22"/>
      <c r="AA892" s="22"/>
      <c r="AB892" s="22"/>
      <c r="AC892" s="22"/>
      <c r="AD892" s="22"/>
      <c r="AE892" s="22"/>
      <c r="AF892" s="22"/>
      <c r="AG892" s="22"/>
      <c r="AH892" s="22"/>
      <c r="AI892" s="22"/>
      <c r="AJ892" s="22"/>
      <c r="AK892" s="22"/>
      <c r="AL892" s="22"/>
      <c r="AM892" s="22"/>
    </row>
    <row r="893">
      <c r="B893" s="28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22"/>
      <c r="Y893" s="22"/>
      <c r="Z893" s="22"/>
      <c r="AA893" s="22"/>
      <c r="AB893" s="22"/>
      <c r="AC893" s="22"/>
      <c r="AD893" s="22"/>
      <c r="AE893" s="22"/>
      <c r="AF893" s="22"/>
      <c r="AG893" s="22"/>
      <c r="AH893" s="22"/>
      <c r="AI893" s="22"/>
      <c r="AJ893" s="22"/>
      <c r="AK893" s="22"/>
      <c r="AL893" s="22"/>
      <c r="AM893" s="22"/>
    </row>
    <row r="894">
      <c r="B894" s="28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22"/>
      <c r="Y894" s="22"/>
      <c r="Z894" s="22"/>
      <c r="AA894" s="22"/>
      <c r="AB894" s="22"/>
      <c r="AC894" s="22"/>
      <c r="AD894" s="22"/>
      <c r="AE894" s="22"/>
      <c r="AF894" s="22"/>
      <c r="AG894" s="22"/>
      <c r="AH894" s="22"/>
      <c r="AI894" s="22"/>
      <c r="AJ894" s="22"/>
      <c r="AK894" s="22"/>
      <c r="AL894" s="22"/>
      <c r="AM894" s="22"/>
    </row>
    <row r="895">
      <c r="B895" s="28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22"/>
      <c r="Y895" s="22"/>
      <c r="Z895" s="22"/>
      <c r="AA895" s="22"/>
      <c r="AB895" s="22"/>
      <c r="AC895" s="22"/>
      <c r="AD895" s="22"/>
      <c r="AE895" s="22"/>
      <c r="AF895" s="22"/>
      <c r="AG895" s="22"/>
      <c r="AH895" s="22"/>
      <c r="AI895" s="22"/>
      <c r="AJ895" s="22"/>
      <c r="AK895" s="22"/>
      <c r="AL895" s="22"/>
      <c r="AM895" s="22"/>
    </row>
    <row r="896">
      <c r="B896" s="28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22"/>
      <c r="Y896" s="22"/>
      <c r="Z896" s="22"/>
      <c r="AA896" s="22"/>
      <c r="AB896" s="22"/>
      <c r="AC896" s="22"/>
      <c r="AD896" s="22"/>
      <c r="AE896" s="22"/>
      <c r="AF896" s="22"/>
      <c r="AG896" s="22"/>
      <c r="AH896" s="22"/>
      <c r="AI896" s="22"/>
      <c r="AJ896" s="22"/>
      <c r="AK896" s="22"/>
      <c r="AL896" s="22"/>
      <c r="AM896" s="22"/>
    </row>
    <row r="897">
      <c r="B897" s="28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22"/>
      <c r="Y897" s="22"/>
      <c r="Z897" s="22"/>
      <c r="AA897" s="22"/>
      <c r="AB897" s="22"/>
      <c r="AC897" s="22"/>
      <c r="AD897" s="22"/>
      <c r="AE897" s="22"/>
      <c r="AF897" s="22"/>
      <c r="AG897" s="22"/>
      <c r="AH897" s="22"/>
      <c r="AI897" s="22"/>
      <c r="AJ897" s="22"/>
      <c r="AK897" s="22"/>
      <c r="AL897" s="22"/>
      <c r="AM897" s="22"/>
    </row>
    <row r="898">
      <c r="B898" s="28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22"/>
      <c r="Y898" s="22"/>
      <c r="Z898" s="22"/>
      <c r="AA898" s="22"/>
      <c r="AB898" s="22"/>
      <c r="AC898" s="22"/>
      <c r="AD898" s="22"/>
      <c r="AE898" s="22"/>
      <c r="AF898" s="22"/>
      <c r="AG898" s="22"/>
      <c r="AH898" s="22"/>
      <c r="AI898" s="22"/>
      <c r="AJ898" s="22"/>
      <c r="AK898" s="22"/>
      <c r="AL898" s="22"/>
      <c r="AM898" s="22"/>
    </row>
    <row r="899">
      <c r="B899" s="28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22"/>
      <c r="Y899" s="22"/>
      <c r="Z899" s="22"/>
      <c r="AA899" s="22"/>
      <c r="AB899" s="22"/>
      <c r="AC899" s="22"/>
      <c r="AD899" s="22"/>
      <c r="AE899" s="22"/>
      <c r="AF899" s="22"/>
      <c r="AG899" s="22"/>
      <c r="AH899" s="22"/>
      <c r="AI899" s="22"/>
      <c r="AJ899" s="22"/>
      <c r="AK899" s="22"/>
      <c r="AL899" s="22"/>
      <c r="AM899" s="22"/>
    </row>
    <row r="900">
      <c r="B900" s="28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22"/>
      <c r="Y900" s="22"/>
      <c r="Z900" s="22"/>
      <c r="AA900" s="22"/>
      <c r="AB900" s="22"/>
      <c r="AC900" s="22"/>
      <c r="AD900" s="22"/>
      <c r="AE900" s="22"/>
      <c r="AF900" s="22"/>
      <c r="AG900" s="22"/>
      <c r="AH900" s="22"/>
      <c r="AI900" s="22"/>
      <c r="AJ900" s="22"/>
      <c r="AK900" s="22"/>
      <c r="AL900" s="22"/>
      <c r="AM900" s="22"/>
    </row>
    <row r="901">
      <c r="B901" s="28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22"/>
      <c r="Y901" s="22"/>
      <c r="Z901" s="22"/>
      <c r="AA901" s="22"/>
      <c r="AB901" s="22"/>
      <c r="AC901" s="22"/>
      <c r="AD901" s="22"/>
      <c r="AE901" s="22"/>
      <c r="AF901" s="22"/>
      <c r="AG901" s="22"/>
      <c r="AH901" s="22"/>
      <c r="AI901" s="22"/>
      <c r="AJ901" s="22"/>
      <c r="AK901" s="22"/>
      <c r="AL901" s="22"/>
      <c r="AM901" s="22"/>
    </row>
    <row r="902">
      <c r="B902" s="28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22"/>
      <c r="Y902" s="22"/>
      <c r="Z902" s="22"/>
      <c r="AA902" s="22"/>
      <c r="AB902" s="22"/>
      <c r="AC902" s="22"/>
      <c r="AD902" s="22"/>
      <c r="AE902" s="22"/>
      <c r="AF902" s="22"/>
      <c r="AG902" s="22"/>
      <c r="AH902" s="22"/>
      <c r="AI902" s="22"/>
      <c r="AJ902" s="22"/>
      <c r="AK902" s="22"/>
      <c r="AL902" s="22"/>
      <c r="AM902" s="22"/>
    </row>
    <row r="903">
      <c r="B903" s="28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22"/>
      <c r="Y903" s="22"/>
      <c r="Z903" s="22"/>
      <c r="AA903" s="22"/>
      <c r="AB903" s="22"/>
      <c r="AC903" s="22"/>
      <c r="AD903" s="22"/>
      <c r="AE903" s="22"/>
      <c r="AF903" s="22"/>
      <c r="AG903" s="22"/>
      <c r="AH903" s="22"/>
      <c r="AI903" s="22"/>
      <c r="AJ903" s="22"/>
      <c r="AK903" s="22"/>
      <c r="AL903" s="22"/>
      <c r="AM903" s="22"/>
    </row>
    <row r="904">
      <c r="B904" s="28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22"/>
      <c r="Y904" s="22"/>
      <c r="Z904" s="22"/>
      <c r="AA904" s="22"/>
      <c r="AB904" s="22"/>
      <c r="AC904" s="22"/>
      <c r="AD904" s="22"/>
      <c r="AE904" s="22"/>
      <c r="AF904" s="22"/>
      <c r="AG904" s="22"/>
      <c r="AH904" s="22"/>
      <c r="AI904" s="22"/>
      <c r="AJ904" s="22"/>
      <c r="AK904" s="22"/>
      <c r="AL904" s="22"/>
      <c r="AM904" s="22"/>
    </row>
    <row r="905">
      <c r="B905" s="28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22"/>
      <c r="Y905" s="22"/>
      <c r="Z905" s="22"/>
      <c r="AA905" s="22"/>
      <c r="AB905" s="22"/>
      <c r="AC905" s="22"/>
      <c r="AD905" s="22"/>
      <c r="AE905" s="22"/>
      <c r="AF905" s="22"/>
      <c r="AG905" s="22"/>
      <c r="AH905" s="22"/>
      <c r="AI905" s="22"/>
      <c r="AJ905" s="22"/>
      <c r="AK905" s="22"/>
      <c r="AL905" s="22"/>
      <c r="AM905" s="22"/>
    </row>
    <row r="906">
      <c r="B906" s="28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22"/>
      <c r="Y906" s="22"/>
      <c r="Z906" s="22"/>
      <c r="AA906" s="22"/>
      <c r="AB906" s="22"/>
      <c r="AC906" s="22"/>
      <c r="AD906" s="22"/>
      <c r="AE906" s="22"/>
      <c r="AF906" s="22"/>
      <c r="AG906" s="22"/>
      <c r="AH906" s="22"/>
      <c r="AI906" s="22"/>
      <c r="AJ906" s="22"/>
      <c r="AK906" s="22"/>
      <c r="AL906" s="22"/>
      <c r="AM906" s="22"/>
    </row>
    <row r="907">
      <c r="B907" s="28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22"/>
      <c r="Y907" s="22"/>
      <c r="Z907" s="22"/>
      <c r="AA907" s="22"/>
      <c r="AB907" s="22"/>
      <c r="AC907" s="22"/>
      <c r="AD907" s="22"/>
      <c r="AE907" s="22"/>
      <c r="AF907" s="22"/>
      <c r="AG907" s="22"/>
      <c r="AH907" s="22"/>
      <c r="AI907" s="22"/>
      <c r="AJ907" s="22"/>
      <c r="AK907" s="22"/>
      <c r="AL907" s="22"/>
      <c r="AM907" s="22"/>
    </row>
    <row r="908">
      <c r="B908" s="28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22"/>
      <c r="Y908" s="22"/>
      <c r="Z908" s="22"/>
      <c r="AA908" s="22"/>
      <c r="AB908" s="22"/>
      <c r="AC908" s="22"/>
      <c r="AD908" s="22"/>
      <c r="AE908" s="22"/>
      <c r="AF908" s="22"/>
      <c r="AG908" s="22"/>
      <c r="AH908" s="22"/>
      <c r="AI908" s="22"/>
      <c r="AJ908" s="22"/>
      <c r="AK908" s="22"/>
      <c r="AL908" s="22"/>
      <c r="AM908" s="22"/>
    </row>
    <row r="909">
      <c r="B909" s="28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22"/>
      <c r="Y909" s="22"/>
      <c r="Z909" s="22"/>
      <c r="AA909" s="22"/>
      <c r="AB909" s="22"/>
      <c r="AC909" s="22"/>
      <c r="AD909" s="22"/>
      <c r="AE909" s="22"/>
      <c r="AF909" s="22"/>
      <c r="AG909" s="22"/>
      <c r="AH909" s="22"/>
      <c r="AI909" s="22"/>
      <c r="AJ909" s="22"/>
      <c r="AK909" s="22"/>
      <c r="AL909" s="22"/>
      <c r="AM909" s="22"/>
    </row>
    <row r="910">
      <c r="B910" s="28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22"/>
      <c r="Y910" s="22"/>
      <c r="Z910" s="22"/>
      <c r="AA910" s="22"/>
      <c r="AB910" s="22"/>
      <c r="AC910" s="22"/>
      <c r="AD910" s="22"/>
      <c r="AE910" s="22"/>
      <c r="AF910" s="22"/>
      <c r="AG910" s="22"/>
      <c r="AH910" s="22"/>
      <c r="AI910" s="22"/>
      <c r="AJ910" s="22"/>
      <c r="AK910" s="22"/>
      <c r="AL910" s="22"/>
      <c r="AM910" s="22"/>
    </row>
    <row r="911">
      <c r="B911" s="28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22"/>
      <c r="Y911" s="22"/>
      <c r="Z911" s="22"/>
      <c r="AA911" s="22"/>
      <c r="AB911" s="22"/>
      <c r="AC911" s="22"/>
      <c r="AD911" s="22"/>
      <c r="AE911" s="22"/>
      <c r="AF911" s="22"/>
      <c r="AG911" s="22"/>
      <c r="AH911" s="22"/>
      <c r="AI911" s="22"/>
      <c r="AJ911" s="22"/>
      <c r="AK911" s="22"/>
      <c r="AL911" s="22"/>
      <c r="AM911" s="22"/>
    </row>
    <row r="912">
      <c r="B912" s="28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22"/>
      <c r="Y912" s="22"/>
      <c r="Z912" s="22"/>
      <c r="AA912" s="22"/>
      <c r="AB912" s="22"/>
      <c r="AC912" s="22"/>
      <c r="AD912" s="22"/>
      <c r="AE912" s="22"/>
      <c r="AF912" s="22"/>
      <c r="AG912" s="22"/>
      <c r="AH912" s="22"/>
      <c r="AI912" s="22"/>
      <c r="AJ912" s="22"/>
      <c r="AK912" s="22"/>
      <c r="AL912" s="22"/>
      <c r="AM912" s="22"/>
    </row>
    <row r="913">
      <c r="B913" s="28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22"/>
      <c r="Y913" s="22"/>
      <c r="Z913" s="22"/>
      <c r="AA913" s="22"/>
      <c r="AB913" s="22"/>
      <c r="AC913" s="22"/>
      <c r="AD913" s="22"/>
      <c r="AE913" s="22"/>
      <c r="AF913" s="22"/>
      <c r="AG913" s="22"/>
      <c r="AH913" s="22"/>
      <c r="AI913" s="22"/>
      <c r="AJ913" s="22"/>
      <c r="AK913" s="22"/>
      <c r="AL913" s="22"/>
      <c r="AM913" s="22"/>
    </row>
    <row r="914">
      <c r="B914" s="28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22"/>
      <c r="Y914" s="22"/>
      <c r="Z914" s="22"/>
      <c r="AA914" s="22"/>
      <c r="AB914" s="22"/>
      <c r="AC914" s="22"/>
      <c r="AD914" s="22"/>
      <c r="AE914" s="22"/>
      <c r="AF914" s="22"/>
      <c r="AG914" s="22"/>
      <c r="AH914" s="22"/>
      <c r="AI914" s="22"/>
      <c r="AJ914" s="22"/>
      <c r="AK914" s="22"/>
      <c r="AL914" s="22"/>
      <c r="AM914" s="22"/>
    </row>
    <row r="915">
      <c r="B915" s="28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22"/>
      <c r="Y915" s="22"/>
      <c r="Z915" s="22"/>
      <c r="AA915" s="22"/>
      <c r="AB915" s="22"/>
      <c r="AC915" s="22"/>
      <c r="AD915" s="22"/>
      <c r="AE915" s="22"/>
      <c r="AF915" s="22"/>
      <c r="AG915" s="22"/>
      <c r="AH915" s="22"/>
      <c r="AI915" s="22"/>
      <c r="AJ915" s="22"/>
      <c r="AK915" s="22"/>
      <c r="AL915" s="22"/>
      <c r="AM915" s="22"/>
    </row>
    <row r="916">
      <c r="B916" s="28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22"/>
      <c r="Y916" s="22"/>
      <c r="Z916" s="22"/>
      <c r="AA916" s="22"/>
      <c r="AB916" s="22"/>
      <c r="AC916" s="22"/>
      <c r="AD916" s="22"/>
      <c r="AE916" s="22"/>
      <c r="AF916" s="22"/>
      <c r="AG916" s="22"/>
      <c r="AH916" s="22"/>
      <c r="AI916" s="22"/>
      <c r="AJ916" s="22"/>
      <c r="AK916" s="22"/>
      <c r="AL916" s="22"/>
      <c r="AM916" s="22"/>
    </row>
    <row r="917">
      <c r="B917" s="28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22"/>
      <c r="Y917" s="22"/>
      <c r="Z917" s="22"/>
      <c r="AA917" s="22"/>
      <c r="AB917" s="22"/>
      <c r="AC917" s="22"/>
      <c r="AD917" s="22"/>
      <c r="AE917" s="22"/>
      <c r="AF917" s="22"/>
      <c r="AG917" s="22"/>
      <c r="AH917" s="22"/>
      <c r="AI917" s="22"/>
      <c r="AJ917" s="22"/>
      <c r="AK917" s="22"/>
      <c r="AL917" s="22"/>
      <c r="AM917" s="22"/>
    </row>
    <row r="918">
      <c r="B918" s="28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22"/>
      <c r="Y918" s="22"/>
      <c r="Z918" s="22"/>
      <c r="AA918" s="22"/>
      <c r="AB918" s="22"/>
      <c r="AC918" s="22"/>
      <c r="AD918" s="22"/>
      <c r="AE918" s="22"/>
      <c r="AF918" s="22"/>
      <c r="AG918" s="22"/>
      <c r="AH918" s="22"/>
      <c r="AI918" s="22"/>
      <c r="AJ918" s="22"/>
      <c r="AK918" s="22"/>
      <c r="AL918" s="22"/>
      <c r="AM918" s="22"/>
    </row>
    <row r="919">
      <c r="B919" s="28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22"/>
      <c r="Y919" s="22"/>
      <c r="Z919" s="22"/>
      <c r="AA919" s="22"/>
      <c r="AB919" s="22"/>
      <c r="AC919" s="22"/>
      <c r="AD919" s="22"/>
      <c r="AE919" s="22"/>
      <c r="AF919" s="22"/>
      <c r="AG919" s="22"/>
      <c r="AH919" s="22"/>
      <c r="AI919" s="22"/>
      <c r="AJ919" s="22"/>
      <c r="AK919" s="22"/>
      <c r="AL919" s="22"/>
      <c r="AM919" s="22"/>
    </row>
    <row r="920">
      <c r="B920" s="28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22"/>
      <c r="Y920" s="22"/>
      <c r="Z920" s="22"/>
      <c r="AA920" s="22"/>
      <c r="AB920" s="22"/>
      <c r="AC920" s="22"/>
      <c r="AD920" s="22"/>
      <c r="AE920" s="22"/>
      <c r="AF920" s="22"/>
      <c r="AG920" s="22"/>
      <c r="AH920" s="22"/>
      <c r="AI920" s="22"/>
      <c r="AJ920" s="22"/>
      <c r="AK920" s="22"/>
      <c r="AL920" s="22"/>
      <c r="AM920" s="22"/>
    </row>
    <row r="921">
      <c r="B921" s="28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22"/>
      <c r="Y921" s="22"/>
      <c r="Z921" s="22"/>
      <c r="AA921" s="22"/>
      <c r="AB921" s="22"/>
      <c r="AC921" s="22"/>
      <c r="AD921" s="22"/>
      <c r="AE921" s="22"/>
      <c r="AF921" s="22"/>
      <c r="AG921" s="22"/>
      <c r="AH921" s="22"/>
      <c r="AI921" s="22"/>
      <c r="AJ921" s="22"/>
      <c r="AK921" s="22"/>
      <c r="AL921" s="22"/>
      <c r="AM921" s="22"/>
    </row>
    <row r="922">
      <c r="B922" s="28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22"/>
      <c r="Y922" s="22"/>
      <c r="Z922" s="22"/>
      <c r="AA922" s="22"/>
      <c r="AB922" s="22"/>
      <c r="AC922" s="22"/>
      <c r="AD922" s="22"/>
      <c r="AE922" s="22"/>
      <c r="AF922" s="22"/>
      <c r="AG922" s="22"/>
      <c r="AH922" s="22"/>
      <c r="AI922" s="22"/>
      <c r="AJ922" s="22"/>
      <c r="AK922" s="22"/>
      <c r="AL922" s="22"/>
      <c r="AM922" s="22"/>
    </row>
    <row r="923">
      <c r="B923" s="28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22"/>
      <c r="Y923" s="22"/>
      <c r="Z923" s="22"/>
      <c r="AA923" s="22"/>
      <c r="AB923" s="22"/>
      <c r="AC923" s="22"/>
      <c r="AD923" s="22"/>
      <c r="AE923" s="22"/>
      <c r="AF923" s="22"/>
      <c r="AG923" s="22"/>
      <c r="AH923" s="22"/>
      <c r="AI923" s="22"/>
      <c r="AJ923" s="22"/>
      <c r="AK923" s="22"/>
      <c r="AL923" s="22"/>
      <c r="AM923" s="22"/>
    </row>
    <row r="924">
      <c r="B924" s="28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22"/>
      <c r="Y924" s="22"/>
      <c r="Z924" s="22"/>
      <c r="AA924" s="22"/>
      <c r="AB924" s="22"/>
      <c r="AC924" s="22"/>
      <c r="AD924" s="22"/>
      <c r="AE924" s="22"/>
      <c r="AF924" s="22"/>
      <c r="AG924" s="22"/>
      <c r="AH924" s="22"/>
      <c r="AI924" s="22"/>
      <c r="AJ924" s="22"/>
      <c r="AK924" s="22"/>
      <c r="AL924" s="22"/>
      <c r="AM924" s="22"/>
    </row>
    <row r="925">
      <c r="B925" s="28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22"/>
      <c r="Y925" s="22"/>
      <c r="Z925" s="22"/>
      <c r="AA925" s="22"/>
      <c r="AB925" s="22"/>
      <c r="AC925" s="22"/>
      <c r="AD925" s="22"/>
      <c r="AE925" s="22"/>
      <c r="AF925" s="22"/>
      <c r="AG925" s="22"/>
      <c r="AH925" s="22"/>
      <c r="AI925" s="22"/>
      <c r="AJ925" s="22"/>
      <c r="AK925" s="22"/>
      <c r="AL925" s="22"/>
      <c r="AM925" s="22"/>
    </row>
    <row r="926">
      <c r="B926" s="28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22"/>
      <c r="Y926" s="22"/>
      <c r="Z926" s="22"/>
      <c r="AA926" s="22"/>
      <c r="AB926" s="22"/>
      <c r="AC926" s="22"/>
      <c r="AD926" s="22"/>
      <c r="AE926" s="22"/>
      <c r="AF926" s="22"/>
      <c r="AG926" s="22"/>
      <c r="AH926" s="22"/>
      <c r="AI926" s="22"/>
      <c r="AJ926" s="22"/>
      <c r="AK926" s="22"/>
      <c r="AL926" s="22"/>
      <c r="AM926" s="22"/>
    </row>
    <row r="927">
      <c r="B927" s="28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22"/>
      <c r="Y927" s="22"/>
      <c r="Z927" s="22"/>
      <c r="AA927" s="22"/>
      <c r="AB927" s="22"/>
      <c r="AC927" s="22"/>
      <c r="AD927" s="22"/>
      <c r="AE927" s="22"/>
      <c r="AF927" s="22"/>
      <c r="AG927" s="22"/>
      <c r="AH927" s="22"/>
      <c r="AI927" s="22"/>
      <c r="AJ927" s="22"/>
      <c r="AK927" s="22"/>
      <c r="AL927" s="22"/>
      <c r="AM927" s="22"/>
    </row>
    <row r="928">
      <c r="B928" s="28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22"/>
      <c r="Y928" s="22"/>
      <c r="Z928" s="22"/>
      <c r="AA928" s="22"/>
      <c r="AB928" s="22"/>
      <c r="AC928" s="22"/>
      <c r="AD928" s="22"/>
      <c r="AE928" s="22"/>
      <c r="AF928" s="22"/>
      <c r="AG928" s="22"/>
      <c r="AH928" s="22"/>
      <c r="AI928" s="22"/>
      <c r="AJ928" s="22"/>
      <c r="AK928" s="22"/>
      <c r="AL928" s="22"/>
      <c r="AM928" s="22"/>
    </row>
    <row r="929">
      <c r="B929" s="28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22"/>
      <c r="Y929" s="22"/>
      <c r="Z929" s="22"/>
      <c r="AA929" s="22"/>
      <c r="AB929" s="22"/>
      <c r="AC929" s="22"/>
      <c r="AD929" s="22"/>
      <c r="AE929" s="22"/>
      <c r="AF929" s="22"/>
      <c r="AG929" s="22"/>
      <c r="AH929" s="22"/>
      <c r="AI929" s="22"/>
      <c r="AJ929" s="22"/>
      <c r="AK929" s="22"/>
      <c r="AL929" s="22"/>
      <c r="AM929" s="22"/>
    </row>
    <row r="930">
      <c r="B930" s="28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22"/>
      <c r="Y930" s="22"/>
      <c r="Z930" s="22"/>
      <c r="AA930" s="22"/>
      <c r="AB930" s="22"/>
      <c r="AC930" s="22"/>
      <c r="AD930" s="22"/>
      <c r="AE930" s="22"/>
      <c r="AF930" s="22"/>
      <c r="AG930" s="22"/>
      <c r="AH930" s="22"/>
      <c r="AI930" s="22"/>
      <c r="AJ930" s="22"/>
      <c r="AK930" s="22"/>
      <c r="AL930" s="22"/>
      <c r="AM930" s="22"/>
    </row>
    <row r="931">
      <c r="B931" s="28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22"/>
      <c r="Y931" s="22"/>
      <c r="Z931" s="22"/>
      <c r="AA931" s="22"/>
      <c r="AB931" s="22"/>
      <c r="AC931" s="22"/>
      <c r="AD931" s="22"/>
      <c r="AE931" s="22"/>
      <c r="AF931" s="22"/>
      <c r="AG931" s="22"/>
      <c r="AH931" s="22"/>
      <c r="AI931" s="22"/>
      <c r="AJ931" s="22"/>
      <c r="AK931" s="22"/>
      <c r="AL931" s="22"/>
      <c r="AM931" s="22"/>
    </row>
    <row r="932">
      <c r="B932" s="28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22"/>
      <c r="Y932" s="22"/>
      <c r="Z932" s="22"/>
      <c r="AA932" s="22"/>
      <c r="AB932" s="22"/>
      <c r="AC932" s="22"/>
      <c r="AD932" s="22"/>
      <c r="AE932" s="22"/>
      <c r="AF932" s="22"/>
      <c r="AG932" s="22"/>
      <c r="AH932" s="22"/>
      <c r="AI932" s="22"/>
      <c r="AJ932" s="22"/>
      <c r="AK932" s="22"/>
      <c r="AL932" s="22"/>
      <c r="AM932" s="22"/>
    </row>
    <row r="933">
      <c r="B933" s="28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22"/>
      <c r="Y933" s="22"/>
      <c r="Z933" s="22"/>
      <c r="AA933" s="22"/>
      <c r="AB933" s="22"/>
      <c r="AC933" s="22"/>
      <c r="AD933" s="22"/>
      <c r="AE933" s="22"/>
      <c r="AF933" s="22"/>
      <c r="AG933" s="22"/>
      <c r="AH933" s="22"/>
      <c r="AI933" s="22"/>
      <c r="AJ933" s="22"/>
      <c r="AK933" s="22"/>
      <c r="AL933" s="22"/>
      <c r="AM933" s="22"/>
    </row>
    <row r="934">
      <c r="B934" s="28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22"/>
      <c r="Y934" s="22"/>
      <c r="Z934" s="22"/>
      <c r="AA934" s="22"/>
      <c r="AB934" s="22"/>
      <c r="AC934" s="22"/>
      <c r="AD934" s="22"/>
      <c r="AE934" s="22"/>
      <c r="AF934" s="22"/>
      <c r="AG934" s="22"/>
      <c r="AH934" s="22"/>
      <c r="AI934" s="22"/>
      <c r="AJ934" s="22"/>
      <c r="AK934" s="22"/>
      <c r="AL934" s="22"/>
      <c r="AM934" s="22"/>
    </row>
    <row r="935">
      <c r="B935" s="28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22"/>
      <c r="Y935" s="22"/>
      <c r="Z935" s="22"/>
      <c r="AA935" s="22"/>
      <c r="AB935" s="22"/>
      <c r="AC935" s="22"/>
      <c r="AD935" s="22"/>
      <c r="AE935" s="22"/>
      <c r="AF935" s="22"/>
      <c r="AG935" s="22"/>
      <c r="AH935" s="22"/>
      <c r="AI935" s="22"/>
      <c r="AJ935" s="22"/>
      <c r="AK935" s="22"/>
      <c r="AL935" s="22"/>
      <c r="AM935" s="22"/>
    </row>
    <row r="936">
      <c r="B936" s="28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22"/>
      <c r="Y936" s="22"/>
      <c r="Z936" s="22"/>
      <c r="AA936" s="22"/>
      <c r="AB936" s="22"/>
      <c r="AC936" s="22"/>
      <c r="AD936" s="22"/>
      <c r="AE936" s="22"/>
      <c r="AF936" s="22"/>
      <c r="AG936" s="22"/>
      <c r="AH936" s="22"/>
      <c r="AI936" s="22"/>
      <c r="AJ936" s="22"/>
      <c r="AK936" s="22"/>
      <c r="AL936" s="22"/>
      <c r="AM936" s="22"/>
    </row>
    <row r="937">
      <c r="B937" s="28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22"/>
      <c r="Y937" s="22"/>
      <c r="Z937" s="22"/>
      <c r="AA937" s="22"/>
      <c r="AB937" s="22"/>
      <c r="AC937" s="22"/>
      <c r="AD937" s="22"/>
      <c r="AE937" s="22"/>
      <c r="AF937" s="22"/>
      <c r="AG937" s="22"/>
      <c r="AH937" s="22"/>
      <c r="AI937" s="22"/>
      <c r="AJ937" s="22"/>
      <c r="AK937" s="22"/>
      <c r="AL937" s="22"/>
      <c r="AM937" s="22"/>
    </row>
    <row r="938">
      <c r="B938" s="28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22"/>
      <c r="Y938" s="22"/>
      <c r="Z938" s="22"/>
      <c r="AA938" s="22"/>
      <c r="AB938" s="22"/>
      <c r="AC938" s="22"/>
      <c r="AD938" s="22"/>
      <c r="AE938" s="22"/>
      <c r="AF938" s="22"/>
      <c r="AG938" s="22"/>
      <c r="AH938" s="22"/>
      <c r="AI938" s="22"/>
      <c r="AJ938" s="22"/>
      <c r="AK938" s="22"/>
      <c r="AL938" s="22"/>
      <c r="AM938" s="22"/>
    </row>
    <row r="939">
      <c r="B939" s="28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22"/>
      <c r="Y939" s="22"/>
      <c r="Z939" s="22"/>
      <c r="AA939" s="22"/>
      <c r="AB939" s="22"/>
      <c r="AC939" s="22"/>
      <c r="AD939" s="22"/>
      <c r="AE939" s="22"/>
      <c r="AF939" s="22"/>
      <c r="AG939" s="22"/>
      <c r="AH939" s="22"/>
      <c r="AI939" s="22"/>
      <c r="AJ939" s="22"/>
      <c r="AK939" s="22"/>
      <c r="AL939" s="22"/>
      <c r="AM939" s="22"/>
    </row>
    <row r="940">
      <c r="B940" s="28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22"/>
      <c r="Y940" s="22"/>
      <c r="Z940" s="22"/>
      <c r="AA940" s="22"/>
      <c r="AB940" s="22"/>
      <c r="AC940" s="22"/>
      <c r="AD940" s="22"/>
      <c r="AE940" s="22"/>
      <c r="AF940" s="22"/>
      <c r="AG940" s="22"/>
      <c r="AH940" s="22"/>
      <c r="AI940" s="22"/>
      <c r="AJ940" s="22"/>
      <c r="AK940" s="22"/>
      <c r="AL940" s="22"/>
      <c r="AM940" s="22"/>
    </row>
    <row r="941">
      <c r="B941" s="28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22"/>
      <c r="Y941" s="22"/>
      <c r="Z941" s="22"/>
      <c r="AA941" s="22"/>
      <c r="AB941" s="22"/>
      <c r="AC941" s="22"/>
      <c r="AD941" s="22"/>
      <c r="AE941" s="22"/>
      <c r="AF941" s="22"/>
      <c r="AG941" s="22"/>
      <c r="AH941" s="22"/>
      <c r="AI941" s="22"/>
      <c r="AJ941" s="22"/>
      <c r="AK941" s="22"/>
      <c r="AL941" s="22"/>
      <c r="AM941" s="22"/>
    </row>
    <row r="942">
      <c r="B942" s="28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22"/>
      <c r="Y942" s="22"/>
      <c r="Z942" s="22"/>
      <c r="AA942" s="22"/>
      <c r="AB942" s="22"/>
      <c r="AC942" s="22"/>
      <c r="AD942" s="22"/>
      <c r="AE942" s="22"/>
      <c r="AF942" s="22"/>
      <c r="AG942" s="22"/>
      <c r="AH942" s="22"/>
      <c r="AI942" s="22"/>
      <c r="AJ942" s="22"/>
      <c r="AK942" s="22"/>
      <c r="AL942" s="22"/>
      <c r="AM942" s="22"/>
    </row>
    <row r="943">
      <c r="B943" s="28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22"/>
      <c r="Y943" s="22"/>
      <c r="Z943" s="22"/>
      <c r="AA943" s="22"/>
      <c r="AB943" s="22"/>
      <c r="AC943" s="22"/>
      <c r="AD943" s="22"/>
      <c r="AE943" s="22"/>
      <c r="AF943" s="22"/>
      <c r="AG943" s="22"/>
      <c r="AH943" s="22"/>
      <c r="AI943" s="22"/>
      <c r="AJ943" s="22"/>
      <c r="AK943" s="22"/>
      <c r="AL943" s="22"/>
      <c r="AM943" s="22"/>
    </row>
    <row r="944">
      <c r="B944" s="28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22"/>
      <c r="Y944" s="22"/>
      <c r="Z944" s="22"/>
      <c r="AA944" s="22"/>
      <c r="AB944" s="22"/>
      <c r="AC944" s="22"/>
      <c r="AD944" s="22"/>
      <c r="AE944" s="22"/>
      <c r="AF944" s="22"/>
      <c r="AG944" s="22"/>
      <c r="AH944" s="22"/>
      <c r="AI944" s="22"/>
      <c r="AJ944" s="22"/>
      <c r="AK944" s="22"/>
      <c r="AL944" s="22"/>
      <c r="AM944" s="22"/>
    </row>
    <row r="945">
      <c r="B945" s="28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22"/>
      <c r="Y945" s="22"/>
      <c r="Z945" s="22"/>
      <c r="AA945" s="22"/>
      <c r="AB945" s="22"/>
      <c r="AC945" s="22"/>
      <c r="AD945" s="22"/>
      <c r="AE945" s="22"/>
      <c r="AF945" s="22"/>
      <c r="AG945" s="22"/>
      <c r="AH945" s="22"/>
      <c r="AI945" s="22"/>
      <c r="AJ945" s="22"/>
      <c r="AK945" s="22"/>
      <c r="AL945" s="22"/>
      <c r="AM945" s="22"/>
    </row>
    <row r="946">
      <c r="B946" s="28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22"/>
      <c r="Y946" s="22"/>
      <c r="Z946" s="22"/>
      <c r="AA946" s="22"/>
      <c r="AB946" s="22"/>
      <c r="AC946" s="22"/>
      <c r="AD946" s="22"/>
      <c r="AE946" s="22"/>
      <c r="AF946" s="22"/>
      <c r="AG946" s="22"/>
      <c r="AH946" s="22"/>
      <c r="AI946" s="22"/>
      <c r="AJ946" s="22"/>
      <c r="AK946" s="22"/>
      <c r="AL946" s="22"/>
      <c r="AM946" s="22"/>
    </row>
    <row r="947">
      <c r="B947" s="28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22"/>
      <c r="Y947" s="22"/>
      <c r="Z947" s="22"/>
      <c r="AA947" s="22"/>
      <c r="AB947" s="22"/>
      <c r="AC947" s="22"/>
      <c r="AD947" s="22"/>
      <c r="AE947" s="22"/>
      <c r="AF947" s="22"/>
      <c r="AG947" s="22"/>
      <c r="AH947" s="22"/>
      <c r="AI947" s="22"/>
      <c r="AJ947" s="22"/>
      <c r="AK947" s="22"/>
      <c r="AL947" s="22"/>
      <c r="AM947" s="22"/>
    </row>
    <row r="948">
      <c r="B948" s="28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22"/>
      <c r="Y948" s="22"/>
      <c r="Z948" s="22"/>
      <c r="AA948" s="22"/>
      <c r="AB948" s="22"/>
      <c r="AC948" s="22"/>
      <c r="AD948" s="22"/>
      <c r="AE948" s="22"/>
      <c r="AF948" s="22"/>
      <c r="AG948" s="22"/>
      <c r="AH948" s="22"/>
      <c r="AI948" s="22"/>
      <c r="AJ948" s="22"/>
      <c r="AK948" s="22"/>
      <c r="AL948" s="22"/>
      <c r="AM948" s="22"/>
    </row>
    <row r="949">
      <c r="B949" s="28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22"/>
      <c r="Y949" s="22"/>
      <c r="Z949" s="22"/>
      <c r="AA949" s="22"/>
      <c r="AB949" s="22"/>
      <c r="AC949" s="22"/>
      <c r="AD949" s="22"/>
      <c r="AE949" s="22"/>
      <c r="AF949" s="22"/>
      <c r="AG949" s="22"/>
      <c r="AH949" s="22"/>
      <c r="AI949" s="22"/>
      <c r="AJ949" s="22"/>
      <c r="AK949" s="22"/>
      <c r="AL949" s="22"/>
      <c r="AM949" s="22"/>
    </row>
    <row r="950">
      <c r="B950" s="28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22"/>
      <c r="Y950" s="22"/>
      <c r="Z950" s="22"/>
      <c r="AA950" s="22"/>
      <c r="AB950" s="22"/>
      <c r="AC950" s="22"/>
      <c r="AD950" s="22"/>
      <c r="AE950" s="22"/>
      <c r="AF950" s="22"/>
      <c r="AG950" s="22"/>
      <c r="AH950" s="22"/>
      <c r="AI950" s="22"/>
      <c r="AJ950" s="22"/>
      <c r="AK950" s="22"/>
      <c r="AL950" s="22"/>
      <c r="AM950" s="22"/>
    </row>
    <row r="951">
      <c r="B951" s="28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22"/>
      <c r="Y951" s="22"/>
      <c r="Z951" s="22"/>
      <c r="AA951" s="22"/>
      <c r="AB951" s="22"/>
      <c r="AC951" s="22"/>
      <c r="AD951" s="22"/>
      <c r="AE951" s="22"/>
      <c r="AF951" s="22"/>
      <c r="AG951" s="22"/>
      <c r="AH951" s="22"/>
      <c r="AI951" s="22"/>
      <c r="AJ951" s="22"/>
      <c r="AK951" s="22"/>
      <c r="AL951" s="22"/>
      <c r="AM951" s="22"/>
    </row>
    <row r="952">
      <c r="B952" s="28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22"/>
      <c r="Y952" s="22"/>
      <c r="Z952" s="22"/>
      <c r="AA952" s="22"/>
      <c r="AB952" s="22"/>
      <c r="AC952" s="22"/>
      <c r="AD952" s="22"/>
      <c r="AE952" s="22"/>
      <c r="AF952" s="22"/>
      <c r="AG952" s="22"/>
      <c r="AH952" s="22"/>
      <c r="AI952" s="22"/>
      <c r="AJ952" s="22"/>
      <c r="AK952" s="22"/>
      <c r="AL952" s="22"/>
      <c r="AM952" s="22"/>
    </row>
    <row r="953">
      <c r="B953" s="28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22"/>
      <c r="Y953" s="22"/>
      <c r="Z953" s="22"/>
      <c r="AA953" s="22"/>
      <c r="AB953" s="22"/>
      <c r="AC953" s="22"/>
      <c r="AD953" s="22"/>
      <c r="AE953" s="22"/>
      <c r="AF953" s="22"/>
      <c r="AG953" s="22"/>
      <c r="AH953" s="22"/>
      <c r="AI953" s="22"/>
      <c r="AJ953" s="22"/>
      <c r="AK953" s="22"/>
      <c r="AL953" s="22"/>
      <c r="AM953" s="22"/>
    </row>
    <row r="954">
      <c r="B954" s="28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22"/>
      <c r="Y954" s="22"/>
      <c r="Z954" s="22"/>
      <c r="AA954" s="22"/>
      <c r="AB954" s="22"/>
      <c r="AC954" s="22"/>
      <c r="AD954" s="22"/>
      <c r="AE954" s="22"/>
      <c r="AF954" s="22"/>
      <c r="AG954" s="22"/>
      <c r="AH954" s="22"/>
      <c r="AI954" s="22"/>
      <c r="AJ954" s="22"/>
      <c r="AK954" s="22"/>
      <c r="AL954" s="22"/>
      <c r="AM954" s="22"/>
    </row>
    <row r="955">
      <c r="B955" s="28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22"/>
      <c r="Y955" s="22"/>
      <c r="Z955" s="22"/>
      <c r="AA955" s="22"/>
      <c r="AB955" s="22"/>
      <c r="AC955" s="22"/>
      <c r="AD955" s="22"/>
      <c r="AE955" s="22"/>
      <c r="AF955" s="22"/>
      <c r="AG955" s="22"/>
      <c r="AH955" s="22"/>
      <c r="AI955" s="22"/>
      <c r="AJ955" s="22"/>
      <c r="AK955" s="22"/>
      <c r="AL955" s="22"/>
      <c r="AM955" s="22"/>
    </row>
    <row r="956">
      <c r="B956" s="28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22"/>
      <c r="Y956" s="22"/>
      <c r="Z956" s="22"/>
      <c r="AA956" s="22"/>
      <c r="AB956" s="22"/>
      <c r="AC956" s="22"/>
      <c r="AD956" s="22"/>
      <c r="AE956" s="22"/>
      <c r="AF956" s="22"/>
      <c r="AG956" s="22"/>
      <c r="AH956" s="22"/>
      <c r="AI956" s="22"/>
      <c r="AJ956" s="22"/>
      <c r="AK956" s="22"/>
      <c r="AL956" s="22"/>
      <c r="AM956" s="22"/>
    </row>
    <row r="957">
      <c r="B957" s="28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22"/>
      <c r="Y957" s="22"/>
      <c r="Z957" s="22"/>
      <c r="AA957" s="22"/>
      <c r="AB957" s="22"/>
      <c r="AC957" s="22"/>
      <c r="AD957" s="22"/>
      <c r="AE957" s="22"/>
      <c r="AF957" s="22"/>
      <c r="AG957" s="22"/>
      <c r="AH957" s="22"/>
      <c r="AI957" s="22"/>
      <c r="AJ957" s="22"/>
      <c r="AK957" s="22"/>
      <c r="AL957" s="22"/>
      <c r="AM957" s="22"/>
    </row>
    <row r="958">
      <c r="B958" s="28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22"/>
      <c r="Y958" s="22"/>
      <c r="Z958" s="22"/>
      <c r="AA958" s="22"/>
      <c r="AB958" s="22"/>
      <c r="AC958" s="22"/>
      <c r="AD958" s="22"/>
      <c r="AE958" s="22"/>
      <c r="AF958" s="22"/>
      <c r="AG958" s="22"/>
      <c r="AH958" s="22"/>
      <c r="AI958" s="22"/>
      <c r="AJ958" s="22"/>
      <c r="AK958" s="22"/>
      <c r="AL958" s="22"/>
      <c r="AM958" s="22"/>
    </row>
    <row r="959">
      <c r="B959" s="28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22"/>
      <c r="Y959" s="22"/>
      <c r="Z959" s="22"/>
      <c r="AA959" s="22"/>
      <c r="AB959" s="22"/>
      <c r="AC959" s="22"/>
      <c r="AD959" s="22"/>
      <c r="AE959" s="22"/>
      <c r="AF959" s="22"/>
      <c r="AG959" s="22"/>
      <c r="AH959" s="22"/>
      <c r="AI959" s="22"/>
      <c r="AJ959" s="22"/>
      <c r="AK959" s="22"/>
      <c r="AL959" s="22"/>
      <c r="AM959" s="22"/>
    </row>
    <row r="960">
      <c r="B960" s="28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22"/>
      <c r="Y960" s="22"/>
      <c r="Z960" s="22"/>
      <c r="AA960" s="22"/>
      <c r="AB960" s="22"/>
      <c r="AC960" s="22"/>
      <c r="AD960" s="22"/>
      <c r="AE960" s="22"/>
      <c r="AF960" s="22"/>
      <c r="AG960" s="22"/>
      <c r="AH960" s="22"/>
      <c r="AI960" s="22"/>
      <c r="AJ960" s="22"/>
      <c r="AK960" s="22"/>
      <c r="AL960" s="22"/>
      <c r="AM960" s="22"/>
    </row>
    <row r="961">
      <c r="B961" s="28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22"/>
      <c r="Y961" s="22"/>
      <c r="Z961" s="22"/>
      <c r="AA961" s="22"/>
      <c r="AB961" s="22"/>
      <c r="AC961" s="22"/>
      <c r="AD961" s="22"/>
      <c r="AE961" s="22"/>
      <c r="AF961" s="22"/>
      <c r="AG961" s="22"/>
      <c r="AH961" s="22"/>
      <c r="AI961" s="22"/>
      <c r="AJ961" s="22"/>
      <c r="AK961" s="22"/>
      <c r="AL961" s="22"/>
      <c r="AM961" s="22"/>
    </row>
    <row r="962">
      <c r="B962" s="28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22"/>
      <c r="Y962" s="22"/>
      <c r="Z962" s="22"/>
      <c r="AA962" s="22"/>
      <c r="AB962" s="22"/>
      <c r="AC962" s="22"/>
      <c r="AD962" s="22"/>
      <c r="AE962" s="22"/>
      <c r="AF962" s="22"/>
      <c r="AG962" s="22"/>
      <c r="AH962" s="22"/>
      <c r="AI962" s="22"/>
      <c r="AJ962" s="22"/>
      <c r="AK962" s="22"/>
      <c r="AL962" s="22"/>
      <c r="AM962" s="22"/>
    </row>
    <row r="963">
      <c r="B963" s="28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22"/>
      <c r="Y963" s="22"/>
      <c r="Z963" s="22"/>
      <c r="AA963" s="22"/>
      <c r="AB963" s="22"/>
      <c r="AC963" s="22"/>
      <c r="AD963" s="22"/>
      <c r="AE963" s="22"/>
      <c r="AF963" s="22"/>
      <c r="AG963" s="22"/>
      <c r="AH963" s="22"/>
      <c r="AI963" s="22"/>
      <c r="AJ963" s="22"/>
      <c r="AK963" s="22"/>
      <c r="AL963" s="22"/>
      <c r="AM963" s="22"/>
    </row>
    <row r="964">
      <c r="B964" s="28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22"/>
      <c r="Y964" s="22"/>
      <c r="Z964" s="22"/>
      <c r="AA964" s="22"/>
      <c r="AB964" s="22"/>
      <c r="AC964" s="22"/>
      <c r="AD964" s="22"/>
      <c r="AE964" s="22"/>
      <c r="AF964" s="22"/>
      <c r="AG964" s="22"/>
      <c r="AH964" s="22"/>
      <c r="AI964" s="22"/>
      <c r="AJ964" s="22"/>
      <c r="AK964" s="22"/>
      <c r="AL964" s="22"/>
      <c r="AM964" s="22"/>
    </row>
    <row r="965">
      <c r="B965" s="28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22"/>
      <c r="Y965" s="22"/>
      <c r="Z965" s="22"/>
      <c r="AA965" s="22"/>
      <c r="AB965" s="22"/>
      <c r="AC965" s="22"/>
      <c r="AD965" s="22"/>
      <c r="AE965" s="22"/>
      <c r="AF965" s="22"/>
      <c r="AG965" s="22"/>
      <c r="AH965" s="22"/>
      <c r="AI965" s="22"/>
      <c r="AJ965" s="22"/>
      <c r="AK965" s="22"/>
      <c r="AL965" s="22"/>
      <c r="AM965" s="22"/>
    </row>
    <row r="966">
      <c r="B966" s="28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22"/>
      <c r="Y966" s="22"/>
      <c r="Z966" s="22"/>
      <c r="AA966" s="22"/>
      <c r="AB966" s="22"/>
      <c r="AC966" s="22"/>
      <c r="AD966" s="22"/>
      <c r="AE966" s="22"/>
      <c r="AF966" s="22"/>
      <c r="AG966" s="22"/>
      <c r="AH966" s="22"/>
      <c r="AI966" s="22"/>
      <c r="AJ966" s="22"/>
      <c r="AK966" s="22"/>
      <c r="AL966" s="22"/>
      <c r="AM966" s="22"/>
    </row>
    <row r="967">
      <c r="B967" s="28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22"/>
      <c r="Y967" s="22"/>
      <c r="Z967" s="22"/>
      <c r="AA967" s="22"/>
      <c r="AB967" s="22"/>
      <c r="AC967" s="22"/>
      <c r="AD967" s="22"/>
      <c r="AE967" s="22"/>
      <c r="AF967" s="22"/>
      <c r="AG967" s="22"/>
      <c r="AH967" s="22"/>
      <c r="AI967" s="22"/>
      <c r="AJ967" s="22"/>
      <c r="AK967" s="22"/>
      <c r="AL967" s="22"/>
      <c r="AM967" s="22"/>
    </row>
    <row r="968">
      <c r="B968" s="28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22"/>
      <c r="Y968" s="22"/>
      <c r="Z968" s="22"/>
      <c r="AA968" s="22"/>
      <c r="AB968" s="22"/>
      <c r="AC968" s="22"/>
      <c r="AD968" s="22"/>
      <c r="AE968" s="22"/>
      <c r="AF968" s="22"/>
      <c r="AG968" s="22"/>
      <c r="AH968" s="22"/>
      <c r="AI968" s="22"/>
      <c r="AJ968" s="22"/>
      <c r="AK968" s="22"/>
      <c r="AL968" s="22"/>
      <c r="AM968" s="22"/>
    </row>
    <row r="969">
      <c r="B969" s="28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22"/>
      <c r="Y969" s="22"/>
      <c r="Z969" s="22"/>
      <c r="AA969" s="22"/>
      <c r="AB969" s="22"/>
      <c r="AC969" s="22"/>
      <c r="AD969" s="22"/>
      <c r="AE969" s="22"/>
      <c r="AF969" s="22"/>
      <c r="AG969" s="22"/>
      <c r="AH969" s="22"/>
      <c r="AI969" s="22"/>
      <c r="AJ969" s="22"/>
      <c r="AK969" s="22"/>
      <c r="AL969" s="22"/>
      <c r="AM969" s="22"/>
    </row>
    <row r="970">
      <c r="B970" s="28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22"/>
      <c r="Y970" s="22"/>
      <c r="Z970" s="22"/>
      <c r="AA970" s="22"/>
      <c r="AB970" s="22"/>
      <c r="AC970" s="22"/>
      <c r="AD970" s="22"/>
      <c r="AE970" s="22"/>
      <c r="AF970" s="22"/>
      <c r="AG970" s="22"/>
      <c r="AH970" s="22"/>
      <c r="AI970" s="22"/>
      <c r="AJ970" s="22"/>
      <c r="AK970" s="22"/>
      <c r="AL970" s="22"/>
      <c r="AM970" s="22"/>
    </row>
    <row r="971">
      <c r="B971" s="28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22"/>
      <c r="Y971" s="22"/>
      <c r="Z971" s="22"/>
      <c r="AA971" s="22"/>
      <c r="AB971" s="22"/>
      <c r="AC971" s="22"/>
      <c r="AD971" s="22"/>
      <c r="AE971" s="22"/>
      <c r="AF971" s="22"/>
      <c r="AG971" s="22"/>
      <c r="AH971" s="22"/>
      <c r="AI971" s="22"/>
      <c r="AJ971" s="22"/>
      <c r="AK971" s="22"/>
      <c r="AL971" s="22"/>
      <c r="AM971" s="22"/>
    </row>
    <row r="972">
      <c r="B972" s="28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22"/>
      <c r="Y972" s="22"/>
      <c r="Z972" s="22"/>
      <c r="AA972" s="22"/>
      <c r="AB972" s="22"/>
      <c r="AC972" s="22"/>
      <c r="AD972" s="22"/>
      <c r="AE972" s="22"/>
      <c r="AF972" s="22"/>
      <c r="AG972" s="22"/>
      <c r="AH972" s="22"/>
      <c r="AI972" s="22"/>
      <c r="AJ972" s="22"/>
      <c r="AK972" s="22"/>
      <c r="AL972" s="22"/>
      <c r="AM972" s="22"/>
    </row>
    <row r="973">
      <c r="B973" s="28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22"/>
      <c r="Y973" s="22"/>
      <c r="Z973" s="22"/>
      <c r="AA973" s="22"/>
      <c r="AB973" s="22"/>
      <c r="AC973" s="22"/>
      <c r="AD973" s="22"/>
      <c r="AE973" s="22"/>
      <c r="AF973" s="22"/>
      <c r="AG973" s="22"/>
      <c r="AH973" s="22"/>
      <c r="AI973" s="22"/>
      <c r="AJ973" s="22"/>
      <c r="AK973" s="22"/>
      <c r="AL973" s="22"/>
      <c r="AM973" s="22"/>
    </row>
    <row r="974">
      <c r="B974" s="28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22"/>
      <c r="Y974" s="22"/>
      <c r="Z974" s="22"/>
      <c r="AA974" s="22"/>
      <c r="AB974" s="22"/>
      <c r="AC974" s="22"/>
      <c r="AD974" s="22"/>
      <c r="AE974" s="22"/>
      <c r="AF974" s="22"/>
      <c r="AG974" s="22"/>
      <c r="AH974" s="22"/>
      <c r="AI974" s="22"/>
      <c r="AJ974" s="22"/>
      <c r="AK974" s="22"/>
      <c r="AL974" s="22"/>
      <c r="AM974" s="22"/>
    </row>
    <row r="975">
      <c r="B975" s="28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22"/>
      <c r="Y975" s="22"/>
      <c r="Z975" s="22"/>
      <c r="AA975" s="22"/>
      <c r="AB975" s="22"/>
      <c r="AC975" s="22"/>
      <c r="AD975" s="22"/>
      <c r="AE975" s="22"/>
      <c r="AF975" s="22"/>
      <c r="AG975" s="22"/>
      <c r="AH975" s="22"/>
      <c r="AI975" s="22"/>
      <c r="AJ975" s="22"/>
      <c r="AK975" s="22"/>
      <c r="AL975" s="22"/>
      <c r="AM975" s="22"/>
    </row>
    <row r="976">
      <c r="B976" s="28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22"/>
      <c r="Y976" s="22"/>
      <c r="Z976" s="22"/>
      <c r="AA976" s="22"/>
      <c r="AB976" s="22"/>
      <c r="AC976" s="22"/>
      <c r="AD976" s="22"/>
      <c r="AE976" s="22"/>
      <c r="AF976" s="22"/>
      <c r="AG976" s="22"/>
      <c r="AH976" s="22"/>
      <c r="AI976" s="22"/>
      <c r="AJ976" s="22"/>
      <c r="AK976" s="22"/>
      <c r="AL976" s="22"/>
      <c r="AM976" s="22"/>
    </row>
    <row r="977">
      <c r="B977" s="28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22"/>
      <c r="Y977" s="22"/>
      <c r="Z977" s="22"/>
      <c r="AA977" s="22"/>
      <c r="AB977" s="22"/>
      <c r="AC977" s="22"/>
      <c r="AD977" s="22"/>
      <c r="AE977" s="22"/>
      <c r="AF977" s="22"/>
      <c r="AG977" s="22"/>
      <c r="AH977" s="22"/>
      <c r="AI977" s="22"/>
      <c r="AJ977" s="22"/>
      <c r="AK977" s="22"/>
      <c r="AL977" s="22"/>
      <c r="AM977" s="22"/>
    </row>
    <row r="978">
      <c r="B978" s="28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22"/>
      <c r="Y978" s="22"/>
      <c r="Z978" s="22"/>
      <c r="AA978" s="22"/>
      <c r="AB978" s="22"/>
      <c r="AC978" s="22"/>
      <c r="AD978" s="22"/>
      <c r="AE978" s="22"/>
      <c r="AF978" s="22"/>
      <c r="AG978" s="22"/>
      <c r="AH978" s="22"/>
      <c r="AI978" s="22"/>
      <c r="AJ978" s="22"/>
      <c r="AK978" s="22"/>
      <c r="AL978" s="22"/>
      <c r="AM978" s="22"/>
    </row>
    <row r="979">
      <c r="B979" s="28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22"/>
      <c r="Y979" s="22"/>
      <c r="Z979" s="22"/>
      <c r="AA979" s="22"/>
      <c r="AB979" s="22"/>
      <c r="AC979" s="22"/>
      <c r="AD979" s="22"/>
      <c r="AE979" s="22"/>
      <c r="AF979" s="22"/>
      <c r="AG979" s="22"/>
      <c r="AH979" s="22"/>
      <c r="AI979" s="22"/>
      <c r="AJ979" s="22"/>
      <c r="AK979" s="22"/>
      <c r="AL979" s="22"/>
      <c r="AM979" s="22"/>
    </row>
    <row r="980">
      <c r="B980" s="28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22"/>
      <c r="Y980" s="22"/>
      <c r="Z980" s="22"/>
      <c r="AA980" s="22"/>
      <c r="AB980" s="22"/>
      <c r="AC980" s="22"/>
      <c r="AD980" s="22"/>
      <c r="AE980" s="22"/>
      <c r="AF980" s="22"/>
      <c r="AG980" s="22"/>
      <c r="AH980" s="22"/>
      <c r="AI980" s="22"/>
      <c r="AJ980" s="22"/>
      <c r="AK980" s="22"/>
      <c r="AL980" s="22"/>
      <c r="AM980" s="22"/>
    </row>
    <row r="981">
      <c r="B981" s="28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22"/>
      <c r="Y981" s="22"/>
      <c r="Z981" s="22"/>
      <c r="AA981" s="22"/>
      <c r="AB981" s="22"/>
      <c r="AC981" s="22"/>
      <c r="AD981" s="22"/>
      <c r="AE981" s="22"/>
      <c r="AF981" s="22"/>
      <c r="AG981" s="22"/>
      <c r="AH981" s="22"/>
      <c r="AI981" s="22"/>
      <c r="AJ981" s="22"/>
      <c r="AK981" s="22"/>
      <c r="AL981" s="22"/>
      <c r="AM981" s="22"/>
    </row>
    <row r="982">
      <c r="B982" s="28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22"/>
      <c r="Y982" s="22"/>
      <c r="Z982" s="22"/>
      <c r="AA982" s="22"/>
      <c r="AB982" s="22"/>
      <c r="AC982" s="22"/>
      <c r="AD982" s="22"/>
      <c r="AE982" s="22"/>
      <c r="AF982" s="22"/>
      <c r="AG982" s="22"/>
      <c r="AH982" s="22"/>
      <c r="AI982" s="22"/>
      <c r="AJ982" s="22"/>
      <c r="AK982" s="22"/>
      <c r="AL982" s="22"/>
      <c r="AM982" s="22"/>
    </row>
    <row r="983">
      <c r="B983" s="28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22"/>
      <c r="Y983" s="22"/>
      <c r="Z983" s="22"/>
      <c r="AA983" s="22"/>
      <c r="AB983" s="22"/>
      <c r="AC983" s="22"/>
      <c r="AD983" s="22"/>
      <c r="AE983" s="22"/>
      <c r="AF983" s="22"/>
      <c r="AG983" s="22"/>
      <c r="AH983" s="22"/>
      <c r="AI983" s="22"/>
      <c r="AJ983" s="22"/>
      <c r="AK983" s="22"/>
      <c r="AL983" s="22"/>
      <c r="AM983" s="22"/>
    </row>
    <row r="984">
      <c r="B984" s="28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22"/>
      <c r="Y984" s="22"/>
      <c r="Z984" s="22"/>
      <c r="AA984" s="22"/>
      <c r="AB984" s="22"/>
      <c r="AC984" s="22"/>
      <c r="AD984" s="22"/>
      <c r="AE984" s="22"/>
      <c r="AF984" s="22"/>
      <c r="AG984" s="22"/>
      <c r="AH984" s="22"/>
      <c r="AI984" s="22"/>
      <c r="AJ984" s="22"/>
      <c r="AK984" s="22"/>
      <c r="AL984" s="22"/>
      <c r="AM984" s="22"/>
    </row>
    <row r="985">
      <c r="B985" s="28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22"/>
      <c r="Y985" s="22"/>
      <c r="Z985" s="22"/>
      <c r="AA985" s="22"/>
      <c r="AB985" s="22"/>
      <c r="AC985" s="22"/>
      <c r="AD985" s="22"/>
      <c r="AE985" s="22"/>
      <c r="AF985" s="22"/>
      <c r="AG985" s="22"/>
      <c r="AH985" s="22"/>
      <c r="AI985" s="22"/>
      <c r="AJ985" s="22"/>
      <c r="AK985" s="22"/>
      <c r="AL985" s="22"/>
      <c r="AM985" s="22"/>
    </row>
    <row r="986">
      <c r="B986" s="28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22"/>
      <c r="Y986" s="22"/>
      <c r="Z986" s="22"/>
      <c r="AA986" s="22"/>
      <c r="AB986" s="22"/>
      <c r="AC986" s="22"/>
      <c r="AD986" s="22"/>
      <c r="AE986" s="22"/>
      <c r="AF986" s="22"/>
      <c r="AG986" s="22"/>
      <c r="AH986" s="22"/>
      <c r="AI986" s="22"/>
      <c r="AJ986" s="22"/>
      <c r="AK986" s="22"/>
      <c r="AL986" s="22"/>
      <c r="AM986" s="22"/>
    </row>
    <row r="987">
      <c r="B987" s="28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22"/>
      <c r="Y987" s="22"/>
      <c r="Z987" s="22"/>
      <c r="AA987" s="22"/>
      <c r="AB987" s="22"/>
      <c r="AC987" s="22"/>
      <c r="AD987" s="22"/>
      <c r="AE987" s="22"/>
      <c r="AF987" s="22"/>
      <c r="AG987" s="22"/>
      <c r="AH987" s="22"/>
      <c r="AI987" s="22"/>
      <c r="AJ987" s="22"/>
      <c r="AK987" s="22"/>
      <c r="AL987" s="22"/>
      <c r="AM987" s="22"/>
    </row>
    <row r="988">
      <c r="B988" s="28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22"/>
      <c r="Y988" s="22"/>
      <c r="Z988" s="22"/>
      <c r="AA988" s="22"/>
      <c r="AB988" s="22"/>
      <c r="AC988" s="22"/>
      <c r="AD988" s="22"/>
      <c r="AE988" s="22"/>
      <c r="AF988" s="22"/>
      <c r="AG988" s="22"/>
      <c r="AH988" s="22"/>
      <c r="AI988" s="22"/>
      <c r="AJ988" s="22"/>
      <c r="AK988" s="22"/>
      <c r="AL988" s="22"/>
      <c r="AM988" s="22"/>
    </row>
    <row r="989">
      <c r="B989" s="28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22"/>
      <c r="Y989" s="22"/>
      <c r="Z989" s="22"/>
      <c r="AA989" s="22"/>
      <c r="AB989" s="22"/>
      <c r="AC989" s="22"/>
      <c r="AD989" s="22"/>
      <c r="AE989" s="22"/>
      <c r="AF989" s="22"/>
      <c r="AG989" s="22"/>
      <c r="AH989" s="22"/>
      <c r="AI989" s="22"/>
      <c r="AJ989" s="22"/>
      <c r="AK989" s="22"/>
      <c r="AL989" s="22"/>
      <c r="AM989" s="22"/>
    </row>
    <row r="990">
      <c r="B990" s="28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22"/>
      <c r="Y990" s="22"/>
      <c r="Z990" s="22"/>
      <c r="AA990" s="22"/>
      <c r="AB990" s="22"/>
      <c r="AC990" s="22"/>
      <c r="AD990" s="22"/>
      <c r="AE990" s="22"/>
      <c r="AF990" s="22"/>
      <c r="AG990" s="22"/>
      <c r="AH990" s="22"/>
      <c r="AI990" s="22"/>
      <c r="AJ990" s="22"/>
      <c r="AK990" s="22"/>
      <c r="AL990" s="22"/>
      <c r="AM990" s="22"/>
    </row>
    <row r="991">
      <c r="B991" s="28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22"/>
      <c r="Y991" s="22"/>
      <c r="Z991" s="22"/>
      <c r="AA991" s="22"/>
      <c r="AB991" s="22"/>
      <c r="AC991" s="22"/>
      <c r="AD991" s="22"/>
      <c r="AE991" s="22"/>
      <c r="AF991" s="22"/>
      <c r="AG991" s="22"/>
      <c r="AH991" s="22"/>
      <c r="AI991" s="22"/>
      <c r="AJ991" s="22"/>
      <c r="AK991" s="22"/>
      <c r="AL991" s="22"/>
      <c r="AM991" s="22"/>
    </row>
    <row r="992">
      <c r="B992" s="28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22"/>
      <c r="Y992" s="22"/>
      <c r="Z992" s="22"/>
      <c r="AA992" s="22"/>
      <c r="AB992" s="22"/>
      <c r="AC992" s="22"/>
      <c r="AD992" s="22"/>
      <c r="AE992" s="22"/>
      <c r="AF992" s="22"/>
      <c r="AG992" s="22"/>
      <c r="AH992" s="22"/>
      <c r="AI992" s="22"/>
      <c r="AJ992" s="22"/>
      <c r="AK992" s="22"/>
      <c r="AL992" s="22"/>
      <c r="AM992" s="22"/>
    </row>
    <row r="993">
      <c r="B993" s="28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22"/>
      <c r="Y993" s="22"/>
      <c r="Z993" s="22"/>
      <c r="AA993" s="22"/>
      <c r="AB993" s="22"/>
      <c r="AC993" s="22"/>
      <c r="AD993" s="22"/>
      <c r="AE993" s="22"/>
      <c r="AF993" s="22"/>
      <c r="AG993" s="22"/>
      <c r="AH993" s="22"/>
      <c r="AI993" s="22"/>
      <c r="AJ993" s="22"/>
      <c r="AK993" s="22"/>
      <c r="AL993" s="22"/>
      <c r="AM993" s="22"/>
    </row>
    <row r="994">
      <c r="B994" s="28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22"/>
      <c r="Y994" s="22"/>
      <c r="Z994" s="22"/>
      <c r="AA994" s="22"/>
      <c r="AB994" s="22"/>
      <c r="AC994" s="22"/>
      <c r="AD994" s="22"/>
      <c r="AE994" s="22"/>
      <c r="AF994" s="22"/>
      <c r="AG994" s="22"/>
      <c r="AH994" s="22"/>
      <c r="AI994" s="22"/>
      <c r="AJ994" s="22"/>
      <c r="AK994" s="22"/>
      <c r="AL994" s="22"/>
      <c r="AM994" s="22"/>
    </row>
    <row r="995">
      <c r="B995" s="28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22"/>
      <c r="Y995" s="22"/>
      <c r="Z995" s="22"/>
      <c r="AA995" s="22"/>
      <c r="AB995" s="22"/>
      <c r="AC995" s="22"/>
      <c r="AD995" s="22"/>
      <c r="AE995" s="22"/>
      <c r="AF995" s="22"/>
      <c r="AG995" s="22"/>
      <c r="AH995" s="22"/>
      <c r="AI995" s="22"/>
      <c r="AJ995" s="22"/>
      <c r="AK995" s="22"/>
      <c r="AL995" s="22"/>
      <c r="AM995" s="22"/>
    </row>
    <row r="996">
      <c r="B996" s="28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22"/>
      <c r="Y996" s="22"/>
      <c r="Z996" s="22"/>
      <c r="AA996" s="22"/>
      <c r="AB996" s="22"/>
      <c r="AC996" s="22"/>
      <c r="AD996" s="22"/>
      <c r="AE996" s="22"/>
      <c r="AF996" s="22"/>
      <c r="AG996" s="22"/>
      <c r="AH996" s="22"/>
      <c r="AI996" s="22"/>
      <c r="AJ996" s="22"/>
      <c r="AK996" s="22"/>
      <c r="AL996" s="22"/>
      <c r="AM996" s="22"/>
    </row>
    <row r="997">
      <c r="B997" s="28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22"/>
      <c r="V997" s="22"/>
      <c r="W997" s="22"/>
      <c r="X997" s="22"/>
      <c r="Y997" s="22"/>
      <c r="Z997" s="22"/>
      <c r="AA997" s="22"/>
      <c r="AB997" s="22"/>
      <c r="AC997" s="22"/>
      <c r="AD997" s="22"/>
      <c r="AE997" s="22"/>
      <c r="AF997" s="22"/>
      <c r="AG997" s="22"/>
      <c r="AH997" s="22"/>
      <c r="AI997" s="22"/>
      <c r="AJ997" s="22"/>
      <c r="AK997" s="22"/>
      <c r="AL997" s="22"/>
      <c r="AM997" s="22"/>
    </row>
    <row r="998">
      <c r="B998" s="28"/>
      <c r="H998" s="22"/>
      <c r="I998" s="22"/>
      <c r="J998" s="22"/>
      <c r="K998" s="22"/>
      <c r="L998" s="22"/>
      <c r="M998" s="22"/>
      <c r="N998" s="22"/>
      <c r="O998" s="22"/>
      <c r="P998" s="22"/>
      <c r="Q998" s="22"/>
      <c r="R998" s="22"/>
      <c r="S998" s="22"/>
      <c r="T998" s="22"/>
      <c r="U998" s="22"/>
      <c r="V998" s="22"/>
      <c r="W998" s="22"/>
      <c r="X998" s="22"/>
      <c r="Y998" s="22"/>
      <c r="Z998" s="22"/>
      <c r="AA998" s="22"/>
      <c r="AB998" s="22"/>
      <c r="AC998" s="22"/>
      <c r="AD998" s="22"/>
      <c r="AE998" s="22"/>
      <c r="AF998" s="22"/>
      <c r="AG998" s="22"/>
      <c r="AH998" s="22"/>
      <c r="AI998" s="22"/>
      <c r="AJ998" s="22"/>
      <c r="AK998" s="22"/>
      <c r="AL998" s="22"/>
      <c r="AM998" s="22"/>
    </row>
    <row r="999">
      <c r="B999" s="28"/>
      <c r="H999" s="22"/>
      <c r="I999" s="22"/>
      <c r="J999" s="22"/>
      <c r="K999" s="22"/>
      <c r="L999" s="22"/>
      <c r="M999" s="22"/>
      <c r="N999" s="22"/>
      <c r="O999" s="22"/>
      <c r="P999" s="22"/>
      <c r="Q999" s="22"/>
      <c r="R999" s="22"/>
      <c r="S999" s="22"/>
      <c r="T999" s="22"/>
      <c r="U999" s="22"/>
      <c r="V999" s="22"/>
      <c r="W999" s="22"/>
      <c r="X999" s="22"/>
      <c r="Y999" s="22"/>
      <c r="Z999" s="22"/>
      <c r="AA999" s="22"/>
      <c r="AB999" s="22"/>
      <c r="AC999" s="22"/>
      <c r="AD999" s="22"/>
      <c r="AE999" s="22"/>
      <c r="AF999" s="22"/>
      <c r="AG999" s="22"/>
      <c r="AH999" s="22"/>
      <c r="AI999" s="22"/>
      <c r="AJ999" s="22"/>
      <c r="AK999" s="22"/>
      <c r="AL999" s="22"/>
      <c r="AM999" s="22"/>
    </row>
    <row r="1000">
      <c r="B1000" s="28"/>
      <c r="H1000" s="22"/>
      <c r="I1000" s="22"/>
      <c r="J1000" s="22"/>
      <c r="K1000" s="22"/>
      <c r="L1000" s="22"/>
      <c r="M1000" s="22"/>
      <c r="N1000" s="22"/>
      <c r="O1000" s="22"/>
      <c r="P1000" s="22"/>
      <c r="Q1000" s="22"/>
      <c r="R1000" s="22"/>
      <c r="S1000" s="22"/>
      <c r="T1000" s="22"/>
      <c r="U1000" s="22"/>
      <c r="V1000" s="22"/>
      <c r="W1000" s="22"/>
      <c r="X1000" s="22"/>
      <c r="Y1000" s="22"/>
      <c r="Z1000" s="22"/>
      <c r="AA1000" s="22"/>
      <c r="AB1000" s="22"/>
      <c r="AC1000" s="22"/>
      <c r="AD1000" s="22"/>
      <c r="AE1000" s="22"/>
      <c r="AF1000" s="22"/>
      <c r="AG1000" s="22"/>
      <c r="AH1000" s="22"/>
      <c r="AI1000" s="22"/>
      <c r="AJ1000" s="22"/>
      <c r="AK1000" s="22"/>
      <c r="AL1000" s="22"/>
      <c r="AM1000" s="22"/>
    </row>
  </sheetData>
  <autoFilter ref="$A$1:$AI$1000">
    <sortState ref="A1:AI1000">
      <sortCondition ref="B1:B1000"/>
      <sortCondition ref="G1:G1000"/>
      <sortCondition ref="E1:E1000"/>
      <sortCondition ref="C1:C1000"/>
      <sortCondition ref="D1:D1000"/>
      <sortCondition descending="1" ref="F1:F1000"/>
    </sortState>
  </autoFilter>
  <dataValidations>
    <dataValidation type="list" allowBlank="1" showErrorMessage="1" sqref="C2:C289">
      <formula1>"Mcav,Ofav,Pcli"</formula1>
    </dataValidation>
    <dataValidation type="list" allowBlank="1" showErrorMessage="1" sqref="E2:E289">
      <formula1>"PBR,PBC"</formula1>
    </dataValidation>
    <dataValidation type="list" allowBlank="1" showErrorMessage="1" sqref="G2:G289">
      <formula1>"Before R2,Before MO,After MO"</formula1>
    </dataValidation>
  </dataValidation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1.0" topLeftCell="F2" activePane="bottomRight" state="frozen"/>
      <selection activeCell="F1" sqref="F1" pane="topRight"/>
      <selection activeCell="A2" sqref="A2" pane="bottomLeft"/>
      <selection activeCell="F2" sqref="F2" pane="bottomRight"/>
    </sheetView>
  </sheetViews>
  <sheetFormatPr customHeight="1" defaultColWidth="12.63" defaultRowHeight="15.75"/>
  <cols>
    <col customWidth="1" min="2" max="2" width="15.13"/>
    <col customWidth="1" min="10" max="10" width="18.75"/>
    <col customWidth="1" min="11" max="11" width="24.13"/>
    <col customWidth="1" min="12" max="12" width="25.38"/>
  </cols>
  <sheetData>
    <row r="1">
      <c r="A1" s="1" t="s">
        <v>35</v>
      </c>
      <c r="B1" s="1" t="s">
        <v>36</v>
      </c>
      <c r="C1" s="33" t="s">
        <v>2</v>
      </c>
      <c r="D1" s="33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4" t="s">
        <v>8</v>
      </c>
      <c r="J1" s="35" t="s">
        <v>9</v>
      </c>
      <c r="K1" s="36" t="s">
        <v>10</v>
      </c>
      <c r="L1" s="37" t="s">
        <v>11</v>
      </c>
      <c r="M1" s="38" t="s">
        <v>29</v>
      </c>
      <c r="N1" s="38" t="s">
        <v>30</v>
      </c>
      <c r="O1" s="39" t="s">
        <v>31</v>
      </c>
      <c r="P1" s="39" t="s">
        <v>32</v>
      </c>
      <c r="Q1" s="40" t="s">
        <v>33</v>
      </c>
      <c r="R1" s="40" t="s">
        <v>34</v>
      </c>
      <c r="S1" s="38" t="s">
        <v>29</v>
      </c>
      <c r="T1" s="38" t="s">
        <v>30</v>
      </c>
      <c r="U1" s="39" t="s">
        <v>31</v>
      </c>
      <c r="V1" s="39" t="s">
        <v>32</v>
      </c>
      <c r="W1" s="40" t="s">
        <v>33</v>
      </c>
      <c r="X1" s="40" t="s">
        <v>34</v>
      </c>
      <c r="Y1" s="38" t="s">
        <v>29</v>
      </c>
      <c r="Z1" s="38" t="s">
        <v>30</v>
      </c>
      <c r="AA1" s="39" t="s">
        <v>31</v>
      </c>
      <c r="AB1" s="39" t="s">
        <v>32</v>
      </c>
      <c r="AC1" s="40" t="s">
        <v>33</v>
      </c>
      <c r="AD1" s="40" t="s">
        <v>34</v>
      </c>
      <c r="AE1" s="38" t="s">
        <v>12</v>
      </c>
      <c r="AF1" s="38" t="s">
        <v>13</v>
      </c>
      <c r="AG1" s="39" t="s">
        <v>14</v>
      </c>
      <c r="AH1" s="39" t="s">
        <v>15</v>
      </c>
      <c r="AI1" s="40" t="s">
        <v>16</v>
      </c>
      <c r="AJ1" s="40" t="s">
        <v>17</v>
      </c>
      <c r="AK1" s="41" t="s">
        <v>18</v>
      </c>
    </row>
    <row r="2">
      <c r="A2" s="13" t="s">
        <v>19</v>
      </c>
      <c r="B2" s="13" t="s">
        <v>20</v>
      </c>
      <c r="C2" s="14">
        <v>45441.0</v>
      </c>
      <c r="D2" s="15" t="s">
        <v>21</v>
      </c>
      <c r="E2" s="16">
        <v>1.1</v>
      </c>
      <c r="F2" s="15" t="s">
        <v>22</v>
      </c>
      <c r="G2" s="17">
        <v>1.0</v>
      </c>
      <c r="H2" s="18" t="s">
        <v>23</v>
      </c>
      <c r="I2" s="19">
        <v>22.512</v>
      </c>
      <c r="J2" s="20">
        <v>529.2258</v>
      </c>
      <c r="K2" s="20">
        <v>6.351</v>
      </c>
      <c r="L2" s="20">
        <v>0.113</v>
      </c>
      <c r="M2" s="20">
        <v>160.724</v>
      </c>
      <c r="N2" s="20">
        <v>30.774</v>
      </c>
      <c r="O2" s="20">
        <v>137.617</v>
      </c>
      <c r="P2" s="20">
        <v>31.846</v>
      </c>
      <c r="Q2" s="20">
        <v>95.028</v>
      </c>
      <c r="R2" s="27">
        <v>35.94</v>
      </c>
      <c r="S2" s="27">
        <v>160.589</v>
      </c>
      <c r="T2" s="24">
        <v>31.138</v>
      </c>
      <c r="U2" s="24">
        <v>137.74</v>
      </c>
      <c r="V2" s="24">
        <v>32.261</v>
      </c>
      <c r="W2" s="24">
        <v>95.613</v>
      </c>
      <c r="X2" s="24">
        <v>36.338</v>
      </c>
      <c r="Y2" s="24">
        <v>160.689</v>
      </c>
      <c r="Z2" s="24">
        <v>30.961</v>
      </c>
      <c r="AA2" s="24">
        <v>137.671</v>
      </c>
      <c r="AB2" s="24">
        <v>32.03</v>
      </c>
      <c r="AC2" s="24">
        <v>95.224</v>
      </c>
      <c r="AD2" s="24">
        <v>36.092</v>
      </c>
      <c r="AE2" s="21">
        <f t="shared" ref="AE2:AF2" si="1">(M2+S2+Y2)/3</f>
        <v>160.6673333</v>
      </c>
      <c r="AF2" s="21">
        <f t="shared" si="1"/>
        <v>30.95766667</v>
      </c>
      <c r="AG2" s="21">
        <f t="shared" ref="AG2:AH2" si="2">(AA2+U2+O2)/3</f>
        <v>137.676</v>
      </c>
      <c r="AH2" s="21">
        <f t="shared" si="2"/>
        <v>32.04566667</v>
      </c>
      <c r="AI2" s="21">
        <f t="shared" ref="AI2:AJ2" si="3">(Q2+W2+AC2)/3</f>
        <v>95.28833333</v>
      </c>
      <c r="AJ2" s="21">
        <f t="shared" si="3"/>
        <v>36.12333333</v>
      </c>
    </row>
    <row r="3">
      <c r="A3" s="13" t="s">
        <v>19</v>
      </c>
      <c r="B3" s="13" t="s">
        <v>20</v>
      </c>
      <c r="C3" s="14">
        <v>45441.0</v>
      </c>
      <c r="D3" s="15" t="s">
        <v>21</v>
      </c>
      <c r="E3" s="16">
        <v>1.2</v>
      </c>
      <c r="F3" s="15" t="s">
        <v>22</v>
      </c>
      <c r="G3" s="17">
        <v>1.0</v>
      </c>
      <c r="H3" s="18" t="s">
        <v>23</v>
      </c>
      <c r="I3" s="19">
        <v>22.297</v>
      </c>
      <c r="J3" s="20">
        <v>480.15</v>
      </c>
      <c r="K3" s="20">
        <v>6.368</v>
      </c>
      <c r="L3" s="20">
        <v>0.047</v>
      </c>
      <c r="M3" s="20">
        <v>156.853</v>
      </c>
      <c r="N3" s="20">
        <v>28.086</v>
      </c>
      <c r="O3" s="20">
        <v>140.459</v>
      </c>
      <c r="P3" s="20">
        <v>29.352</v>
      </c>
      <c r="Q3" s="20">
        <v>94.951</v>
      </c>
      <c r="R3" s="27">
        <v>33.716</v>
      </c>
      <c r="S3" s="27">
        <v>157.4</v>
      </c>
      <c r="T3" s="24">
        <v>27.814</v>
      </c>
      <c r="U3" s="24">
        <v>140.847</v>
      </c>
      <c r="V3" s="24">
        <v>29.128</v>
      </c>
      <c r="W3" s="24">
        <v>95.157</v>
      </c>
      <c r="X3" s="24">
        <v>33.766</v>
      </c>
      <c r="Y3" s="24">
        <v>156.799</v>
      </c>
      <c r="Z3" s="24">
        <v>28.176</v>
      </c>
      <c r="AA3" s="24">
        <v>140.321</v>
      </c>
      <c r="AB3" s="24">
        <v>29.483</v>
      </c>
      <c r="AC3" s="24">
        <v>94.792</v>
      </c>
      <c r="AD3" s="24">
        <v>33.87</v>
      </c>
      <c r="AE3" s="21">
        <f t="shared" ref="AE3:AF3" si="4">(M3+S3+Y3)/3</f>
        <v>157.0173333</v>
      </c>
      <c r="AF3" s="21">
        <f t="shared" si="4"/>
        <v>28.02533333</v>
      </c>
      <c r="AG3" s="21">
        <f t="shared" ref="AG3:AH3" si="5">(AA3+U3+O3)/3</f>
        <v>140.5423333</v>
      </c>
      <c r="AH3" s="21">
        <f t="shared" si="5"/>
        <v>29.321</v>
      </c>
      <c r="AI3" s="21">
        <f t="shared" ref="AI3:AJ3" si="6">(Q3+W3+AC3)/3</f>
        <v>94.96666667</v>
      </c>
      <c r="AJ3" s="21">
        <f t="shared" si="6"/>
        <v>33.784</v>
      </c>
    </row>
    <row r="4">
      <c r="A4" s="13" t="s">
        <v>19</v>
      </c>
      <c r="B4" s="13" t="s">
        <v>20</v>
      </c>
      <c r="C4" s="14">
        <v>45441.0</v>
      </c>
      <c r="D4" s="15" t="s">
        <v>21</v>
      </c>
      <c r="E4" s="16">
        <v>1.3</v>
      </c>
      <c r="F4" s="15" t="s">
        <v>22</v>
      </c>
      <c r="G4" s="17">
        <v>1.0</v>
      </c>
      <c r="H4" s="18" t="s">
        <v>23</v>
      </c>
      <c r="I4" s="19">
        <v>22.7</v>
      </c>
      <c r="J4" s="20">
        <v>535.2121</v>
      </c>
      <c r="K4" s="20">
        <v>6.764</v>
      </c>
      <c r="L4" s="20">
        <v>0.009</v>
      </c>
      <c r="M4" s="20">
        <v>156.4</v>
      </c>
      <c r="N4" s="20">
        <v>29.341</v>
      </c>
      <c r="O4" s="20">
        <v>138.501</v>
      </c>
      <c r="P4" s="20">
        <v>29.205</v>
      </c>
      <c r="Q4" s="20">
        <v>98.709</v>
      </c>
      <c r="R4" s="27">
        <v>33.273</v>
      </c>
      <c r="S4" s="27">
        <v>156.905</v>
      </c>
      <c r="T4" s="24">
        <v>28.855</v>
      </c>
      <c r="U4" s="24">
        <v>138.978</v>
      </c>
      <c r="V4" s="24">
        <v>28.772</v>
      </c>
      <c r="W4" s="24">
        <v>99.025</v>
      </c>
      <c r="X4" s="24">
        <v>33.085</v>
      </c>
      <c r="Y4" s="24">
        <v>156.25</v>
      </c>
      <c r="Z4" s="24">
        <v>29.646</v>
      </c>
      <c r="AA4" s="24">
        <v>138.393</v>
      </c>
      <c r="AB4" s="24">
        <v>29.487</v>
      </c>
      <c r="AC4" s="24">
        <v>98.634</v>
      </c>
      <c r="AD4" s="24">
        <v>33.415</v>
      </c>
      <c r="AE4" s="21">
        <f t="shared" ref="AE4:AF4" si="7">(M4+S4+Y4)/3</f>
        <v>156.5183333</v>
      </c>
      <c r="AF4" s="21">
        <f t="shared" si="7"/>
        <v>29.28066667</v>
      </c>
      <c r="AG4" s="21">
        <f t="shared" ref="AG4:AH4" si="8">(AA4+U4+O4)/3</f>
        <v>138.624</v>
      </c>
      <c r="AH4" s="21">
        <f t="shared" si="8"/>
        <v>29.15466667</v>
      </c>
      <c r="AI4" s="21">
        <f t="shared" ref="AI4:AJ4" si="9">(Q4+W4+AC4)/3</f>
        <v>98.78933333</v>
      </c>
      <c r="AJ4" s="21">
        <f t="shared" si="9"/>
        <v>33.25766667</v>
      </c>
    </row>
    <row r="5">
      <c r="A5" s="13" t="s">
        <v>19</v>
      </c>
      <c r="B5" s="13" t="s">
        <v>20</v>
      </c>
      <c r="C5" s="14">
        <v>45441.0</v>
      </c>
      <c r="D5" s="15" t="s">
        <v>21</v>
      </c>
      <c r="E5" s="16">
        <v>1.4</v>
      </c>
      <c r="F5" s="15" t="s">
        <v>22</v>
      </c>
      <c r="G5" s="17">
        <v>1.0</v>
      </c>
      <c r="H5" s="18" t="s">
        <v>23</v>
      </c>
      <c r="I5" s="19">
        <v>20.917</v>
      </c>
      <c r="J5" s="20">
        <v>578.5257</v>
      </c>
      <c r="K5" s="20">
        <v>5.926</v>
      </c>
      <c r="L5" s="20">
        <v>0.047</v>
      </c>
      <c r="M5" s="20">
        <v>152.127</v>
      </c>
      <c r="N5" s="20">
        <v>31.339</v>
      </c>
      <c r="O5" s="20">
        <v>128.033</v>
      </c>
      <c r="P5" s="20">
        <v>33.293</v>
      </c>
      <c r="Q5" s="20">
        <v>78.942</v>
      </c>
      <c r="R5" s="27">
        <v>34.516</v>
      </c>
      <c r="S5" s="27">
        <v>152.2</v>
      </c>
      <c r="T5" s="24">
        <v>31.266</v>
      </c>
      <c r="U5" s="24">
        <v>128.116</v>
      </c>
      <c r="V5" s="24">
        <v>33.259</v>
      </c>
      <c r="W5" s="24">
        <v>78.935</v>
      </c>
      <c r="X5" s="24">
        <v>34.556</v>
      </c>
      <c r="Y5" s="24">
        <v>152.197</v>
      </c>
      <c r="Z5" s="24">
        <v>31.417</v>
      </c>
      <c r="AA5" s="24">
        <v>128.067</v>
      </c>
      <c r="AB5" s="24">
        <v>33.37</v>
      </c>
      <c r="AC5" s="24">
        <v>78.806</v>
      </c>
      <c r="AD5" s="24">
        <v>34.567</v>
      </c>
      <c r="AE5" s="21">
        <f t="shared" ref="AE5:AF5" si="10">(M5+S5+Y5)/3</f>
        <v>152.1746667</v>
      </c>
      <c r="AF5" s="21">
        <f t="shared" si="10"/>
        <v>31.34066667</v>
      </c>
      <c r="AG5" s="21">
        <f t="shared" ref="AG5:AH5" si="11">(AA5+U5+O5)/3</f>
        <v>128.072</v>
      </c>
      <c r="AH5" s="21">
        <f t="shared" si="11"/>
        <v>33.30733333</v>
      </c>
      <c r="AI5" s="21">
        <f t="shared" ref="AI5:AJ5" si="12">(Q5+W5+AC5)/3</f>
        <v>78.89433333</v>
      </c>
      <c r="AJ5" s="21">
        <f t="shared" si="12"/>
        <v>34.54633333</v>
      </c>
    </row>
    <row r="6">
      <c r="A6" s="13" t="s">
        <v>19</v>
      </c>
      <c r="B6" s="13" t="s">
        <v>20</v>
      </c>
      <c r="C6" s="14">
        <v>45441.0</v>
      </c>
      <c r="D6" s="15" t="s">
        <v>21</v>
      </c>
      <c r="E6" s="16">
        <v>2.1</v>
      </c>
      <c r="F6" s="15" t="s">
        <v>22</v>
      </c>
      <c r="G6" s="17">
        <v>1.0</v>
      </c>
      <c r="H6" s="18" t="s">
        <v>23</v>
      </c>
      <c r="I6" s="19">
        <v>15.396</v>
      </c>
      <c r="J6" s="20">
        <v>648.1111</v>
      </c>
      <c r="K6" s="20">
        <v>2.474</v>
      </c>
      <c r="L6" s="20">
        <v>0.02</v>
      </c>
      <c r="M6" s="20">
        <v>150.07</v>
      </c>
      <c r="N6" s="20">
        <v>26.11</v>
      </c>
      <c r="O6" s="20">
        <v>125.4</v>
      </c>
      <c r="P6" s="20">
        <v>29.049</v>
      </c>
      <c r="Q6" s="20">
        <v>83.905</v>
      </c>
      <c r="R6" s="27">
        <v>30.378</v>
      </c>
      <c r="S6" s="27">
        <v>150.075</v>
      </c>
      <c r="T6" s="24">
        <v>26.005</v>
      </c>
      <c r="U6" s="24">
        <v>125.286</v>
      </c>
      <c r="V6" s="24">
        <v>28.975</v>
      </c>
      <c r="W6" s="24">
        <v>83.578</v>
      </c>
      <c r="X6" s="24">
        <v>30.289</v>
      </c>
      <c r="Y6" s="24">
        <v>149.919</v>
      </c>
      <c r="Z6" s="24">
        <v>26.172</v>
      </c>
      <c r="AA6" s="24">
        <v>125.183</v>
      </c>
      <c r="AB6" s="24">
        <v>29.059</v>
      </c>
      <c r="AC6" s="24">
        <v>83.63</v>
      </c>
      <c r="AD6" s="24">
        <v>30.327</v>
      </c>
      <c r="AE6" s="21">
        <f t="shared" ref="AE6:AF6" si="13">(M6+S6+Y6)/3</f>
        <v>150.0213333</v>
      </c>
      <c r="AF6" s="21">
        <f t="shared" si="13"/>
        <v>26.09566667</v>
      </c>
      <c r="AG6" s="21">
        <f t="shared" ref="AG6:AH6" si="14">(AA6+U6+O6)/3</f>
        <v>125.2896667</v>
      </c>
      <c r="AH6" s="21">
        <f t="shared" si="14"/>
        <v>29.02766667</v>
      </c>
      <c r="AI6" s="21">
        <f t="shared" ref="AI6:AJ6" si="15">(Q6+W6+AC6)/3</f>
        <v>83.70433333</v>
      </c>
      <c r="AJ6" s="21">
        <f t="shared" si="15"/>
        <v>30.33133333</v>
      </c>
    </row>
    <row r="7">
      <c r="A7" s="13" t="s">
        <v>19</v>
      </c>
      <c r="B7" s="13" t="s">
        <v>20</v>
      </c>
      <c r="C7" s="14">
        <v>45441.0</v>
      </c>
      <c r="D7" s="15" t="s">
        <v>21</v>
      </c>
      <c r="E7" s="16">
        <v>2.2</v>
      </c>
      <c r="F7" s="15" t="s">
        <v>22</v>
      </c>
      <c r="G7" s="17">
        <v>1.0</v>
      </c>
      <c r="H7" s="18" t="s">
        <v>23</v>
      </c>
      <c r="I7" s="19">
        <v>15.808</v>
      </c>
      <c r="J7" s="20">
        <v>571.1357</v>
      </c>
      <c r="K7" s="20">
        <v>4.267</v>
      </c>
      <c r="L7" s="20">
        <v>0.023</v>
      </c>
      <c r="M7" s="20">
        <v>155.693</v>
      </c>
      <c r="N7" s="20">
        <v>25.833</v>
      </c>
      <c r="O7" s="20">
        <v>129.438</v>
      </c>
      <c r="P7" s="20">
        <v>29.113</v>
      </c>
      <c r="Q7" s="20">
        <v>83.203</v>
      </c>
      <c r="R7" s="27">
        <v>30.706</v>
      </c>
      <c r="S7" s="27">
        <v>155.468</v>
      </c>
      <c r="T7" s="24">
        <v>25.927</v>
      </c>
      <c r="U7" s="24">
        <v>129.135</v>
      </c>
      <c r="V7" s="24">
        <v>29.113</v>
      </c>
      <c r="W7" s="24">
        <v>82.878</v>
      </c>
      <c r="X7" s="24">
        <v>30.517</v>
      </c>
      <c r="Y7" s="24">
        <v>155.592</v>
      </c>
      <c r="Z7" s="24">
        <v>25.888</v>
      </c>
      <c r="AA7" s="24">
        <v>129.272</v>
      </c>
      <c r="AB7" s="24">
        <v>29.129</v>
      </c>
      <c r="AC7" s="24">
        <v>82.987</v>
      </c>
      <c r="AD7" s="24">
        <v>30.598</v>
      </c>
      <c r="AE7" s="21">
        <f t="shared" ref="AE7:AF7" si="16">(M7+S7+Y7)/3</f>
        <v>155.5843333</v>
      </c>
      <c r="AF7" s="21">
        <f t="shared" si="16"/>
        <v>25.88266667</v>
      </c>
      <c r="AG7" s="21">
        <f t="shared" ref="AG7:AH7" si="17">(AA7+U7+O7)/3</f>
        <v>129.2816667</v>
      </c>
      <c r="AH7" s="21">
        <f t="shared" si="17"/>
        <v>29.11833333</v>
      </c>
      <c r="AI7" s="21">
        <f t="shared" ref="AI7:AJ7" si="18">(Q7+W7+AC7)/3</f>
        <v>83.02266667</v>
      </c>
      <c r="AJ7" s="21">
        <f t="shared" si="18"/>
        <v>30.607</v>
      </c>
    </row>
    <row r="8">
      <c r="A8" s="13" t="s">
        <v>19</v>
      </c>
      <c r="B8" s="13" t="s">
        <v>20</v>
      </c>
      <c r="C8" s="14">
        <v>45441.0</v>
      </c>
      <c r="D8" s="15" t="s">
        <v>21</v>
      </c>
      <c r="E8" s="16">
        <v>2.3</v>
      </c>
      <c r="F8" s="15" t="s">
        <v>22</v>
      </c>
      <c r="G8" s="17">
        <v>1.0</v>
      </c>
      <c r="H8" s="18" t="s">
        <v>23</v>
      </c>
      <c r="I8" s="19">
        <v>17.533</v>
      </c>
      <c r="J8" s="20">
        <v>588.0</v>
      </c>
      <c r="K8" s="20">
        <v>3.245</v>
      </c>
      <c r="L8" s="20">
        <v>0.022</v>
      </c>
      <c r="M8" s="20">
        <v>149.819</v>
      </c>
      <c r="N8" s="20">
        <v>27.774</v>
      </c>
      <c r="O8" s="20">
        <v>124.14</v>
      </c>
      <c r="P8" s="20">
        <v>30.944</v>
      </c>
      <c r="Q8" s="20">
        <v>78.327</v>
      </c>
      <c r="R8" s="27">
        <v>28.777</v>
      </c>
      <c r="S8" s="27">
        <v>149.929</v>
      </c>
      <c r="T8" s="24">
        <v>27.783</v>
      </c>
      <c r="U8" s="24">
        <v>124.226</v>
      </c>
      <c r="V8" s="24">
        <v>30.951</v>
      </c>
      <c r="W8" s="24">
        <v>78.279</v>
      </c>
      <c r="X8" s="24">
        <v>28.749</v>
      </c>
      <c r="Y8" s="24">
        <v>149.978</v>
      </c>
      <c r="Z8" s="24">
        <v>27.888</v>
      </c>
      <c r="AA8" s="24">
        <v>124.326</v>
      </c>
      <c r="AB8" s="24">
        <v>31.097</v>
      </c>
      <c r="AC8" s="24">
        <v>78.485</v>
      </c>
      <c r="AD8" s="24">
        <v>29.104</v>
      </c>
      <c r="AE8" s="21">
        <f t="shared" ref="AE8:AF8" si="19">(M8+S8+Y8)/3</f>
        <v>149.9086667</v>
      </c>
      <c r="AF8" s="21">
        <f t="shared" si="19"/>
        <v>27.815</v>
      </c>
      <c r="AG8" s="21">
        <f t="shared" ref="AG8:AH8" si="20">(AA8+U8+O8)/3</f>
        <v>124.2306667</v>
      </c>
      <c r="AH8" s="21">
        <f t="shared" si="20"/>
        <v>30.99733333</v>
      </c>
      <c r="AI8" s="21">
        <f t="shared" ref="AI8:AJ8" si="21">(Q8+W8+AC8)/3</f>
        <v>78.36366667</v>
      </c>
      <c r="AJ8" s="21">
        <f t="shared" si="21"/>
        <v>28.87666667</v>
      </c>
    </row>
    <row r="9">
      <c r="A9" s="13" t="s">
        <v>19</v>
      </c>
      <c r="B9" s="13" t="s">
        <v>20</v>
      </c>
      <c r="C9" s="14">
        <v>45441.0</v>
      </c>
      <c r="D9" s="15" t="s">
        <v>21</v>
      </c>
      <c r="E9" s="16">
        <v>2.4</v>
      </c>
      <c r="F9" s="15" t="s">
        <v>22</v>
      </c>
      <c r="G9" s="17">
        <v>1.0</v>
      </c>
      <c r="H9" s="18" t="s">
        <v>23</v>
      </c>
      <c r="I9" s="19">
        <v>16.886</v>
      </c>
      <c r="J9" s="20">
        <v>663.9157</v>
      </c>
      <c r="K9" s="20">
        <v>3.272</v>
      </c>
      <c r="L9" s="20">
        <v>0.017</v>
      </c>
      <c r="M9" s="20">
        <v>154.754</v>
      </c>
      <c r="N9" s="20">
        <v>28.346</v>
      </c>
      <c r="O9" s="20">
        <v>129.578</v>
      </c>
      <c r="P9" s="20">
        <v>30.776</v>
      </c>
      <c r="Q9" s="20">
        <v>79.382</v>
      </c>
      <c r="R9" s="27">
        <v>29.605</v>
      </c>
      <c r="S9" s="27">
        <v>154.537</v>
      </c>
      <c r="T9" s="24">
        <v>28.325</v>
      </c>
      <c r="U9" s="24">
        <v>129.26</v>
      </c>
      <c r="V9" s="24">
        <v>30.687</v>
      </c>
      <c r="W9" s="24">
        <v>78.978</v>
      </c>
      <c r="X9" s="24">
        <v>29.311</v>
      </c>
      <c r="Y9" s="24">
        <v>154.688</v>
      </c>
      <c r="Z9" s="24">
        <v>28.289</v>
      </c>
      <c r="AA9" s="24">
        <v>129.472</v>
      </c>
      <c r="AB9" s="24">
        <v>30.643</v>
      </c>
      <c r="AC9" s="24">
        <v>79.179</v>
      </c>
      <c r="AD9" s="24">
        <v>29.384</v>
      </c>
      <c r="AE9" s="21">
        <f t="shared" ref="AE9:AF9" si="22">(M9+S9+Y9)/3</f>
        <v>154.6596667</v>
      </c>
      <c r="AF9" s="21">
        <f t="shared" si="22"/>
        <v>28.32</v>
      </c>
      <c r="AG9" s="21">
        <f t="shared" ref="AG9:AH9" si="23">(AA9+U9+O9)/3</f>
        <v>129.4366667</v>
      </c>
      <c r="AH9" s="21">
        <f t="shared" si="23"/>
        <v>30.702</v>
      </c>
      <c r="AI9" s="21">
        <f t="shared" ref="AI9:AJ9" si="24">(Q9+W9+AC9)/3</f>
        <v>79.17966667</v>
      </c>
      <c r="AJ9" s="21">
        <f t="shared" si="24"/>
        <v>29.43333333</v>
      </c>
    </row>
    <row r="10">
      <c r="A10" s="13" t="s">
        <v>19</v>
      </c>
      <c r="B10" s="13" t="s">
        <v>20</v>
      </c>
      <c r="C10" s="14">
        <v>45441.0</v>
      </c>
      <c r="D10" s="15" t="s">
        <v>21</v>
      </c>
      <c r="E10" s="16">
        <v>3.1</v>
      </c>
      <c r="F10" s="15" t="s">
        <v>22</v>
      </c>
      <c r="G10" s="17">
        <v>1.0</v>
      </c>
      <c r="H10" s="18" t="s">
        <v>23</v>
      </c>
      <c r="I10" s="19">
        <v>20.491</v>
      </c>
      <c r="J10" s="20">
        <v>582.0309</v>
      </c>
      <c r="K10" s="20">
        <v>4.185</v>
      </c>
      <c r="L10" s="20">
        <v>0.011</v>
      </c>
      <c r="M10" s="20">
        <v>141.735</v>
      </c>
      <c r="N10" s="20">
        <v>33.655</v>
      </c>
      <c r="O10" s="20">
        <v>123.573</v>
      </c>
      <c r="P10" s="20">
        <v>34.77</v>
      </c>
      <c r="Q10" s="20">
        <v>83.649</v>
      </c>
      <c r="R10" s="27">
        <v>35.523</v>
      </c>
      <c r="S10" s="27">
        <v>140.982</v>
      </c>
      <c r="T10" s="24">
        <v>34.085</v>
      </c>
      <c r="U10" s="24">
        <v>122.829</v>
      </c>
      <c r="V10" s="24">
        <v>35.191</v>
      </c>
      <c r="W10" s="24">
        <v>83.1</v>
      </c>
      <c r="X10" s="24">
        <v>35.607</v>
      </c>
      <c r="Y10" s="24">
        <v>140.329</v>
      </c>
      <c r="Z10" s="24">
        <v>33.975</v>
      </c>
      <c r="AA10" s="24">
        <v>123.141</v>
      </c>
      <c r="AB10" s="24">
        <v>35.105</v>
      </c>
      <c r="AC10" s="24">
        <v>83.502</v>
      </c>
      <c r="AD10" s="24">
        <v>35.617</v>
      </c>
      <c r="AE10" s="21">
        <f t="shared" ref="AE10:AF10" si="25">(M10+S10+Y10)/3</f>
        <v>141.0153333</v>
      </c>
      <c r="AF10" s="21">
        <f t="shared" si="25"/>
        <v>33.905</v>
      </c>
      <c r="AG10" s="21">
        <f t="shared" ref="AG10:AH10" si="26">(AA10+U10+O10)/3</f>
        <v>123.181</v>
      </c>
      <c r="AH10" s="21">
        <f t="shared" si="26"/>
        <v>35.022</v>
      </c>
      <c r="AI10" s="21">
        <f t="shared" ref="AI10:AJ10" si="27">(Q10+W10+AC10)/3</f>
        <v>83.417</v>
      </c>
      <c r="AJ10" s="21">
        <f t="shared" si="27"/>
        <v>35.58233333</v>
      </c>
    </row>
    <row r="11">
      <c r="A11" s="13" t="s">
        <v>19</v>
      </c>
      <c r="B11" s="13" t="s">
        <v>20</v>
      </c>
      <c r="C11" s="14">
        <v>45441.0</v>
      </c>
      <c r="D11" s="15" t="s">
        <v>21</v>
      </c>
      <c r="E11" s="16">
        <v>3.2</v>
      </c>
      <c r="F11" s="15" t="s">
        <v>22</v>
      </c>
      <c r="G11" s="17">
        <v>1.0</v>
      </c>
      <c r="H11" s="18" t="s">
        <v>23</v>
      </c>
      <c r="I11" s="19">
        <v>13.785</v>
      </c>
      <c r="J11" s="20">
        <v>600.03</v>
      </c>
      <c r="K11" s="20">
        <v>4.159</v>
      </c>
      <c r="L11" s="20">
        <v>0.007</v>
      </c>
      <c r="M11" s="20">
        <v>134.989</v>
      </c>
      <c r="N11" s="20">
        <v>31.895</v>
      </c>
      <c r="O11" s="20">
        <v>118.299</v>
      </c>
      <c r="P11" s="20">
        <v>33.51</v>
      </c>
      <c r="Q11" s="20">
        <v>77.293</v>
      </c>
      <c r="R11" s="27">
        <v>34.378</v>
      </c>
      <c r="S11" s="27">
        <v>134.989</v>
      </c>
      <c r="T11" s="24">
        <v>31.802</v>
      </c>
      <c r="U11" s="24">
        <v>118.323</v>
      </c>
      <c r="V11" s="24">
        <v>33.399</v>
      </c>
      <c r="W11" s="24">
        <v>77.285</v>
      </c>
      <c r="X11" s="24">
        <v>34.322</v>
      </c>
      <c r="Y11" s="24">
        <v>135.008</v>
      </c>
      <c r="Z11" s="24">
        <v>31.771</v>
      </c>
      <c r="AA11" s="24">
        <v>118.326</v>
      </c>
      <c r="AB11" s="24">
        <v>33.352</v>
      </c>
      <c r="AC11" s="24">
        <v>77.217</v>
      </c>
      <c r="AD11" s="24">
        <v>34.17</v>
      </c>
      <c r="AE11" s="21">
        <f t="shared" ref="AE11:AF11" si="28">(M11+S11+Y11)/3</f>
        <v>134.9953333</v>
      </c>
      <c r="AF11" s="21">
        <f t="shared" si="28"/>
        <v>31.82266667</v>
      </c>
      <c r="AG11" s="21">
        <f t="shared" ref="AG11:AH11" si="29">(AA11+U11+O11)/3</f>
        <v>118.316</v>
      </c>
      <c r="AH11" s="21">
        <f t="shared" si="29"/>
        <v>33.42033333</v>
      </c>
      <c r="AI11" s="21">
        <f t="shared" ref="AI11:AJ11" si="30">(Q11+W11+AC11)/3</f>
        <v>77.265</v>
      </c>
      <c r="AJ11" s="21">
        <f t="shared" si="30"/>
        <v>34.29</v>
      </c>
    </row>
    <row r="12">
      <c r="A12" s="13" t="s">
        <v>19</v>
      </c>
      <c r="B12" s="13" t="s">
        <v>20</v>
      </c>
      <c r="C12" s="14">
        <v>45441.0</v>
      </c>
      <c r="D12" s="15" t="s">
        <v>21</v>
      </c>
      <c r="E12" s="16">
        <v>3.3</v>
      </c>
      <c r="F12" s="15" t="s">
        <v>22</v>
      </c>
      <c r="G12" s="17">
        <v>1.0</v>
      </c>
      <c r="H12" s="18" t="s">
        <v>23</v>
      </c>
      <c r="I12" s="19">
        <v>16.607</v>
      </c>
      <c r="J12" s="20">
        <v>600.12</v>
      </c>
      <c r="K12" s="20">
        <v>3.552</v>
      </c>
      <c r="L12" s="20">
        <v>0.021</v>
      </c>
      <c r="M12" s="20">
        <v>140.584</v>
      </c>
      <c r="N12" s="20">
        <v>35.517</v>
      </c>
      <c r="O12" s="20">
        <v>120.012</v>
      </c>
      <c r="P12" s="20">
        <v>37.281</v>
      </c>
      <c r="Q12" s="20">
        <v>77.335</v>
      </c>
      <c r="R12" s="27">
        <v>36.821</v>
      </c>
      <c r="S12" s="27">
        <v>140.273</v>
      </c>
      <c r="T12" s="24">
        <v>35.521</v>
      </c>
      <c r="U12" s="24">
        <v>119.68</v>
      </c>
      <c r="V12" s="24">
        <v>37.199</v>
      </c>
      <c r="W12" s="24">
        <v>76.779</v>
      </c>
      <c r="X12" s="24">
        <v>36.528</v>
      </c>
      <c r="Y12" s="24">
        <v>140.301</v>
      </c>
      <c r="Z12" s="24">
        <v>35.478</v>
      </c>
      <c r="AA12" s="24">
        <v>119.587</v>
      </c>
      <c r="AB12" s="24">
        <v>37.169</v>
      </c>
      <c r="AC12" s="24">
        <v>76.56</v>
      </c>
      <c r="AD12" s="24">
        <v>36.397</v>
      </c>
      <c r="AE12" s="21">
        <f t="shared" ref="AE12:AF12" si="31">(M12+S12+Y12)/3</f>
        <v>140.386</v>
      </c>
      <c r="AF12" s="21">
        <f t="shared" si="31"/>
        <v>35.50533333</v>
      </c>
      <c r="AG12" s="21">
        <f t="shared" ref="AG12:AH12" si="32">(AA12+U12+O12)/3</f>
        <v>119.7596667</v>
      </c>
      <c r="AH12" s="21">
        <f t="shared" si="32"/>
        <v>37.21633333</v>
      </c>
      <c r="AI12" s="21">
        <f t="shared" ref="AI12:AJ12" si="33">(Q12+W12+AC12)/3</f>
        <v>76.89133333</v>
      </c>
      <c r="AJ12" s="21">
        <f t="shared" si="33"/>
        <v>36.582</v>
      </c>
    </row>
    <row r="13">
      <c r="A13" s="13" t="s">
        <v>19</v>
      </c>
      <c r="B13" s="13" t="s">
        <v>20</v>
      </c>
      <c r="C13" s="14">
        <v>45441.0</v>
      </c>
      <c r="D13" s="15" t="s">
        <v>21</v>
      </c>
      <c r="E13" s="16">
        <v>3.4</v>
      </c>
      <c r="F13" s="15" t="s">
        <v>22</v>
      </c>
      <c r="G13" s="17">
        <v>1.0</v>
      </c>
      <c r="H13" s="18" t="s">
        <v>23</v>
      </c>
      <c r="I13" s="19">
        <v>17.348</v>
      </c>
      <c r="J13" s="20">
        <v>654.1101</v>
      </c>
      <c r="K13" s="20">
        <v>4.157</v>
      </c>
      <c r="L13" s="20">
        <v>0.038</v>
      </c>
      <c r="M13" s="20">
        <v>140.745</v>
      </c>
      <c r="N13" s="20">
        <v>33.648</v>
      </c>
      <c r="O13" s="20">
        <v>124.568</v>
      </c>
      <c r="P13" s="20">
        <v>35.758</v>
      </c>
      <c r="Q13" s="20">
        <v>78.561</v>
      </c>
      <c r="R13" s="27">
        <v>36.801</v>
      </c>
      <c r="S13" s="27">
        <v>140.227</v>
      </c>
      <c r="T13" s="24">
        <v>33.748</v>
      </c>
      <c r="U13" s="24">
        <v>123.974</v>
      </c>
      <c r="V13" s="24">
        <v>35.8</v>
      </c>
      <c r="W13" s="24">
        <v>78.277</v>
      </c>
      <c r="X13" s="24">
        <v>36.572</v>
      </c>
      <c r="Y13" s="24">
        <v>140.765</v>
      </c>
      <c r="Z13" s="24">
        <v>33.664</v>
      </c>
      <c r="AA13" s="24">
        <v>124.579</v>
      </c>
      <c r="AB13" s="24">
        <v>35.794</v>
      </c>
      <c r="AC13" s="24">
        <v>78.64</v>
      </c>
      <c r="AD13" s="24">
        <v>36.998</v>
      </c>
      <c r="AE13" s="21">
        <f t="shared" ref="AE13:AF13" si="34">(M13+S13+Y13)/3</f>
        <v>140.579</v>
      </c>
      <c r="AF13" s="21">
        <f t="shared" si="34"/>
        <v>33.68666667</v>
      </c>
      <c r="AG13" s="21">
        <f t="shared" ref="AG13:AH13" si="35">(AA13+U13+O13)/3</f>
        <v>124.3736667</v>
      </c>
      <c r="AH13" s="21">
        <f t="shared" si="35"/>
        <v>35.784</v>
      </c>
      <c r="AI13" s="21">
        <f t="shared" ref="AI13:AJ13" si="36">(Q13+W13+AC13)/3</f>
        <v>78.49266667</v>
      </c>
      <c r="AJ13" s="21">
        <f t="shared" si="36"/>
        <v>36.79033333</v>
      </c>
    </row>
    <row r="14">
      <c r="A14" s="13" t="s">
        <v>19</v>
      </c>
      <c r="B14" s="13" t="s">
        <v>20</v>
      </c>
      <c r="C14" s="14">
        <v>45441.0</v>
      </c>
      <c r="D14" s="15" t="s">
        <v>24</v>
      </c>
      <c r="E14" s="16">
        <v>1.1</v>
      </c>
      <c r="F14" s="15" t="s">
        <v>22</v>
      </c>
      <c r="G14" s="17">
        <v>1.0</v>
      </c>
      <c r="H14" s="18" t="s">
        <v>23</v>
      </c>
      <c r="I14" s="19">
        <v>19.145</v>
      </c>
      <c r="J14" s="20">
        <v>645.2511</v>
      </c>
      <c r="K14" s="20">
        <v>5.996</v>
      </c>
      <c r="L14" s="20">
        <v>0.036</v>
      </c>
      <c r="M14" s="20">
        <v>151.417</v>
      </c>
      <c r="N14" s="20">
        <v>20.738</v>
      </c>
      <c r="O14" s="20">
        <v>121.0</v>
      </c>
      <c r="P14" s="20">
        <v>24.961</v>
      </c>
      <c r="Q14" s="20">
        <v>75.038</v>
      </c>
      <c r="R14" s="27">
        <v>31.702</v>
      </c>
      <c r="S14" s="27">
        <v>151.496</v>
      </c>
      <c r="T14" s="24">
        <v>20.58</v>
      </c>
      <c r="U14" s="24">
        <v>120.975</v>
      </c>
      <c r="V14" s="24">
        <v>24.928</v>
      </c>
      <c r="W14" s="24">
        <v>74.82</v>
      </c>
      <c r="X14" s="24">
        <v>31.611</v>
      </c>
      <c r="Y14" s="24">
        <v>151.546</v>
      </c>
      <c r="Z14" s="24">
        <v>20.561</v>
      </c>
      <c r="AA14" s="24">
        <v>121.025</v>
      </c>
      <c r="AB14" s="24">
        <v>24.884</v>
      </c>
      <c r="AC14" s="24">
        <v>74.834</v>
      </c>
      <c r="AD14" s="24">
        <v>31.535</v>
      </c>
      <c r="AE14" s="21">
        <f t="shared" ref="AE14:AF14" si="37">(M14+S14+Y14)/3</f>
        <v>151.4863333</v>
      </c>
      <c r="AF14" s="21">
        <f t="shared" si="37"/>
        <v>20.62633333</v>
      </c>
      <c r="AG14" s="21">
        <f t="shared" ref="AG14:AH14" si="38">(AA14+U14+O14)/3</f>
        <v>121</v>
      </c>
      <c r="AH14" s="21">
        <f t="shared" si="38"/>
        <v>24.92433333</v>
      </c>
      <c r="AI14" s="21">
        <f t="shared" ref="AI14:AJ14" si="39">(Q14+W14+AC14)/3</f>
        <v>74.89733333</v>
      </c>
      <c r="AJ14" s="21">
        <f t="shared" si="39"/>
        <v>31.616</v>
      </c>
    </row>
    <row r="15">
      <c r="A15" s="13" t="s">
        <v>19</v>
      </c>
      <c r="B15" s="13" t="s">
        <v>20</v>
      </c>
      <c r="C15" s="14">
        <v>45441.0</v>
      </c>
      <c r="D15" s="15" t="s">
        <v>24</v>
      </c>
      <c r="E15" s="16">
        <v>1.2</v>
      </c>
      <c r="F15" s="15" t="s">
        <v>22</v>
      </c>
      <c r="G15" s="17">
        <v>1.0</v>
      </c>
      <c r="H15" s="18" t="s">
        <v>23</v>
      </c>
      <c r="I15" s="19">
        <v>18.071</v>
      </c>
      <c r="J15" s="20">
        <v>574.6253</v>
      </c>
      <c r="K15" s="20">
        <v>4.826</v>
      </c>
      <c r="L15" s="20">
        <v>0.037</v>
      </c>
      <c r="M15" s="20">
        <v>152.792</v>
      </c>
      <c r="N15" s="20">
        <v>20.364</v>
      </c>
      <c r="O15" s="20">
        <v>129.7</v>
      </c>
      <c r="P15" s="20">
        <v>20.951</v>
      </c>
      <c r="Q15" s="20">
        <v>87.107</v>
      </c>
      <c r="R15" s="27">
        <v>27.836</v>
      </c>
      <c r="S15" s="27">
        <v>152.759</v>
      </c>
      <c r="T15" s="24">
        <v>20.217</v>
      </c>
      <c r="U15" s="24">
        <v>129.533</v>
      </c>
      <c r="V15" s="24">
        <v>20.757</v>
      </c>
      <c r="W15" s="24">
        <v>86.757</v>
      </c>
      <c r="X15" s="24">
        <v>27.534</v>
      </c>
      <c r="Y15" s="24">
        <v>152.716</v>
      </c>
      <c r="Z15" s="24">
        <v>20.234</v>
      </c>
      <c r="AA15" s="24">
        <v>129.562</v>
      </c>
      <c r="AB15" s="24">
        <v>20.804</v>
      </c>
      <c r="AC15" s="24">
        <v>86.93</v>
      </c>
      <c r="AD15" s="24">
        <v>27.692</v>
      </c>
      <c r="AE15" s="21">
        <f t="shared" ref="AE15:AF15" si="40">(M15+S15+Y15)/3</f>
        <v>152.7556667</v>
      </c>
      <c r="AF15" s="21">
        <f t="shared" si="40"/>
        <v>20.27166667</v>
      </c>
      <c r="AG15" s="21">
        <f t="shared" ref="AG15:AH15" si="41">(AA15+U15+O15)/3</f>
        <v>129.5983333</v>
      </c>
      <c r="AH15" s="21">
        <f t="shared" si="41"/>
        <v>20.83733333</v>
      </c>
      <c r="AI15" s="21">
        <f t="shared" ref="AI15:AJ15" si="42">(Q15+W15+AC15)/3</f>
        <v>86.93133333</v>
      </c>
      <c r="AJ15" s="21">
        <f t="shared" si="42"/>
        <v>27.68733333</v>
      </c>
    </row>
    <row r="16">
      <c r="A16" s="13" t="s">
        <v>19</v>
      </c>
      <c r="B16" s="13" t="s">
        <v>20</v>
      </c>
      <c r="C16" s="14">
        <v>45441.0</v>
      </c>
      <c r="D16" s="15" t="s">
        <v>24</v>
      </c>
      <c r="E16" s="16">
        <v>1.3</v>
      </c>
      <c r="F16" s="15" t="s">
        <v>22</v>
      </c>
      <c r="G16" s="17">
        <v>1.0</v>
      </c>
      <c r="H16" s="18" t="s">
        <v>23</v>
      </c>
      <c r="I16" s="19">
        <v>14.898</v>
      </c>
      <c r="J16" s="20">
        <v>468.346</v>
      </c>
      <c r="K16" s="20">
        <v>4.802</v>
      </c>
      <c r="L16" s="20">
        <v>0.077</v>
      </c>
      <c r="M16" s="20">
        <v>144.632</v>
      </c>
      <c r="N16" s="20">
        <v>14.132</v>
      </c>
      <c r="O16" s="20">
        <v>123.777</v>
      </c>
      <c r="P16" s="20">
        <v>16.758</v>
      </c>
      <c r="Q16" s="20">
        <v>78.618</v>
      </c>
      <c r="R16" s="27">
        <v>23.42</v>
      </c>
      <c r="S16" s="27">
        <v>144.61</v>
      </c>
      <c r="T16" s="24">
        <v>14.616</v>
      </c>
      <c r="U16" s="24">
        <v>123.909</v>
      </c>
      <c r="V16" s="24">
        <v>17.245</v>
      </c>
      <c r="W16" s="24">
        <v>78.99</v>
      </c>
      <c r="X16" s="24">
        <v>23.905</v>
      </c>
      <c r="Y16" s="24">
        <v>144.559</v>
      </c>
      <c r="Z16" s="24">
        <v>14.572</v>
      </c>
      <c r="AA16" s="24">
        <v>123.754</v>
      </c>
      <c r="AB16" s="24">
        <v>17.096</v>
      </c>
      <c r="AC16" s="24">
        <v>78.716</v>
      </c>
      <c r="AD16" s="24">
        <v>23.641</v>
      </c>
      <c r="AE16" s="21">
        <f t="shared" ref="AE16:AF16" si="43">(M16+S16+Y16)/3</f>
        <v>144.6003333</v>
      </c>
      <c r="AF16" s="21">
        <f t="shared" si="43"/>
        <v>14.44</v>
      </c>
      <c r="AG16" s="21">
        <f t="shared" ref="AG16:AH16" si="44">(AA16+U16+O16)/3</f>
        <v>123.8133333</v>
      </c>
      <c r="AH16" s="21">
        <f t="shared" si="44"/>
        <v>17.033</v>
      </c>
      <c r="AI16" s="21">
        <f t="shared" ref="AI16:AJ16" si="45">(Q16+W16+AC16)/3</f>
        <v>78.77466667</v>
      </c>
      <c r="AJ16" s="21">
        <f t="shared" si="45"/>
        <v>23.65533333</v>
      </c>
    </row>
    <row r="17">
      <c r="A17" s="13" t="s">
        <v>19</v>
      </c>
      <c r="B17" s="13" t="s">
        <v>20</v>
      </c>
      <c r="C17" s="14">
        <v>45441.0</v>
      </c>
      <c r="D17" s="15" t="s">
        <v>24</v>
      </c>
      <c r="E17" s="16">
        <v>1.4</v>
      </c>
      <c r="F17" s="15" t="s">
        <v>22</v>
      </c>
      <c r="G17" s="17">
        <v>1.0</v>
      </c>
      <c r="H17" s="18" t="s">
        <v>23</v>
      </c>
      <c r="I17" s="19">
        <v>16.542</v>
      </c>
      <c r="J17" s="20">
        <v>546.2966</v>
      </c>
      <c r="K17" s="20">
        <v>3.806</v>
      </c>
      <c r="L17" s="20">
        <v>0.18</v>
      </c>
      <c r="M17" s="20">
        <v>151.606</v>
      </c>
      <c r="N17" s="20">
        <v>14.451</v>
      </c>
      <c r="O17" s="20">
        <v>128.482</v>
      </c>
      <c r="P17" s="20">
        <v>16.746</v>
      </c>
      <c r="Q17" s="20">
        <v>80.064</v>
      </c>
      <c r="R17" s="27">
        <v>22.903</v>
      </c>
      <c r="S17" s="27">
        <v>151.638</v>
      </c>
      <c r="T17" s="24">
        <v>14.415</v>
      </c>
      <c r="U17" s="24">
        <v>128.612</v>
      </c>
      <c r="V17" s="24">
        <v>16.747</v>
      </c>
      <c r="W17" s="24">
        <v>80.396</v>
      </c>
      <c r="X17" s="24">
        <v>23.08</v>
      </c>
      <c r="Y17" s="24">
        <v>151.427</v>
      </c>
      <c r="Z17" s="24">
        <v>14.316</v>
      </c>
      <c r="AA17" s="24">
        <v>128.356</v>
      </c>
      <c r="AB17" s="24">
        <v>16.465</v>
      </c>
      <c r="AC17" s="24">
        <v>80.127</v>
      </c>
      <c r="AD17" s="24">
        <v>22.545</v>
      </c>
      <c r="AE17" s="21">
        <f t="shared" ref="AE17:AF17" si="46">(M17+S17+Y17)/3</f>
        <v>151.557</v>
      </c>
      <c r="AF17" s="21">
        <f t="shared" si="46"/>
        <v>14.394</v>
      </c>
      <c r="AG17" s="21">
        <f t="shared" ref="AG17:AH17" si="47">(AA17+U17+O17)/3</f>
        <v>128.4833333</v>
      </c>
      <c r="AH17" s="21">
        <f t="shared" si="47"/>
        <v>16.65266667</v>
      </c>
      <c r="AI17" s="21">
        <f t="shared" ref="AI17:AJ17" si="48">(Q17+W17+AC17)/3</f>
        <v>80.19566667</v>
      </c>
      <c r="AJ17" s="21">
        <f t="shared" si="48"/>
        <v>22.84266667</v>
      </c>
    </row>
    <row r="18">
      <c r="A18" s="13" t="s">
        <v>19</v>
      </c>
      <c r="B18" s="13" t="s">
        <v>20</v>
      </c>
      <c r="C18" s="14">
        <v>45441.0</v>
      </c>
      <c r="D18" s="15" t="s">
        <v>24</v>
      </c>
      <c r="E18" s="16">
        <v>2.1</v>
      </c>
      <c r="F18" s="15" t="s">
        <v>22</v>
      </c>
      <c r="G18" s="17">
        <v>1.0</v>
      </c>
      <c r="H18" s="18" t="s">
        <v>23</v>
      </c>
      <c r="I18" s="19">
        <v>10.784</v>
      </c>
      <c r="J18" s="20">
        <v>582.0</v>
      </c>
      <c r="K18" s="20">
        <v>3.085</v>
      </c>
      <c r="L18" s="20">
        <v>0.031</v>
      </c>
      <c r="M18" s="20">
        <v>126.448</v>
      </c>
      <c r="N18" s="20">
        <v>22.242</v>
      </c>
      <c r="O18" s="20">
        <v>98.035</v>
      </c>
      <c r="P18" s="20">
        <v>25.369</v>
      </c>
      <c r="Q18" s="20">
        <v>58.616</v>
      </c>
      <c r="R18" s="27">
        <v>29.009</v>
      </c>
      <c r="S18" s="27">
        <v>126.269</v>
      </c>
      <c r="T18" s="24">
        <v>21.87</v>
      </c>
      <c r="U18" s="24">
        <v>97.788</v>
      </c>
      <c r="V18" s="24">
        <v>24.782</v>
      </c>
      <c r="W18" s="24">
        <v>58.306</v>
      </c>
      <c r="X18" s="24">
        <v>28.074</v>
      </c>
      <c r="Y18" s="24">
        <v>126.505</v>
      </c>
      <c r="Z18" s="24">
        <v>22.168</v>
      </c>
      <c r="AA18" s="24">
        <v>98.121</v>
      </c>
      <c r="AB18" s="24">
        <v>25.299</v>
      </c>
      <c r="AC18" s="24">
        <v>58.739</v>
      </c>
      <c r="AD18" s="24">
        <v>28.86</v>
      </c>
      <c r="AE18" s="21">
        <f t="shared" ref="AE18:AF18" si="49">(M18+S18+Y18)/3</f>
        <v>126.4073333</v>
      </c>
      <c r="AF18" s="21">
        <f t="shared" si="49"/>
        <v>22.09333333</v>
      </c>
      <c r="AG18" s="21">
        <f t="shared" ref="AG18:AH18" si="50">(AA18+U18+O18)/3</f>
        <v>97.98133333</v>
      </c>
      <c r="AH18" s="21">
        <f t="shared" si="50"/>
        <v>25.15</v>
      </c>
      <c r="AI18" s="21">
        <f t="shared" ref="AI18:AJ18" si="51">(Q18+W18+AC18)/3</f>
        <v>58.55366667</v>
      </c>
      <c r="AJ18" s="21">
        <f t="shared" si="51"/>
        <v>28.64766667</v>
      </c>
    </row>
    <row r="19">
      <c r="A19" s="13" t="s">
        <v>19</v>
      </c>
      <c r="B19" s="13" t="s">
        <v>20</v>
      </c>
      <c r="C19" s="14">
        <v>45441.0</v>
      </c>
      <c r="D19" s="15" t="s">
        <v>24</v>
      </c>
      <c r="E19" s="16">
        <v>2.2</v>
      </c>
      <c r="F19" s="15" t="s">
        <v>22</v>
      </c>
      <c r="G19" s="17">
        <v>1.0</v>
      </c>
      <c r="H19" s="18" t="s">
        <v>23</v>
      </c>
      <c r="I19" s="19">
        <v>14.865</v>
      </c>
      <c r="J19" s="20">
        <v>630.0072</v>
      </c>
      <c r="K19" s="20">
        <v>3.039</v>
      </c>
      <c r="L19" s="20">
        <v>0.043</v>
      </c>
      <c r="M19" s="20">
        <v>123.281</v>
      </c>
      <c r="N19" s="20">
        <v>18.079</v>
      </c>
      <c r="O19" s="20">
        <v>93.253</v>
      </c>
      <c r="P19" s="20">
        <v>21.554</v>
      </c>
      <c r="Q19" s="20">
        <v>47.653</v>
      </c>
      <c r="R19" s="27">
        <v>23.317</v>
      </c>
      <c r="S19" s="27">
        <v>123.428</v>
      </c>
      <c r="T19" s="24">
        <v>18.321</v>
      </c>
      <c r="U19" s="24">
        <v>93.442</v>
      </c>
      <c r="V19" s="24">
        <v>21.942</v>
      </c>
      <c r="W19" s="24">
        <v>48.055</v>
      </c>
      <c r="X19" s="24">
        <v>24.355</v>
      </c>
      <c r="Y19" s="24">
        <v>123.223</v>
      </c>
      <c r="Z19" s="24">
        <v>18.154</v>
      </c>
      <c r="AA19" s="24">
        <v>93.159</v>
      </c>
      <c r="AB19" s="24">
        <v>21.629</v>
      </c>
      <c r="AC19" s="24">
        <v>47.583</v>
      </c>
      <c r="AD19" s="24">
        <v>23.635</v>
      </c>
      <c r="AE19" s="21">
        <f t="shared" ref="AE19:AF19" si="52">(M19+S19+Y19)/3</f>
        <v>123.3106667</v>
      </c>
      <c r="AF19" s="21">
        <f t="shared" si="52"/>
        <v>18.18466667</v>
      </c>
      <c r="AG19" s="21">
        <f t="shared" ref="AG19:AH19" si="53">(AA19+U19+O19)/3</f>
        <v>93.28466667</v>
      </c>
      <c r="AH19" s="21">
        <f t="shared" si="53"/>
        <v>21.70833333</v>
      </c>
      <c r="AI19" s="21">
        <f t="shared" ref="AI19:AJ19" si="54">(Q19+W19+AC19)/3</f>
        <v>47.76366667</v>
      </c>
      <c r="AJ19" s="21">
        <f t="shared" si="54"/>
        <v>23.769</v>
      </c>
    </row>
    <row r="20">
      <c r="A20" s="13" t="s">
        <v>19</v>
      </c>
      <c r="B20" s="13" t="s">
        <v>20</v>
      </c>
      <c r="C20" s="14">
        <v>45441.0</v>
      </c>
      <c r="D20" s="15" t="s">
        <v>24</v>
      </c>
      <c r="E20" s="16">
        <v>2.3</v>
      </c>
      <c r="F20" s="15" t="s">
        <v>22</v>
      </c>
      <c r="G20" s="17">
        <v>1.0</v>
      </c>
      <c r="H20" s="18" t="s">
        <v>23</v>
      </c>
      <c r="I20" s="19">
        <v>15.552</v>
      </c>
      <c r="J20" s="20">
        <v>664.1084</v>
      </c>
      <c r="K20" s="20">
        <v>3.252</v>
      </c>
      <c r="L20" s="20">
        <v>0.021</v>
      </c>
      <c r="M20" s="20">
        <v>121.702</v>
      </c>
      <c r="N20" s="20">
        <v>25.187</v>
      </c>
      <c r="O20" s="20">
        <v>92.381</v>
      </c>
      <c r="P20" s="20">
        <v>28.106</v>
      </c>
      <c r="Q20" s="20">
        <v>55.172</v>
      </c>
      <c r="R20" s="27">
        <v>29.699</v>
      </c>
      <c r="S20" s="27">
        <v>121.301</v>
      </c>
      <c r="T20" s="24">
        <v>24.87</v>
      </c>
      <c r="U20" s="24">
        <v>91.68</v>
      </c>
      <c r="V20" s="24">
        <v>27.428</v>
      </c>
      <c r="W20" s="24">
        <v>54.026</v>
      </c>
      <c r="X20" s="24">
        <v>28.116</v>
      </c>
      <c r="Y20" s="24">
        <v>121.755</v>
      </c>
      <c r="Z20" s="24">
        <v>25.35</v>
      </c>
      <c r="AA20" s="24">
        <v>92.416</v>
      </c>
      <c r="AB20" s="24">
        <v>28.31</v>
      </c>
      <c r="AC20" s="24">
        <v>55.213</v>
      </c>
      <c r="AD20" s="24">
        <v>30.037</v>
      </c>
      <c r="AE20" s="21">
        <f t="shared" ref="AE20:AF20" si="55">(M20+S20+Y20)/3</f>
        <v>121.586</v>
      </c>
      <c r="AF20" s="21">
        <f t="shared" si="55"/>
        <v>25.13566667</v>
      </c>
      <c r="AG20" s="21">
        <f t="shared" ref="AG20:AH20" si="56">(AA20+U20+O20)/3</f>
        <v>92.159</v>
      </c>
      <c r="AH20" s="21">
        <f t="shared" si="56"/>
        <v>27.948</v>
      </c>
      <c r="AI20" s="21">
        <f t="shared" ref="AI20:AJ20" si="57">(Q20+W20+AC20)/3</f>
        <v>54.80366667</v>
      </c>
      <c r="AJ20" s="21">
        <f t="shared" si="57"/>
        <v>29.284</v>
      </c>
    </row>
    <row r="21">
      <c r="A21" s="13" t="s">
        <v>19</v>
      </c>
      <c r="B21" s="13" t="s">
        <v>20</v>
      </c>
      <c r="C21" s="14">
        <v>45441.0</v>
      </c>
      <c r="D21" s="15" t="s">
        <v>24</v>
      </c>
      <c r="E21" s="16">
        <v>2.4</v>
      </c>
      <c r="F21" s="15" t="s">
        <v>22</v>
      </c>
      <c r="G21" s="17">
        <v>1.0</v>
      </c>
      <c r="H21" s="18" t="s">
        <v>23</v>
      </c>
      <c r="I21" s="19">
        <v>14.915</v>
      </c>
      <c r="J21" s="20">
        <v>660.003</v>
      </c>
      <c r="K21" s="20">
        <v>2.727</v>
      </c>
      <c r="L21" s="20">
        <v>0.29</v>
      </c>
      <c r="M21" s="20">
        <v>122.155</v>
      </c>
      <c r="N21" s="20">
        <v>21.89</v>
      </c>
      <c r="O21" s="20">
        <v>92.943</v>
      </c>
      <c r="P21" s="20">
        <v>25.811</v>
      </c>
      <c r="Q21" s="20">
        <v>57.49</v>
      </c>
      <c r="R21" s="27">
        <v>28.885</v>
      </c>
      <c r="S21" s="27">
        <v>122.16</v>
      </c>
      <c r="T21" s="24">
        <v>21.798</v>
      </c>
      <c r="U21" s="24">
        <v>92.948</v>
      </c>
      <c r="V21" s="24">
        <v>25.69</v>
      </c>
      <c r="W21" s="24">
        <v>57.56</v>
      </c>
      <c r="X21" s="24">
        <v>28.87</v>
      </c>
      <c r="Y21" s="24">
        <v>121.974</v>
      </c>
      <c r="Z21" s="24">
        <v>21.993</v>
      </c>
      <c r="AA21" s="24">
        <v>92.632</v>
      </c>
      <c r="AB21" s="24">
        <v>25.87</v>
      </c>
      <c r="AC21" s="24">
        <v>57.076</v>
      </c>
      <c r="AD21" s="24">
        <v>28.849</v>
      </c>
      <c r="AE21" s="21">
        <f t="shared" ref="AE21:AF21" si="58">(M21+S21+Y21)/3</f>
        <v>122.0963333</v>
      </c>
      <c r="AF21" s="21">
        <f t="shared" si="58"/>
        <v>21.89366667</v>
      </c>
      <c r="AG21" s="21">
        <f t="shared" ref="AG21:AH21" si="59">(AA21+U21+O21)/3</f>
        <v>92.841</v>
      </c>
      <c r="AH21" s="21">
        <f t="shared" si="59"/>
        <v>25.79033333</v>
      </c>
      <c r="AI21" s="21">
        <f t="shared" ref="AI21:AJ21" si="60">(Q21+W21+AC21)/3</f>
        <v>57.37533333</v>
      </c>
      <c r="AJ21" s="21">
        <f t="shared" si="60"/>
        <v>28.868</v>
      </c>
    </row>
    <row r="22">
      <c r="A22" s="13" t="s">
        <v>19</v>
      </c>
      <c r="B22" s="24" t="s">
        <v>20</v>
      </c>
      <c r="C22" s="14">
        <v>45441.0</v>
      </c>
      <c r="D22" s="15" t="s">
        <v>24</v>
      </c>
      <c r="E22" s="16">
        <v>3.1</v>
      </c>
      <c r="F22" s="15" t="s">
        <v>22</v>
      </c>
      <c r="G22" s="17">
        <v>1.0</v>
      </c>
      <c r="H22" s="18" t="s">
        <v>23</v>
      </c>
      <c r="I22" s="19">
        <v>15.766</v>
      </c>
      <c r="J22" s="20">
        <v>514.0973</v>
      </c>
      <c r="K22" s="20">
        <v>4.085</v>
      </c>
      <c r="L22" s="20">
        <v>0.023</v>
      </c>
      <c r="M22" s="20">
        <v>145.297</v>
      </c>
      <c r="N22" s="20">
        <v>16.485</v>
      </c>
      <c r="O22" s="20">
        <v>114.453</v>
      </c>
      <c r="P22" s="20">
        <v>19.104</v>
      </c>
      <c r="Q22" s="20">
        <v>67.141</v>
      </c>
      <c r="R22" s="27">
        <v>21.253</v>
      </c>
      <c r="S22" s="27">
        <v>145.34</v>
      </c>
      <c r="T22" s="24">
        <v>16.795</v>
      </c>
      <c r="U22" s="24">
        <v>114.759</v>
      </c>
      <c r="V22" s="24">
        <v>19.595</v>
      </c>
      <c r="W22" s="24">
        <v>67.962</v>
      </c>
      <c r="X22" s="24">
        <v>22.761</v>
      </c>
      <c r="Y22" s="24">
        <v>145.119</v>
      </c>
      <c r="Z22" s="24">
        <v>16.735</v>
      </c>
      <c r="AA22" s="24">
        <v>114.961</v>
      </c>
      <c r="AB22" s="24">
        <v>19.621</v>
      </c>
      <c r="AC22" s="24">
        <v>68.878</v>
      </c>
      <c r="AD22" s="24">
        <v>23.957</v>
      </c>
      <c r="AE22" s="21">
        <f t="shared" ref="AE22:AF22" si="61">(M22+S22+Y22)/3</f>
        <v>145.252</v>
      </c>
      <c r="AF22" s="21">
        <f t="shared" si="61"/>
        <v>16.67166667</v>
      </c>
      <c r="AG22" s="21">
        <f t="shared" ref="AG22:AH22" si="62">(AA22+U22+O22)/3</f>
        <v>114.7243333</v>
      </c>
      <c r="AH22" s="21">
        <f t="shared" si="62"/>
        <v>19.44</v>
      </c>
      <c r="AI22" s="21">
        <f t="shared" ref="AI22:AJ22" si="63">(Q22+W22+AC22)/3</f>
        <v>67.99366667</v>
      </c>
      <c r="AJ22" s="21">
        <f t="shared" si="63"/>
        <v>22.657</v>
      </c>
    </row>
    <row r="23">
      <c r="A23" s="13" t="s">
        <v>19</v>
      </c>
      <c r="B23" s="13" t="s">
        <v>20</v>
      </c>
      <c r="C23" s="14">
        <v>45441.0</v>
      </c>
      <c r="D23" s="15" t="s">
        <v>24</v>
      </c>
      <c r="E23" s="16">
        <v>3.2</v>
      </c>
      <c r="F23" s="15" t="s">
        <v>22</v>
      </c>
      <c r="G23" s="17">
        <v>1.0</v>
      </c>
      <c r="H23" s="18" t="s">
        <v>23</v>
      </c>
      <c r="I23" s="19">
        <v>13.741</v>
      </c>
      <c r="J23" s="20">
        <v>562.8379</v>
      </c>
      <c r="K23" s="20">
        <v>4.209</v>
      </c>
      <c r="L23" s="20">
        <v>0.023</v>
      </c>
      <c r="M23" s="20">
        <v>144.015</v>
      </c>
      <c r="N23" s="20">
        <v>13.937</v>
      </c>
      <c r="O23" s="20">
        <v>111.919</v>
      </c>
      <c r="P23" s="20">
        <v>17.284</v>
      </c>
      <c r="Q23" s="20">
        <v>61.319</v>
      </c>
      <c r="R23" s="27">
        <v>22.275</v>
      </c>
      <c r="S23" s="27">
        <v>143.827</v>
      </c>
      <c r="T23" s="24">
        <v>13.827</v>
      </c>
      <c r="U23" s="24">
        <v>111.714</v>
      </c>
      <c r="V23" s="24">
        <v>17.044</v>
      </c>
      <c r="W23" s="24">
        <v>61.05</v>
      </c>
      <c r="X23" s="24">
        <v>21.827</v>
      </c>
      <c r="Y23" s="24">
        <v>143.917</v>
      </c>
      <c r="Z23" s="24">
        <v>13.927</v>
      </c>
      <c r="AA23" s="24">
        <v>111.931</v>
      </c>
      <c r="AB23" s="24">
        <v>17.34</v>
      </c>
      <c r="AC23" s="24">
        <v>61.394</v>
      </c>
      <c r="AD23" s="24">
        <v>22.515</v>
      </c>
      <c r="AE23" s="21">
        <f t="shared" ref="AE23:AF23" si="64">(M23+S23+Y23)/3</f>
        <v>143.9196667</v>
      </c>
      <c r="AF23" s="21">
        <f t="shared" si="64"/>
        <v>13.897</v>
      </c>
      <c r="AG23" s="21">
        <f t="shared" ref="AG23:AH23" si="65">(AA23+U23+O23)/3</f>
        <v>111.8546667</v>
      </c>
      <c r="AH23" s="21">
        <f t="shared" si="65"/>
        <v>17.22266667</v>
      </c>
      <c r="AI23" s="21">
        <f t="shared" ref="AI23:AJ23" si="66">(Q23+W23+AC23)/3</f>
        <v>61.25433333</v>
      </c>
      <c r="AJ23" s="21">
        <f t="shared" si="66"/>
        <v>22.20566667</v>
      </c>
    </row>
    <row r="24">
      <c r="A24" s="13" t="s">
        <v>19</v>
      </c>
      <c r="B24" s="13" t="s">
        <v>20</v>
      </c>
      <c r="C24" s="14">
        <v>45441.0</v>
      </c>
      <c r="D24" s="15" t="s">
        <v>24</v>
      </c>
      <c r="E24" s="16">
        <v>3.3</v>
      </c>
      <c r="F24" s="15" t="s">
        <v>22</v>
      </c>
      <c r="G24" s="17">
        <v>1.0</v>
      </c>
      <c r="H24" s="18" t="s">
        <v>23</v>
      </c>
      <c r="I24" s="19">
        <v>15.294</v>
      </c>
      <c r="J24" s="20">
        <v>660.2454</v>
      </c>
      <c r="K24" s="20">
        <v>4.576</v>
      </c>
      <c r="L24" s="20">
        <v>0.01</v>
      </c>
      <c r="M24" s="20">
        <v>147.297</v>
      </c>
      <c r="N24" s="20">
        <v>15.771</v>
      </c>
      <c r="O24" s="20">
        <v>120.16</v>
      </c>
      <c r="P24" s="20">
        <v>19.187</v>
      </c>
      <c r="Q24" s="20">
        <v>77.327</v>
      </c>
      <c r="R24" s="27">
        <v>25.427</v>
      </c>
      <c r="S24" s="27">
        <v>147.226</v>
      </c>
      <c r="T24" s="24">
        <v>15.698</v>
      </c>
      <c r="U24" s="24">
        <v>120.227</v>
      </c>
      <c r="V24" s="24">
        <v>19.236</v>
      </c>
      <c r="W24" s="24">
        <v>77.502</v>
      </c>
      <c r="X24" s="24">
        <v>25.678</v>
      </c>
      <c r="Y24" s="24">
        <v>147.133</v>
      </c>
      <c r="Z24" s="24">
        <v>15.929</v>
      </c>
      <c r="AA24" s="24">
        <v>120.045</v>
      </c>
      <c r="AB24" s="24">
        <v>19.34</v>
      </c>
      <c r="AC24" s="24">
        <v>77.252</v>
      </c>
      <c r="AD24" s="24">
        <v>25.669</v>
      </c>
      <c r="AE24" s="21">
        <f t="shared" ref="AE24:AF24" si="67">(M24+S24+Y24)/3</f>
        <v>147.2186667</v>
      </c>
      <c r="AF24" s="21">
        <f t="shared" si="67"/>
        <v>15.79933333</v>
      </c>
      <c r="AG24" s="21">
        <f t="shared" ref="AG24:AH24" si="68">(AA24+U24+O24)/3</f>
        <v>120.144</v>
      </c>
      <c r="AH24" s="21">
        <f t="shared" si="68"/>
        <v>19.25433333</v>
      </c>
      <c r="AI24" s="21">
        <f t="shared" ref="AI24:AJ24" si="69">(Q24+W24+AC24)/3</f>
        <v>77.36033333</v>
      </c>
      <c r="AJ24" s="21">
        <f t="shared" si="69"/>
        <v>25.59133333</v>
      </c>
    </row>
    <row r="25">
      <c r="A25" s="13" t="s">
        <v>19</v>
      </c>
      <c r="B25" s="13" t="s">
        <v>20</v>
      </c>
      <c r="C25" s="14">
        <v>45441.0</v>
      </c>
      <c r="D25" s="15" t="s">
        <v>24</v>
      </c>
      <c r="E25" s="16">
        <v>3.4</v>
      </c>
      <c r="F25" s="15" t="s">
        <v>22</v>
      </c>
      <c r="G25" s="17">
        <v>1.0</v>
      </c>
      <c r="H25" s="18" t="s">
        <v>23</v>
      </c>
      <c r="I25" s="19">
        <v>20.921</v>
      </c>
      <c r="J25" s="20">
        <v>645.0279</v>
      </c>
      <c r="K25" s="20">
        <v>5.936</v>
      </c>
      <c r="L25" s="20">
        <v>0.042</v>
      </c>
      <c r="M25" s="20">
        <v>152.279</v>
      </c>
      <c r="N25" s="20">
        <v>13.926</v>
      </c>
      <c r="O25" s="20">
        <v>120.03</v>
      </c>
      <c r="P25" s="20">
        <v>16.415</v>
      </c>
      <c r="Q25" s="20">
        <v>68.069</v>
      </c>
      <c r="R25" s="27">
        <v>21.913</v>
      </c>
      <c r="S25" s="27">
        <v>152.568</v>
      </c>
      <c r="T25" s="24">
        <v>14.678</v>
      </c>
      <c r="U25" s="24">
        <v>120.293</v>
      </c>
      <c r="V25" s="24">
        <v>16.467</v>
      </c>
      <c r="W25" s="24">
        <v>68.294</v>
      </c>
      <c r="X25" s="24">
        <v>22.521</v>
      </c>
      <c r="Y25" s="24">
        <v>152.191</v>
      </c>
      <c r="Z25" s="24">
        <v>14.532</v>
      </c>
      <c r="AA25" s="24">
        <v>119.866</v>
      </c>
      <c r="AB25" s="24">
        <v>16.443</v>
      </c>
      <c r="AC25" s="24">
        <v>67.81</v>
      </c>
      <c r="AD25" s="24">
        <v>21.577</v>
      </c>
      <c r="AE25" s="21">
        <f t="shared" ref="AE25:AF25" si="70">(M25+S25+Y25)/3</f>
        <v>152.346</v>
      </c>
      <c r="AF25" s="21">
        <f t="shared" si="70"/>
        <v>14.37866667</v>
      </c>
      <c r="AG25" s="21">
        <f t="shared" ref="AG25:AH25" si="71">(AA25+U25+O25)/3</f>
        <v>120.063</v>
      </c>
      <c r="AH25" s="21">
        <f t="shared" si="71"/>
        <v>16.44166667</v>
      </c>
      <c r="AI25" s="21">
        <f t="shared" ref="AI25:AJ25" si="72">(Q25+W25+AC25)/3</f>
        <v>68.05766667</v>
      </c>
      <c r="AJ25" s="21">
        <f t="shared" si="72"/>
        <v>22.00366667</v>
      </c>
    </row>
    <row r="26">
      <c r="A26" s="13" t="s">
        <v>19</v>
      </c>
      <c r="B26" s="13" t="s">
        <v>20</v>
      </c>
      <c r="C26" s="14">
        <v>45441.0</v>
      </c>
      <c r="D26" s="15" t="s">
        <v>25</v>
      </c>
      <c r="E26" s="16">
        <v>1.1</v>
      </c>
      <c r="F26" s="15" t="s">
        <v>22</v>
      </c>
      <c r="G26" s="17">
        <v>1.0</v>
      </c>
      <c r="H26" s="18" t="s">
        <v>23</v>
      </c>
      <c r="I26" s="19">
        <v>17.315</v>
      </c>
      <c r="J26" s="20">
        <v>548.0328</v>
      </c>
      <c r="K26" s="20">
        <v>3.975</v>
      </c>
      <c r="L26" s="20">
        <v>0.043</v>
      </c>
      <c r="M26" s="20">
        <v>136.014</v>
      </c>
      <c r="N26" s="20">
        <v>23.221</v>
      </c>
      <c r="O26" s="20">
        <v>122.151</v>
      </c>
      <c r="P26" s="20">
        <v>24.061</v>
      </c>
      <c r="Q26" s="20">
        <v>72.891</v>
      </c>
      <c r="R26" s="27">
        <v>25.346</v>
      </c>
      <c r="S26" s="27">
        <v>136.375</v>
      </c>
      <c r="T26" s="24">
        <v>23.34</v>
      </c>
      <c r="U26" s="24">
        <v>122.411</v>
      </c>
      <c r="V26" s="24">
        <v>24.07</v>
      </c>
      <c r="W26" s="24">
        <v>73.237</v>
      </c>
      <c r="X26" s="24">
        <v>25.514</v>
      </c>
      <c r="Y26" s="24">
        <v>136.323</v>
      </c>
      <c r="Z26" s="24">
        <v>23.349</v>
      </c>
      <c r="AA26" s="24">
        <v>122.392</v>
      </c>
      <c r="AB26" s="24">
        <v>24.137</v>
      </c>
      <c r="AC26" s="24">
        <v>73.121</v>
      </c>
      <c r="AD26" s="24">
        <v>25.526</v>
      </c>
      <c r="AE26" s="21">
        <f t="shared" ref="AE26:AF26" si="73">(M26+S26+Y26)/3</f>
        <v>136.2373333</v>
      </c>
      <c r="AF26" s="21">
        <f t="shared" si="73"/>
        <v>23.30333333</v>
      </c>
      <c r="AG26" s="21">
        <f t="shared" ref="AG26:AH26" si="74">(AA26+U26+O26)/3</f>
        <v>122.318</v>
      </c>
      <c r="AH26" s="21">
        <f t="shared" si="74"/>
        <v>24.08933333</v>
      </c>
      <c r="AI26" s="21">
        <f t="shared" ref="AI26:AJ26" si="75">(Q26+W26+AC26)/3</f>
        <v>73.083</v>
      </c>
      <c r="AJ26" s="21">
        <f t="shared" si="75"/>
        <v>25.462</v>
      </c>
    </row>
    <row r="27">
      <c r="A27" s="13" t="s">
        <v>19</v>
      </c>
      <c r="B27" s="13" t="s">
        <v>20</v>
      </c>
      <c r="C27" s="14">
        <v>45441.0</v>
      </c>
      <c r="D27" s="15" t="s">
        <v>25</v>
      </c>
      <c r="E27" s="16">
        <v>1.2</v>
      </c>
      <c r="F27" s="15" t="s">
        <v>22</v>
      </c>
      <c r="G27" s="17">
        <v>1.0</v>
      </c>
      <c r="H27" s="18" t="s">
        <v>23</v>
      </c>
      <c r="I27" s="19">
        <v>14.176</v>
      </c>
      <c r="J27" s="20">
        <v>516.1395</v>
      </c>
      <c r="K27" s="20">
        <v>4.188</v>
      </c>
      <c r="L27" s="20">
        <v>0.027</v>
      </c>
      <c r="M27" s="20">
        <v>137.433</v>
      </c>
      <c r="N27" s="20">
        <v>22.143</v>
      </c>
      <c r="O27" s="20">
        <v>126.514</v>
      </c>
      <c r="P27" s="20">
        <v>23.528</v>
      </c>
      <c r="Q27" s="20">
        <v>86.975</v>
      </c>
      <c r="R27" s="27">
        <v>25.625</v>
      </c>
      <c r="S27" s="27">
        <v>136.916</v>
      </c>
      <c r="T27" s="24">
        <v>21.999</v>
      </c>
      <c r="U27" s="24">
        <v>126.039</v>
      </c>
      <c r="V27" s="24">
        <v>23.481</v>
      </c>
      <c r="W27" s="24">
        <v>86.158</v>
      </c>
      <c r="X27" s="24">
        <v>25.28</v>
      </c>
      <c r="Y27" s="24">
        <v>137.019</v>
      </c>
      <c r="Z27" s="24">
        <v>21.901</v>
      </c>
      <c r="AA27" s="24">
        <v>126.128</v>
      </c>
      <c r="AB27" s="24">
        <v>23.451</v>
      </c>
      <c r="AC27" s="24">
        <v>86.295</v>
      </c>
      <c r="AD27" s="24">
        <v>25.423</v>
      </c>
      <c r="AE27" s="21">
        <f t="shared" ref="AE27:AF27" si="76">(M27+S27+Y27)/3</f>
        <v>137.1226667</v>
      </c>
      <c r="AF27" s="21">
        <f t="shared" si="76"/>
        <v>22.01433333</v>
      </c>
      <c r="AG27" s="21">
        <f t="shared" ref="AG27:AH27" si="77">(AA27+U27+O27)/3</f>
        <v>126.227</v>
      </c>
      <c r="AH27" s="21">
        <f t="shared" si="77"/>
        <v>23.48666667</v>
      </c>
      <c r="AI27" s="21">
        <f t="shared" ref="AI27:AJ27" si="78">(Q27+W27+AC27)/3</f>
        <v>86.476</v>
      </c>
      <c r="AJ27" s="21">
        <f t="shared" si="78"/>
        <v>25.44266667</v>
      </c>
    </row>
    <row r="28">
      <c r="A28" s="13" t="s">
        <v>19</v>
      </c>
      <c r="B28" s="13" t="s">
        <v>20</v>
      </c>
      <c r="C28" s="14">
        <v>45441.0</v>
      </c>
      <c r="D28" s="15" t="s">
        <v>25</v>
      </c>
      <c r="E28" s="16">
        <v>1.3</v>
      </c>
      <c r="F28" s="15" t="s">
        <v>22</v>
      </c>
      <c r="G28" s="17">
        <v>1.0</v>
      </c>
      <c r="H28" s="18" t="s">
        <v>23</v>
      </c>
      <c r="I28" s="19">
        <v>16.412</v>
      </c>
      <c r="J28" s="20">
        <v>501.1437</v>
      </c>
      <c r="K28" s="20">
        <v>4.028</v>
      </c>
      <c r="L28" s="20">
        <v>0.043</v>
      </c>
      <c r="M28" s="20">
        <v>139.193</v>
      </c>
      <c r="N28" s="20">
        <v>21.676</v>
      </c>
      <c r="O28" s="20">
        <v>128.736</v>
      </c>
      <c r="P28" s="20">
        <v>23.02</v>
      </c>
      <c r="Q28" s="20">
        <v>85.795</v>
      </c>
      <c r="R28" s="27">
        <v>27.786</v>
      </c>
      <c r="S28" s="27">
        <v>139.019</v>
      </c>
      <c r="T28" s="24">
        <v>21.741</v>
      </c>
      <c r="U28" s="24">
        <v>128.574</v>
      </c>
      <c r="V28" s="24">
        <v>23.06</v>
      </c>
      <c r="W28" s="24">
        <v>85.64</v>
      </c>
      <c r="X28" s="24">
        <v>27.57</v>
      </c>
      <c r="Y28" s="24">
        <v>138.527</v>
      </c>
      <c r="Z28" s="24">
        <v>21.348</v>
      </c>
      <c r="AA28" s="24">
        <v>128.034</v>
      </c>
      <c r="AB28" s="24">
        <v>22.68</v>
      </c>
      <c r="AC28" s="24">
        <v>84.635</v>
      </c>
      <c r="AD28" s="24">
        <v>26.655</v>
      </c>
      <c r="AE28" s="21">
        <f t="shared" ref="AE28:AF28" si="79">(M28+S28+Y28)/3</f>
        <v>138.913</v>
      </c>
      <c r="AF28" s="21">
        <f t="shared" si="79"/>
        <v>21.58833333</v>
      </c>
      <c r="AG28" s="21">
        <f t="shared" ref="AG28:AH28" si="80">(AA28+U28+O28)/3</f>
        <v>128.448</v>
      </c>
      <c r="AH28" s="21">
        <f t="shared" si="80"/>
        <v>22.92</v>
      </c>
      <c r="AI28" s="21">
        <f t="shared" ref="AI28:AJ28" si="81">(Q28+W28+AC28)/3</f>
        <v>85.35666667</v>
      </c>
      <c r="AJ28" s="21">
        <f t="shared" si="81"/>
        <v>27.337</v>
      </c>
    </row>
    <row r="29">
      <c r="A29" s="13" t="s">
        <v>19</v>
      </c>
      <c r="B29" s="13" t="s">
        <v>20</v>
      </c>
      <c r="C29" s="14">
        <v>45441.0</v>
      </c>
      <c r="D29" s="15" t="s">
        <v>25</v>
      </c>
      <c r="E29" s="16">
        <v>1.4</v>
      </c>
      <c r="F29" s="15" t="s">
        <v>22</v>
      </c>
      <c r="G29" s="17">
        <v>1.0</v>
      </c>
      <c r="H29" s="18" t="s">
        <v>23</v>
      </c>
      <c r="I29" s="19">
        <v>19.889</v>
      </c>
      <c r="J29" s="20">
        <v>495.0</v>
      </c>
      <c r="K29" s="20">
        <v>4.764</v>
      </c>
      <c r="L29" s="20">
        <v>0.028</v>
      </c>
      <c r="M29" s="20">
        <v>138.194</v>
      </c>
      <c r="N29" s="20">
        <v>21.972</v>
      </c>
      <c r="O29" s="20">
        <v>126.021</v>
      </c>
      <c r="P29" s="20">
        <v>24.068</v>
      </c>
      <c r="Q29" s="20">
        <v>82.162</v>
      </c>
      <c r="R29" s="27">
        <v>26.955</v>
      </c>
      <c r="S29" s="27">
        <v>138.174</v>
      </c>
      <c r="T29" s="24">
        <v>21.847</v>
      </c>
      <c r="U29" s="24">
        <v>125.951</v>
      </c>
      <c r="V29" s="24">
        <v>23.941</v>
      </c>
      <c r="W29" s="24">
        <v>81.723</v>
      </c>
      <c r="X29" s="24">
        <v>26.66</v>
      </c>
      <c r="Y29" s="24">
        <v>137.846</v>
      </c>
      <c r="Z29" s="24">
        <v>21.499</v>
      </c>
      <c r="AA29" s="24">
        <v>125.581</v>
      </c>
      <c r="AB29" s="24">
        <v>23.549</v>
      </c>
      <c r="AC29" s="24">
        <v>81.207</v>
      </c>
      <c r="AD29" s="24">
        <v>25.815</v>
      </c>
      <c r="AE29" s="21">
        <f t="shared" ref="AE29:AF29" si="82">(M29+S29+Y29)/3</f>
        <v>138.0713333</v>
      </c>
      <c r="AF29" s="21">
        <f t="shared" si="82"/>
        <v>21.77266667</v>
      </c>
      <c r="AG29" s="21">
        <f t="shared" ref="AG29:AH29" si="83">(AA29+U29+O29)/3</f>
        <v>125.851</v>
      </c>
      <c r="AH29" s="21">
        <f t="shared" si="83"/>
        <v>23.85266667</v>
      </c>
      <c r="AI29" s="21">
        <f t="shared" ref="AI29:AJ29" si="84">(Q29+W29+AC29)/3</f>
        <v>81.69733333</v>
      </c>
      <c r="AJ29" s="21">
        <f t="shared" si="84"/>
        <v>26.47666667</v>
      </c>
    </row>
    <row r="30">
      <c r="A30" s="13" t="s">
        <v>19</v>
      </c>
      <c r="B30" s="13" t="s">
        <v>20</v>
      </c>
      <c r="C30" s="14">
        <v>45441.0</v>
      </c>
      <c r="D30" s="15" t="s">
        <v>25</v>
      </c>
      <c r="E30" s="16">
        <v>2.1</v>
      </c>
      <c r="F30" s="15" t="s">
        <v>22</v>
      </c>
      <c r="G30" s="17">
        <v>1.0</v>
      </c>
      <c r="H30" s="18" t="s">
        <v>23</v>
      </c>
      <c r="I30" s="19">
        <v>19.316</v>
      </c>
      <c r="J30" s="20">
        <v>480.0</v>
      </c>
      <c r="K30" s="20">
        <v>5.061</v>
      </c>
      <c r="L30" s="20">
        <v>0.004</v>
      </c>
      <c r="M30" s="20">
        <v>145.284</v>
      </c>
      <c r="N30" s="20">
        <v>21.058</v>
      </c>
      <c r="O30" s="20">
        <v>129.526</v>
      </c>
      <c r="P30" s="20">
        <v>24.572</v>
      </c>
      <c r="Q30" s="20">
        <v>89.533</v>
      </c>
      <c r="R30" s="27">
        <v>27.745</v>
      </c>
      <c r="S30" s="27">
        <v>145.458</v>
      </c>
      <c r="T30" s="24">
        <v>20.86</v>
      </c>
      <c r="U30" s="24">
        <v>129.6</v>
      </c>
      <c r="V30" s="24">
        <v>24.534</v>
      </c>
      <c r="W30" s="24">
        <v>89.384</v>
      </c>
      <c r="X30" s="24">
        <v>27.936</v>
      </c>
      <c r="Y30" s="24">
        <v>145.34</v>
      </c>
      <c r="Z30" s="24">
        <v>20.853</v>
      </c>
      <c r="AA30" s="24">
        <v>129.507</v>
      </c>
      <c r="AB30" s="24">
        <v>24.475</v>
      </c>
      <c r="AC30" s="24">
        <v>89.339</v>
      </c>
      <c r="AD30" s="24">
        <v>27.754</v>
      </c>
      <c r="AE30" s="21">
        <f t="shared" ref="AE30:AF30" si="85">(M30+S30+Y30)/3</f>
        <v>145.3606667</v>
      </c>
      <c r="AF30" s="21">
        <f t="shared" si="85"/>
        <v>20.92366667</v>
      </c>
      <c r="AG30" s="21">
        <f t="shared" ref="AG30:AH30" si="86">(AA30+U30+O30)/3</f>
        <v>129.5443333</v>
      </c>
      <c r="AH30" s="21">
        <f t="shared" si="86"/>
        <v>24.527</v>
      </c>
      <c r="AI30" s="21">
        <f t="shared" ref="AI30:AJ30" si="87">(Q30+W30+AC30)/3</f>
        <v>89.41866667</v>
      </c>
      <c r="AJ30" s="21">
        <f t="shared" si="87"/>
        <v>27.81166667</v>
      </c>
    </row>
    <row r="31">
      <c r="A31" s="13" t="s">
        <v>19</v>
      </c>
      <c r="B31" s="13" t="s">
        <v>20</v>
      </c>
      <c r="C31" s="14">
        <v>45441.0</v>
      </c>
      <c r="D31" s="15" t="s">
        <v>25</v>
      </c>
      <c r="E31" s="16">
        <v>2.2</v>
      </c>
      <c r="F31" s="15" t="s">
        <v>22</v>
      </c>
      <c r="G31" s="17">
        <v>1.0</v>
      </c>
      <c r="H31" s="18" t="s">
        <v>23</v>
      </c>
      <c r="I31" s="19">
        <v>22.84</v>
      </c>
      <c r="J31" s="20">
        <v>477.1509</v>
      </c>
      <c r="K31" s="20">
        <v>6.442</v>
      </c>
      <c r="L31" s="20">
        <v>0.058</v>
      </c>
      <c r="M31" s="20">
        <v>150.678</v>
      </c>
      <c r="N31" s="20">
        <v>20.694</v>
      </c>
      <c r="O31" s="20">
        <v>135.733</v>
      </c>
      <c r="P31" s="20">
        <v>22.855</v>
      </c>
      <c r="Q31" s="20">
        <v>98.743</v>
      </c>
      <c r="R31" s="27">
        <v>25.343</v>
      </c>
      <c r="S31" s="27">
        <v>150.827</v>
      </c>
      <c r="T31" s="24">
        <v>20.663</v>
      </c>
      <c r="U31" s="24">
        <v>135.887</v>
      </c>
      <c r="V31" s="24">
        <v>22.884</v>
      </c>
      <c r="W31" s="24">
        <v>98.883</v>
      </c>
      <c r="X31" s="24">
        <v>25.538</v>
      </c>
      <c r="Y31" s="24">
        <v>150.756</v>
      </c>
      <c r="Z31" s="24">
        <v>20.567</v>
      </c>
      <c r="AA31" s="24">
        <v>135.71</v>
      </c>
      <c r="AB31" s="24">
        <v>22.768</v>
      </c>
      <c r="AC31" s="24">
        <v>98.632</v>
      </c>
      <c r="AD31" s="24">
        <v>25.324</v>
      </c>
      <c r="AE31" s="21">
        <f t="shared" ref="AE31:AF31" si="88">(M31+S31+Y31)/3</f>
        <v>150.7536667</v>
      </c>
      <c r="AF31" s="21">
        <f t="shared" si="88"/>
        <v>20.64133333</v>
      </c>
      <c r="AG31" s="21">
        <f t="shared" ref="AG31:AH31" si="89">(AA31+U31+O31)/3</f>
        <v>135.7766667</v>
      </c>
      <c r="AH31" s="21">
        <f t="shared" si="89"/>
        <v>22.83566667</v>
      </c>
      <c r="AI31" s="21">
        <f t="shared" ref="AI31:AJ31" si="90">(Q31+W31+AC31)/3</f>
        <v>98.75266667</v>
      </c>
      <c r="AJ31" s="21">
        <f t="shared" si="90"/>
        <v>25.40166667</v>
      </c>
    </row>
    <row r="32">
      <c r="A32" s="13" t="s">
        <v>19</v>
      </c>
      <c r="B32" s="13" t="s">
        <v>20</v>
      </c>
      <c r="C32" s="14">
        <v>45441.0</v>
      </c>
      <c r="D32" s="15" t="s">
        <v>25</v>
      </c>
      <c r="E32" s="16">
        <v>2.3</v>
      </c>
      <c r="F32" s="15" t="s">
        <v>22</v>
      </c>
      <c r="G32" s="17">
        <v>1.0</v>
      </c>
      <c r="H32" s="18" t="s">
        <v>23</v>
      </c>
      <c r="I32" s="19">
        <v>16.071</v>
      </c>
      <c r="J32" s="20">
        <v>528.0341</v>
      </c>
      <c r="K32" s="20">
        <v>5.454</v>
      </c>
      <c r="L32" s="20">
        <v>0.054</v>
      </c>
      <c r="M32" s="20">
        <v>144.669</v>
      </c>
      <c r="N32" s="20">
        <v>21.441</v>
      </c>
      <c r="O32" s="20">
        <v>130.677</v>
      </c>
      <c r="P32" s="20">
        <v>23.624</v>
      </c>
      <c r="Q32" s="20">
        <v>89.447</v>
      </c>
      <c r="R32" s="27">
        <v>26.201</v>
      </c>
      <c r="S32" s="27">
        <v>144.58</v>
      </c>
      <c r="T32" s="24">
        <v>21.375</v>
      </c>
      <c r="U32" s="24">
        <v>130.585</v>
      </c>
      <c r="V32" s="24">
        <v>23.555</v>
      </c>
      <c r="W32" s="24">
        <v>89.182</v>
      </c>
      <c r="X32" s="24">
        <v>25.916</v>
      </c>
      <c r="Y32" s="24">
        <v>144.602</v>
      </c>
      <c r="Z32" s="24">
        <v>21.207</v>
      </c>
      <c r="AA32" s="24">
        <v>130.545</v>
      </c>
      <c r="AB32" s="24">
        <v>23.408</v>
      </c>
      <c r="AC32" s="24">
        <v>89.064</v>
      </c>
      <c r="AD32" s="24">
        <v>25.834</v>
      </c>
      <c r="AE32" s="21">
        <f t="shared" ref="AE32:AF32" si="91">(M32+S32+Y32)/3</f>
        <v>144.617</v>
      </c>
      <c r="AF32" s="21">
        <f t="shared" si="91"/>
        <v>21.341</v>
      </c>
      <c r="AG32" s="21">
        <f t="shared" ref="AG32:AH32" si="92">(AA32+U32+O32)/3</f>
        <v>130.6023333</v>
      </c>
      <c r="AH32" s="21">
        <f t="shared" si="92"/>
        <v>23.529</v>
      </c>
      <c r="AI32" s="21">
        <f t="shared" ref="AI32:AJ32" si="93">(Q32+W32+AC32)/3</f>
        <v>89.231</v>
      </c>
      <c r="AJ32" s="21">
        <f t="shared" si="93"/>
        <v>25.98366667</v>
      </c>
    </row>
    <row r="33">
      <c r="A33" s="13" t="s">
        <v>19</v>
      </c>
      <c r="B33" s="13" t="s">
        <v>20</v>
      </c>
      <c r="C33" s="14">
        <v>45441.0</v>
      </c>
      <c r="D33" s="15" t="s">
        <v>25</v>
      </c>
      <c r="E33" s="16">
        <v>2.4</v>
      </c>
      <c r="F33" s="15" t="s">
        <v>22</v>
      </c>
      <c r="G33" s="17">
        <v>1.0</v>
      </c>
      <c r="H33" s="18" t="s">
        <v>23</v>
      </c>
      <c r="I33" s="19">
        <v>18.116</v>
      </c>
      <c r="J33" s="20">
        <v>507.0355</v>
      </c>
      <c r="K33" s="20">
        <v>3.653</v>
      </c>
      <c r="L33" s="20">
        <v>0.074</v>
      </c>
      <c r="M33" s="20">
        <v>145.822</v>
      </c>
      <c r="N33" s="20">
        <v>19.057</v>
      </c>
      <c r="O33" s="20">
        <v>132.039</v>
      </c>
      <c r="P33" s="20">
        <v>22.029</v>
      </c>
      <c r="Q33" s="20">
        <v>89.822</v>
      </c>
      <c r="R33" s="27">
        <v>26.663</v>
      </c>
      <c r="S33" s="27">
        <v>145.768</v>
      </c>
      <c r="T33" s="24">
        <v>18.973</v>
      </c>
      <c r="U33" s="24">
        <v>131.797</v>
      </c>
      <c r="V33" s="24">
        <v>21.865</v>
      </c>
      <c r="W33" s="24">
        <v>89.29</v>
      </c>
      <c r="X33" s="24">
        <v>26.269</v>
      </c>
      <c r="Y33" s="24">
        <v>145.767</v>
      </c>
      <c r="Z33" s="24">
        <v>18.971</v>
      </c>
      <c r="AA33" s="24">
        <v>131.83</v>
      </c>
      <c r="AB33" s="24">
        <v>21.889</v>
      </c>
      <c r="AC33" s="24">
        <v>89.397</v>
      </c>
      <c r="AD33" s="24">
        <v>26.417</v>
      </c>
      <c r="AE33" s="21">
        <f t="shared" ref="AE33:AF33" si="94">(M33+S33+Y33)/3</f>
        <v>145.7856667</v>
      </c>
      <c r="AF33" s="21">
        <f t="shared" si="94"/>
        <v>19.00033333</v>
      </c>
      <c r="AG33" s="21">
        <f t="shared" ref="AG33:AH33" si="95">(AA33+U33+O33)/3</f>
        <v>131.8886667</v>
      </c>
      <c r="AH33" s="21">
        <f t="shared" si="95"/>
        <v>21.92766667</v>
      </c>
      <c r="AI33" s="21">
        <f t="shared" ref="AI33:AJ33" si="96">(Q33+W33+AC33)/3</f>
        <v>89.503</v>
      </c>
      <c r="AJ33" s="21">
        <f t="shared" si="96"/>
        <v>26.44966667</v>
      </c>
    </row>
    <row r="34">
      <c r="A34" s="13" t="s">
        <v>19</v>
      </c>
      <c r="B34" s="13" t="s">
        <v>20</v>
      </c>
      <c r="C34" s="14">
        <v>45441.0</v>
      </c>
      <c r="D34" s="15" t="s">
        <v>25</v>
      </c>
      <c r="E34" s="16">
        <v>3.1</v>
      </c>
      <c r="F34" s="15" t="s">
        <v>22</v>
      </c>
      <c r="G34" s="17">
        <v>1.0</v>
      </c>
      <c r="H34" s="18" t="s">
        <v>23</v>
      </c>
      <c r="I34" s="19">
        <v>18.12</v>
      </c>
      <c r="J34" s="20">
        <v>486.0833</v>
      </c>
      <c r="K34" s="20">
        <v>3.739</v>
      </c>
      <c r="L34" s="20">
        <v>0.102</v>
      </c>
      <c r="M34" s="20">
        <v>143.854</v>
      </c>
      <c r="N34" s="20">
        <v>20.233</v>
      </c>
      <c r="O34" s="20">
        <v>128.993</v>
      </c>
      <c r="P34" s="20">
        <v>22.636</v>
      </c>
      <c r="Q34" s="20">
        <v>86.925</v>
      </c>
      <c r="R34" s="27">
        <v>27.262</v>
      </c>
      <c r="S34" s="27">
        <v>143.388</v>
      </c>
      <c r="T34" s="24">
        <v>20.191</v>
      </c>
      <c r="U34" s="24">
        <v>128.356</v>
      </c>
      <c r="V34" s="24">
        <v>22.489</v>
      </c>
      <c r="W34" s="24">
        <v>85.72</v>
      </c>
      <c r="X34" s="24">
        <v>26.484</v>
      </c>
      <c r="Y34" s="24">
        <v>143.084</v>
      </c>
      <c r="Z34" s="24">
        <v>20.169</v>
      </c>
      <c r="AA34" s="24">
        <v>127.986</v>
      </c>
      <c r="AB34" s="24">
        <v>22.403</v>
      </c>
      <c r="AC34" s="24">
        <v>85.227</v>
      </c>
      <c r="AD34" s="24">
        <v>26.226</v>
      </c>
      <c r="AE34" s="21">
        <f t="shared" ref="AE34:AF34" si="97">(M34+S34+Y34)/3</f>
        <v>143.442</v>
      </c>
      <c r="AF34" s="21">
        <f t="shared" si="97"/>
        <v>20.19766667</v>
      </c>
      <c r="AG34" s="21">
        <f t="shared" ref="AG34:AH34" si="98">(AA34+U34+O34)/3</f>
        <v>128.445</v>
      </c>
      <c r="AH34" s="21">
        <f t="shared" si="98"/>
        <v>22.50933333</v>
      </c>
      <c r="AI34" s="21">
        <f t="shared" ref="AI34:AJ34" si="99">(Q34+W34+AC34)/3</f>
        <v>85.95733333</v>
      </c>
      <c r="AJ34" s="21">
        <f t="shared" si="99"/>
        <v>26.65733333</v>
      </c>
    </row>
    <row r="35">
      <c r="A35" s="13" t="s">
        <v>19</v>
      </c>
      <c r="B35" s="13" t="s">
        <v>20</v>
      </c>
      <c r="C35" s="14">
        <v>45441.0</v>
      </c>
      <c r="D35" s="15" t="s">
        <v>25</v>
      </c>
      <c r="E35" s="16">
        <v>3.2</v>
      </c>
      <c r="F35" s="15" t="s">
        <v>22</v>
      </c>
      <c r="G35" s="17">
        <v>1.0</v>
      </c>
      <c r="H35" s="18" t="s">
        <v>23</v>
      </c>
      <c r="I35" s="19">
        <v>18.251</v>
      </c>
      <c r="J35" s="20">
        <v>516.0785</v>
      </c>
      <c r="K35" s="20">
        <v>3.892</v>
      </c>
      <c r="L35" s="20">
        <v>0.76</v>
      </c>
      <c r="M35" s="20">
        <v>144.521</v>
      </c>
      <c r="N35" s="20">
        <v>21.083</v>
      </c>
      <c r="O35" s="20">
        <v>131.042</v>
      </c>
      <c r="P35" s="20">
        <v>24.487</v>
      </c>
      <c r="Q35" s="20">
        <v>89.317</v>
      </c>
      <c r="R35" s="27">
        <v>28.937</v>
      </c>
      <c r="S35" s="27">
        <v>144.356</v>
      </c>
      <c r="T35" s="24">
        <v>21.191</v>
      </c>
      <c r="U35" s="24">
        <v>130.768</v>
      </c>
      <c r="V35" s="24">
        <v>24.573</v>
      </c>
      <c r="W35" s="24">
        <v>88.965</v>
      </c>
      <c r="X35" s="24">
        <v>29.111</v>
      </c>
      <c r="Y35" s="24">
        <v>144.358</v>
      </c>
      <c r="Z35" s="24">
        <v>20.979</v>
      </c>
      <c r="AA35" s="24">
        <v>130.78</v>
      </c>
      <c r="AB35" s="24">
        <v>24.267</v>
      </c>
      <c r="AC35" s="24">
        <v>89.023</v>
      </c>
      <c r="AD35" s="24">
        <v>28.54</v>
      </c>
      <c r="AE35" s="21">
        <f t="shared" ref="AE35:AF35" si="100">(M35+S35+Y35)/3</f>
        <v>144.4116667</v>
      </c>
      <c r="AF35" s="21">
        <f t="shared" si="100"/>
        <v>21.08433333</v>
      </c>
      <c r="AG35" s="21">
        <f t="shared" ref="AG35:AH35" si="101">(AA35+U35+O35)/3</f>
        <v>130.8633333</v>
      </c>
      <c r="AH35" s="21">
        <f t="shared" si="101"/>
        <v>24.44233333</v>
      </c>
      <c r="AI35" s="21">
        <f t="shared" ref="AI35:AJ35" si="102">(Q35+W35+AC35)/3</f>
        <v>89.10166667</v>
      </c>
      <c r="AJ35" s="21">
        <f t="shared" si="102"/>
        <v>28.86266667</v>
      </c>
    </row>
    <row r="36">
      <c r="A36" s="13" t="s">
        <v>19</v>
      </c>
      <c r="B36" s="13" t="s">
        <v>20</v>
      </c>
      <c r="C36" s="14">
        <v>45441.0</v>
      </c>
      <c r="D36" s="15" t="s">
        <v>25</v>
      </c>
      <c r="E36" s="16">
        <v>3.3</v>
      </c>
      <c r="F36" s="15" t="s">
        <v>22</v>
      </c>
      <c r="G36" s="17">
        <v>1.0</v>
      </c>
      <c r="H36" s="18" t="s">
        <v>23</v>
      </c>
      <c r="I36" s="19">
        <v>15.298</v>
      </c>
      <c r="J36" s="20">
        <v>513.0</v>
      </c>
      <c r="K36" s="20">
        <v>4.404</v>
      </c>
      <c r="L36" s="20">
        <v>0.055</v>
      </c>
      <c r="M36" s="20">
        <v>145.571</v>
      </c>
      <c r="N36" s="20">
        <v>21.707</v>
      </c>
      <c r="O36" s="20">
        <v>131.485</v>
      </c>
      <c r="P36" s="20">
        <v>23.492</v>
      </c>
      <c r="Q36" s="20">
        <v>91.727</v>
      </c>
      <c r="R36" s="27">
        <v>26.692</v>
      </c>
      <c r="S36" s="27">
        <v>145.148</v>
      </c>
      <c r="T36" s="24">
        <v>21.516</v>
      </c>
      <c r="U36" s="24">
        <v>130.832</v>
      </c>
      <c r="V36" s="24">
        <v>23.158</v>
      </c>
      <c r="W36" s="24">
        <v>90.477</v>
      </c>
      <c r="X36" s="24">
        <v>25.58</v>
      </c>
      <c r="Y36" s="24">
        <v>145.2</v>
      </c>
      <c r="Z36" s="24">
        <v>21.596</v>
      </c>
      <c r="AA36" s="24">
        <v>130.961</v>
      </c>
      <c r="AB36" s="24">
        <v>23.285</v>
      </c>
      <c r="AC36" s="24">
        <v>90.753</v>
      </c>
      <c r="AD36" s="24">
        <v>25.917</v>
      </c>
      <c r="AE36" s="21">
        <f t="shared" ref="AE36:AF36" si="103">(M36+S36+Y36)/3</f>
        <v>145.3063333</v>
      </c>
      <c r="AF36" s="21">
        <f t="shared" si="103"/>
        <v>21.60633333</v>
      </c>
      <c r="AG36" s="21">
        <f t="shared" ref="AG36:AH36" si="104">(AA36+U36+O36)/3</f>
        <v>131.0926667</v>
      </c>
      <c r="AH36" s="21">
        <f t="shared" si="104"/>
        <v>23.31166667</v>
      </c>
      <c r="AI36" s="21">
        <f t="shared" ref="AI36:AJ36" si="105">(Q36+W36+AC36)/3</f>
        <v>90.98566667</v>
      </c>
      <c r="AJ36" s="21">
        <f t="shared" si="105"/>
        <v>26.063</v>
      </c>
    </row>
    <row r="37">
      <c r="A37" s="13" t="s">
        <v>19</v>
      </c>
      <c r="B37" s="13" t="s">
        <v>20</v>
      </c>
      <c r="C37" s="14">
        <v>45441.0</v>
      </c>
      <c r="D37" s="15" t="s">
        <v>25</v>
      </c>
      <c r="E37" s="16">
        <v>3.4</v>
      </c>
      <c r="F37" s="15" t="s">
        <v>22</v>
      </c>
      <c r="G37" s="17">
        <v>1.0</v>
      </c>
      <c r="H37" s="18" t="s">
        <v>23</v>
      </c>
      <c r="I37" s="19">
        <v>17.652</v>
      </c>
      <c r="J37" s="20">
        <v>477.0</v>
      </c>
      <c r="K37" s="20">
        <v>4.84</v>
      </c>
      <c r="L37" s="20">
        <v>0.121</v>
      </c>
      <c r="M37" s="20">
        <v>147.986</v>
      </c>
      <c r="N37" s="20">
        <v>19.216</v>
      </c>
      <c r="O37" s="20">
        <v>133.599</v>
      </c>
      <c r="P37" s="20">
        <v>22.015</v>
      </c>
      <c r="Q37" s="20">
        <v>93.947</v>
      </c>
      <c r="R37" s="27">
        <v>26.573</v>
      </c>
      <c r="S37" s="27">
        <v>147.69</v>
      </c>
      <c r="T37" s="24">
        <v>19.329</v>
      </c>
      <c r="U37" s="24">
        <v>132.982</v>
      </c>
      <c r="V37" s="24">
        <v>21.862</v>
      </c>
      <c r="W37" s="24">
        <v>92.834</v>
      </c>
      <c r="X37" s="24">
        <v>25.888</v>
      </c>
      <c r="Y37" s="24">
        <v>147.969</v>
      </c>
      <c r="Z37" s="24">
        <v>19.343</v>
      </c>
      <c r="AA37" s="24">
        <v>133.42</v>
      </c>
      <c r="AB37" s="24">
        <v>21.997</v>
      </c>
      <c r="AC37" s="24">
        <v>93.606</v>
      </c>
      <c r="AD37" s="24">
        <v>26.383</v>
      </c>
      <c r="AE37" s="21">
        <f t="shared" ref="AE37:AF37" si="106">(M37+S37+Y37)/3</f>
        <v>147.8816667</v>
      </c>
      <c r="AF37" s="21">
        <f t="shared" si="106"/>
        <v>19.296</v>
      </c>
      <c r="AG37" s="21">
        <f t="shared" ref="AG37:AH37" si="107">(AA37+U37+O37)/3</f>
        <v>133.3336667</v>
      </c>
      <c r="AH37" s="21">
        <f t="shared" si="107"/>
        <v>21.958</v>
      </c>
      <c r="AI37" s="21">
        <f t="shared" ref="AI37:AJ37" si="108">(Q37+W37+AC37)/3</f>
        <v>93.46233333</v>
      </c>
      <c r="AJ37" s="21">
        <f t="shared" si="108"/>
        <v>26.28133333</v>
      </c>
    </row>
    <row r="38">
      <c r="A38" s="13" t="s">
        <v>19</v>
      </c>
      <c r="B38" s="13" t="s">
        <v>20</v>
      </c>
      <c r="C38" s="14">
        <v>45460.0</v>
      </c>
      <c r="D38" s="15" t="s">
        <v>21</v>
      </c>
      <c r="E38" s="16">
        <v>1.1</v>
      </c>
      <c r="F38" s="15" t="s">
        <v>22</v>
      </c>
      <c r="G38" s="17">
        <v>1.0</v>
      </c>
      <c r="H38" s="18" t="s">
        <v>26</v>
      </c>
      <c r="I38" s="19">
        <v>22.835</v>
      </c>
      <c r="J38" s="20">
        <v>483.3353</v>
      </c>
      <c r="K38" s="20">
        <v>8.107</v>
      </c>
      <c r="L38" s="20">
        <v>0.123</v>
      </c>
      <c r="M38" s="20">
        <v>150.991</v>
      </c>
      <c r="N38" s="20">
        <v>25.147</v>
      </c>
      <c r="O38" s="20">
        <v>123.832</v>
      </c>
      <c r="P38" s="20">
        <v>29.034</v>
      </c>
      <c r="Q38" s="20">
        <v>74.647</v>
      </c>
      <c r="R38" s="27">
        <v>33.277</v>
      </c>
      <c r="S38" s="27">
        <v>151.068</v>
      </c>
      <c r="T38" s="24">
        <v>24.915</v>
      </c>
      <c r="U38" s="24">
        <v>123.667</v>
      </c>
      <c r="V38" s="24">
        <v>28.696</v>
      </c>
      <c r="W38" s="24">
        <v>74.204</v>
      </c>
      <c r="X38" s="24">
        <v>32.735</v>
      </c>
      <c r="Y38" s="24">
        <v>151.068</v>
      </c>
      <c r="Z38" s="24">
        <v>24.915</v>
      </c>
      <c r="AA38" s="24">
        <v>123.667</v>
      </c>
      <c r="AB38" s="24">
        <v>28.696</v>
      </c>
      <c r="AC38" s="24">
        <v>74.204</v>
      </c>
      <c r="AD38" s="24">
        <v>32.735</v>
      </c>
      <c r="AE38" s="21">
        <f t="shared" ref="AE38:AF38" si="109">(M38+S38+Y38)/3</f>
        <v>151.0423333</v>
      </c>
      <c r="AF38" s="21">
        <f t="shared" si="109"/>
        <v>24.99233333</v>
      </c>
      <c r="AG38" s="21">
        <f t="shared" ref="AG38:AH38" si="110">(AA38+U38+O38)/3</f>
        <v>123.722</v>
      </c>
      <c r="AH38" s="21">
        <f t="shared" si="110"/>
        <v>28.80866667</v>
      </c>
      <c r="AI38" s="21">
        <f t="shared" ref="AI38:AJ38" si="111">(Q38+W38+AC38)/3</f>
        <v>74.35166667</v>
      </c>
      <c r="AJ38" s="21">
        <f t="shared" si="111"/>
        <v>32.91566667</v>
      </c>
    </row>
    <row r="39">
      <c r="A39" s="13" t="s">
        <v>19</v>
      </c>
      <c r="B39" s="13" t="s">
        <v>20</v>
      </c>
      <c r="C39" s="14">
        <v>45460.0</v>
      </c>
      <c r="D39" s="15" t="s">
        <v>21</v>
      </c>
      <c r="E39" s="16">
        <v>1.2</v>
      </c>
      <c r="F39" s="15" t="s">
        <v>22</v>
      </c>
      <c r="G39" s="17">
        <v>1.0</v>
      </c>
      <c r="H39" s="18" t="s">
        <v>26</v>
      </c>
      <c r="I39" s="19">
        <v>22.313</v>
      </c>
      <c r="J39" s="20">
        <v>489.0092</v>
      </c>
      <c r="K39" s="20">
        <v>7.218</v>
      </c>
      <c r="L39" s="20">
        <v>0.091</v>
      </c>
      <c r="M39" s="20">
        <v>154.165</v>
      </c>
      <c r="N39" s="20">
        <v>23.486</v>
      </c>
      <c r="O39" s="20">
        <v>126.256</v>
      </c>
      <c r="P39" s="20">
        <v>26.993</v>
      </c>
      <c r="Q39" s="20">
        <v>71.761</v>
      </c>
      <c r="R39" s="27">
        <v>30.11</v>
      </c>
      <c r="S39" s="27">
        <v>153.417</v>
      </c>
      <c r="T39" s="24">
        <v>23.918</v>
      </c>
      <c r="U39" s="24">
        <v>125.453</v>
      </c>
      <c r="V39" s="24">
        <v>26.888</v>
      </c>
      <c r="W39" s="24">
        <v>71.1</v>
      </c>
      <c r="X39" s="24">
        <v>29.478</v>
      </c>
      <c r="Y39" s="24">
        <v>153.442</v>
      </c>
      <c r="Z39" s="24">
        <v>23.513</v>
      </c>
      <c r="AA39" s="24">
        <v>125.57</v>
      </c>
      <c r="AB39" s="24">
        <v>26.834</v>
      </c>
      <c r="AC39" s="24">
        <v>71.28</v>
      </c>
      <c r="AD39" s="24">
        <v>29.651</v>
      </c>
      <c r="AE39" s="21">
        <f t="shared" ref="AE39:AF39" si="112">(M39+S39+Y39)/3</f>
        <v>153.6746667</v>
      </c>
      <c r="AF39" s="21">
        <f t="shared" si="112"/>
        <v>23.639</v>
      </c>
      <c r="AG39" s="21">
        <f t="shared" ref="AG39:AH39" si="113">(AA39+U39+O39)/3</f>
        <v>125.7596667</v>
      </c>
      <c r="AH39" s="21">
        <f t="shared" si="113"/>
        <v>26.905</v>
      </c>
      <c r="AI39" s="21">
        <f t="shared" ref="AI39:AJ39" si="114">(Q39+W39+AC39)/3</f>
        <v>71.38033333</v>
      </c>
      <c r="AJ39" s="21">
        <f t="shared" si="114"/>
        <v>29.74633333</v>
      </c>
    </row>
    <row r="40">
      <c r="A40" s="13" t="s">
        <v>19</v>
      </c>
      <c r="B40" s="13" t="s">
        <v>20</v>
      </c>
      <c r="C40" s="14">
        <v>45460.0</v>
      </c>
      <c r="D40" s="15" t="s">
        <v>21</v>
      </c>
      <c r="E40" s="16">
        <v>1.3</v>
      </c>
      <c r="F40" s="15" t="s">
        <v>22</v>
      </c>
      <c r="G40" s="17">
        <v>1.0</v>
      </c>
      <c r="H40" s="18" t="s">
        <v>26</v>
      </c>
      <c r="I40" s="19">
        <v>22.673</v>
      </c>
      <c r="J40" s="20">
        <v>684.4209</v>
      </c>
      <c r="K40" s="20">
        <v>7.824</v>
      </c>
      <c r="L40" s="20">
        <v>0.032</v>
      </c>
      <c r="M40" s="20">
        <v>156.633</v>
      </c>
      <c r="N40" s="20">
        <v>28.918</v>
      </c>
      <c r="O40" s="20">
        <v>132.801</v>
      </c>
      <c r="P40" s="20">
        <v>33.236</v>
      </c>
      <c r="Q40" s="20">
        <v>87.056</v>
      </c>
      <c r="R40" s="27">
        <v>37.686</v>
      </c>
      <c r="S40" s="27">
        <v>156.713</v>
      </c>
      <c r="T40" s="24">
        <v>29.678</v>
      </c>
      <c r="U40" s="24">
        <v>132.675</v>
      </c>
      <c r="V40" s="24">
        <v>33.873</v>
      </c>
      <c r="W40" s="24">
        <v>86.681</v>
      </c>
      <c r="X40" s="24">
        <v>28.019</v>
      </c>
      <c r="Y40" s="24">
        <v>156.831</v>
      </c>
      <c r="Z40" s="24">
        <v>29.544</v>
      </c>
      <c r="AA40" s="24">
        <v>132.926</v>
      </c>
      <c r="AB40" s="24">
        <v>34.008</v>
      </c>
      <c r="AC40" s="24">
        <v>87.087</v>
      </c>
      <c r="AD40" s="24">
        <v>38.217</v>
      </c>
      <c r="AE40" s="21">
        <f t="shared" ref="AE40:AF40" si="115">(M40+S40+Y40)/3</f>
        <v>156.7256667</v>
      </c>
      <c r="AF40" s="21">
        <f t="shared" si="115"/>
        <v>29.38</v>
      </c>
      <c r="AG40" s="21">
        <f t="shared" ref="AG40:AH40" si="116">(AA40+U40+O40)/3</f>
        <v>132.8006667</v>
      </c>
      <c r="AH40" s="21">
        <f t="shared" si="116"/>
        <v>33.70566667</v>
      </c>
      <c r="AI40" s="21">
        <f t="shared" ref="AI40:AJ40" si="117">(Q40+W40+AC40)/3</f>
        <v>86.94133333</v>
      </c>
      <c r="AJ40" s="21">
        <f t="shared" si="117"/>
        <v>34.64066667</v>
      </c>
    </row>
    <row r="41">
      <c r="A41" s="13" t="s">
        <v>19</v>
      </c>
      <c r="B41" s="13" t="s">
        <v>20</v>
      </c>
      <c r="C41" s="14">
        <v>45460.0</v>
      </c>
      <c r="D41" s="15" t="s">
        <v>21</v>
      </c>
      <c r="E41" s="16">
        <v>1.4</v>
      </c>
      <c r="F41" s="15" t="s">
        <v>22</v>
      </c>
      <c r="G41" s="17">
        <v>1.0</v>
      </c>
      <c r="H41" s="18" t="s">
        <v>26</v>
      </c>
      <c r="I41" s="19">
        <v>21.083</v>
      </c>
      <c r="J41" s="20">
        <v>507.02</v>
      </c>
      <c r="K41" s="20">
        <v>7.259</v>
      </c>
      <c r="L41" s="20">
        <v>0.036</v>
      </c>
      <c r="M41" s="20">
        <v>134.359</v>
      </c>
      <c r="N41" s="20">
        <v>31.619</v>
      </c>
      <c r="O41" s="20">
        <v>111.307</v>
      </c>
      <c r="P41" s="20">
        <v>32.219</v>
      </c>
      <c r="Q41" s="20">
        <v>79.388</v>
      </c>
      <c r="R41" s="27">
        <v>35.3</v>
      </c>
      <c r="S41" s="27">
        <v>134.282</v>
      </c>
      <c r="T41" s="24">
        <v>31.136</v>
      </c>
      <c r="U41" s="24">
        <v>111.106</v>
      </c>
      <c r="V41" s="24">
        <v>31.576</v>
      </c>
      <c r="W41" s="24">
        <v>79.084</v>
      </c>
      <c r="X41" s="24">
        <v>34.538</v>
      </c>
      <c r="Y41" s="24">
        <v>134.285</v>
      </c>
      <c r="Z41" s="24">
        <v>31.205</v>
      </c>
      <c r="AA41" s="24">
        <v>111.144</v>
      </c>
      <c r="AB41" s="24">
        <v>31.64</v>
      </c>
      <c r="AC41" s="24">
        <v>79.106</v>
      </c>
      <c r="AD41" s="24">
        <v>34.497</v>
      </c>
      <c r="AE41" s="21">
        <f t="shared" ref="AE41:AF41" si="118">(M41+S41+Y41)/3</f>
        <v>134.3086667</v>
      </c>
      <c r="AF41" s="21">
        <f t="shared" si="118"/>
        <v>31.32</v>
      </c>
      <c r="AG41" s="21">
        <f t="shared" ref="AG41:AH41" si="119">(AA41+U41+O41)/3</f>
        <v>111.1856667</v>
      </c>
      <c r="AH41" s="21">
        <f t="shared" si="119"/>
        <v>31.81166667</v>
      </c>
      <c r="AI41" s="21">
        <f t="shared" ref="AI41:AJ41" si="120">(Q41+W41+AC41)/3</f>
        <v>79.19266667</v>
      </c>
      <c r="AJ41" s="21">
        <f t="shared" si="120"/>
        <v>34.77833333</v>
      </c>
    </row>
    <row r="42">
      <c r="A42" s="13" t="s">
        <v>19</v>
      </c>
      <c r="B42" s="13" t="s">
        <v>20</v>
      </c>
      <c r="C42" s="14">
        <v>45460.0</v>
      </c>
      <c r="D42" s="15" t="s">
        <v>21</v>
      </c>
      <c r="E42" s="16">
        <v>2.1</v>
      </c>
      <c r="F42" s="15" t="s">
        <v>22</v>
      </c>
      <c r="G42" s="17">
        <v>1.0</v>
      </c>
      <c r="H42" s="18" t="s">
        <v>26</v>
      </c>
      <c r="I42" s="19">
        <v>15.254</v>
      </c>
      <c r="J42" s="20">
        <v>696.0259</v>
      </c>
      <c r="K42" s="20">
        <v>3.464</v>
      </c>
      <c r="L42" s="20">
        <v>0.035</v>
      </c>
      <c r="M42" s="20">
        <v>144.582</v>
      </c>
      <c r="N42" s="20">
        <v>24.931</v>
      </c>
      <c r="O42" s="20">
        <v>116.723</v>
      </c>
      <c r="P42" s="20">
        <v>27.979</v>
      </c>
      <c r="Q42" s="20">
        <v>68.814</v>
      </c>
      <c r="R42" s="27">
        <v>29.118</v>
      </c>
      <c r="S42" s="27">
        <v>144.726</v>
      </c>
      <c r="T42" s="24">
        <v>23.752</v>
      </c>
      <c r="U42" s="24">
        <v>116.589</v>
      </c>
      <c r="V42" s="24">
        <v>26.937</v>
      </c>
      <c r="W42" s="24">
        <v>68.376</v>
      </c>
      <c r="X42" s="24">
        <v>37.681</v>
      </c>
      <c r="Y42" s="24">
        <v>144.522</v>
      </c>
      <c r="Z42" s="24">
        <v>24.794</v>
      </c>
      <c r="AA42" s="24">
        <v>116.499</v>
      </c>
      <c r="AB42" s="24">
        <v>27.87</v>
      </c>
      <c r="AC42" s="24">
        <v>68.474</v>
      </c>
      <c r="AD42" s="24">
        <v>28.786</v>
      </c>
      <c r="AE42" s="21">
        <f t="shared" ref="AE42:AF42" si="121">(M42+S42+Y42)/3</f>
        <v>144.61</v>
      </c>
      <c r="AF42" s="21">
        <f t="shared" si="121"/>
        <v>24.49233333</v>
      </c>
      <c r="AG42" s="21">
        <f t="shared" ref="AG42:AH42" si="122">(AA42+U42+O42)/3</f>
        <v>116.6036667</v>
      </c>
      <c r="AH42" s="21">
        <f t="shared" si="122"/>
        <v>27.59533333</v>
      </c>
      <c r="AI42" s="21">
        <f t="shared" ref="AI42:AJ42" si="123">(Q42+W42+AC42)/3</f>
        <v>68.55466667</v>
      </c>
      <c r="AJ42" s="21">
        <f t="shared" si="123"/>
        <v>31.86166667</v>
      </c>
    </row>
    <row r="43">
      <c r="A43" s="13" t="s">
        <v>19</v>
      </c>
      <c r="B43" s="13" t="s">
        <v>20</v>
      </c>
      <c r="C43" s="14">
        <v>45460.0</v>
      </c>
      <c r="D43" s="15" t="s">
        <v>21</v>
      </c>
      <c r="E43" s="16">
        <v>2.2</v>
      </c>
      <c r="F43" s="15" t="s">
        <v>22</v>
      </c>
      <c r="G43" s="17">
        <v>1.0</v>
      </c>
      <c r="H43" s="18" t="s">
        <v>26</v>
      </c>
      <c r="I43" s="19">
        <v>15.821</v>
      </c>
      <c r="J43" s="20">
        <v>614.0521</v>
      </c>
      <c r="K43" s="20">
        <v>5.63</v>
      </c>
      <c r="L43" s="20">
        <v>0.024</v>
      </c>
      <c r="M43" s="20">
        <v>169.29</v>
      </c>
      <c r="N43" s="20">
        <v>24.222</v>
      </c>
      <c r="O43" s="20">
        <v>138.546</v>
      </c>
      <c r="P43" s="20">
        <v>28.05</v>
      </c>
      <c r="Q43" s="27">
        <v>85.73</v>
      </c>
      <c r="R43" s="27">
        <v>32.544</v>
      </c>
      <c r="S43" s="24">
        <v>169.468</v>
      </c>
      <c r="T43" s="24">
        <v>23.842</v>
      </c>
      <c r="U43" s="24">
        <v>138.795</v>
      </c>
      <c r="V43" s="24">
        <v>27.9</v>
      </c>
      <c r="W43" s="24">
        <v>86.045</v>
      </c>
      <c r="X43" s="24">
        <v>32.632</v>
      </c>
      <c r="Y43" s="24">
        <v>168.996</v>
      </c>
      <c r="Z43" s="24">
        <v>24.065</v>
      </c>
      <c r="AA43" s="24">
        <v>138.308</v>
      </c>
      <c r="AB43" s="24">
        <v>27.782</v>
      </c>
      <c r="AC43" s="24">
        <v>85.606</v>
      </c>
      <c r="AD43" s="24">
        <v>32.101</v>
      </c>
      <c r="AE43" s="21">
        <f t="shared" ref="AE43:AF43" si="124">(M43+S43+Y43)/3</f>
        <v>169.2513333</v>
      </c>
      <c r="AF43" s="21">
        <f t="shared" si="124"/>
        <v>24.043</v>
      </c>
      <c r="AG43" s="21">
        <f t="shared" ref="AG43:AH43" si="125">(AA43+U43+O43)/3</f>
        <v>138.5496667</v>
      </c>
      <c r="AH43" s="21">
        <f t="shared" si="125"/>
        <v>27.91066667</v>
      </c>
      <c r="AI43" s="21">
        <f t="shared" ref="AI43:AJ43" si="126">(Q43+W43+AC43)/3</f>
        <v>85.79366667</v>
      </c>
      <c r="AJ43" s="21">
        <f t="shared" si="126"/>
        <v>32.42566667</v>
      </c>
    </row>
    <row r="44">
      <c r="A44" s="13" t="s">
        <v>19</v>
      </c>
      <c r="B44" s="13" t="s">
        <v>20</v>
      </c>
      <c r="C44" s="14">
        <v>45460.0</v>
      </c>
      <c r="D44" s="15" t="s">
        <v>21</v>
      </c>
      <c r="E44" s="16">
        <v>2.3</v>
      </c>
      <c r="F44" s="15" t="s">
        <v>22</v>
      </c>
      <c r="G44" s="17">
        <v>1.0</v>
      </c>
      <c r="H44" s="18" t="s">
        <v>26</v>
      </c>
      <c r="I44" s="19">
        <v>17.434</v>
      </c>
      <c r="J44" s="20">
        <v>774.0026</v>
      </c>
      <c r="K44" s="20">
        <v>5.703</v>
      </c>
      <c r="L44" s="20">
        <v>0.056</v>
      </c>
      <c r="M44" s="20">
        <v>157.149</v>
      </c>
      <c r="N44" s="20">
        <v>33.458</v>
      </c>
      <c r="O44" s="20">
        <v>129.426</v>
      </c>
      <c r="P44" s="20">
        <v>36.031</v>
      </c>
      <c r="Q44" s="20">
        <v>72.504</v>
      </c>
      <c r="R44" s="27">
        <v>34.238</v>
      </c>
      <c r="S44" s="27">
        <v>157.37</v>
      </c>
      <c r="T44" s="24">
        <v>33.241</v>
      </c>
      <c r="U44" s="24">
        <v>129.559</v>
      </c>
      <c r="V44" s="24">
        <v>35.983</v>
      </c>
      <c r="W44" s="24">
        <v>72.495</v>
      </c>
      <c r="X44" s="24">
        <v>34.327</v>
      </c>
      <c r="Y44" s="24">
        <v>157.456</v>
      </c>
      <c r="Z44" s="24">
        <v>33.156</v>
      </c>
      <c r="AA44" s="24">
        <v>129.595</v>
      </c>
      <c r="AB44" s="24">
        <v>35.909</v>
      </c>
      <c r="AC44" s="24">
        <v>72.437</v>
      </c>
      <c r="AD44" s="24">
        <v>34.248</v>
      </c>
      <c r="AE44" s="21">
        <f t="shared" ref="AE44:AF44" si="127">(M44+S44+Y44)/3</f>
        <v>157.325</v>
      </c>
      <c r="AF44" s="21">
        <f t="shared" si="127"/>
        <v>33.285</v>
      </c>
      <c r="AG44" s="21">
        <f t="shared" ref="AG44:AH44" si="128">(AA44+U44+O44)/3</f>
        <v>129.5266667</v>
      </c>
      <c r="AH44" s="21">
        <f t="shared" si="128"/>
        <v>35.97433333</v>
      </c>
      <c r="AI44" s="21">
        <f t="shared" ref="AI44:AJ44" si="129">(Q44+W44+AC44)/3</f>
        <v>72.47866667</v>
      </c>
      <c r="AJ44" s="21">
        <f t="shared" si="129"/>
        <v>34.271</v>
      </c>
    </row>
    <row r="45">
      <c r="A45" s="13" t="s">
        <v>19</v>
      </c>
      <c r="B45" s="13" t="s">
        <v>20</v>
      </c>
      <c r="C45" s="14">
        <v>45460.0</v>
      </c>
      <c r="D45" s="15" t="s">
        <v>21</v>
      </c>
      <c r="E45" s="16">
        <v>2.4</v>
      </c>
      <c r="F45" s="15" t="s">
        <v>22</v>
      </c>
      <c r="G45" s="17">
        <v>1.0</v>
      </c>
      <c r="H45" s="18" t="s">
        <v>26</v>
      </c>
      <c r="I45" s="19">
        <v>16.8</v>
      </c>
      <c r="J45" s="20">
        <v>558.3406</v>
      </c>
      <c r="K45" s="20">
        <v>3.605</v>
      </c>
      <c r="L45" s="20">
        <v>0.056</v>
      </c>
      <c r="M45" s="20">
        <v>139.116</v>
      </c>
      <c r="N45" s="20">
        <v>21.461</v>
      </c>
      <c r="O45" s="20">
        <v>116.972</v>
      </c>
      <c r="P45" s="20">
        <v>24.074</v>
      </c>
      <c r="Q45" s="20">
        <v>83.366</v>
      </c>
      <c r="R45" s="27">
        <v>29.56</v>
      </c>
      <c r="S45" s="27">
        <v>139.017</v>
      </c>
      <c r="T45" s="24">
        <v>21.643</v>
      </c>
      <c r="U45" s="24">
        <v>117.151</v>
      </c>
      <c r="V45" s="24">
        <v>24.235</v>
      </c>
      <c r="W45" s="24">
        <v>83.944</v>
      </c>
      <c r="X45" s="24">
        <v>29.888</v>
      </c>
      <c r="Y45" s="24">
        <v>139.252</v>
      </c>
      <c r="Z45" s="24">
        <v>21.522</v>
      </c>
      <c r="AA45" s="24">
        <v>117.174</v>
      </c>
      <c r="AB45" s="24">
        <v>24.15</v>
      </c>
      <c r="AC45" s="24">
        <v>83.564</v>
      </c>
      <c r="AD45" s="24">
        <v>29.782</v>
      </c>
      <c r="AE45" s="21">
        <f t="shared" ref="AE45:AF45" si="130">(M45+S45+Y45)/3</f>
        <v>139.1283333</v>
      </c>
      <c r="AF45" s="21">
        <f t="shared" si="130"/>
        <v>21.542</v>
      </c>
      <c r="AG45" s="21">
        <f t="shared" ref="AG45:AH45" si="131">(AA45+U45+O45)/3</f>
        <v>117.099</v>
      </c>
      <c r="AH45" s="21">
        <f t="shared" si="131"/>
        <v>24.153</v>
      </c>
      <c r="AI45" s="21">
        <f t="shared" ref="AI45:AJ45" si="132">(Q45+W45+AC45)/3</f>
        <v>83.62466667</v>
      </c>
      <c r="AJ45" s="21">
        <f t="shared" si="132"/>
        <v>29.74333333</v>
      </c>
    </row>
    <row r="46">
      <c r="A46" s="13" t="s">
        <v>19</v>
      </c>
      <c r="B46" s="13" t="s">
        <v>20</v>
      </c>
      <c r="C46" s="14">
        <v>45460.0</v>
      </c>
      <c r="D46" s="15" t="s">
        <v>21</v>
      </c>
      <c r="E46" s="16">
        <v>3.1</v>
      </c>
      <c r="F46" s="15" t="s">
        <v>22</v>
      </c>
      <c r="G46" s="17">
        <v>1.0</v>
      </c>
      <c r="H46" s="18" t="s">
        <v>26</v>
      </c>
      <c r="I46" s="19">
        <v>20.596</v>
      </c>
      <c r="J46" s="20">
        <v>715.2342</v>
      </c>
      <c r="K46" s="20">
        <v>5.801</v>
      </c>
      <c r="L46" s="20">
        <v>0.05</v>
      </c>
      <c r="M46" s="20">
        <v>133.397</v>
      </c>
      <c r="N46" s="20">
        <v>29.374</v>
      </c>
      <c r="O46" s="20">
        <v>108.022</v>
      </c>
      <c r="P46" s="20">
        <v>30.464</v>
      </c>
      <c r="Q46" s="20">
        <v>62.552</v>
      </c>
      <c r="R46" s="27">
        <v>28.166</v>
      </c>
      <c r="S46" s="27">
        <v>133.568</v>
      </c>
      <c r="T46" s="24">
        <v>29.161</v>
      </c>
      <c r="U46" s="24">
        <v>108.238</v>
      </c>
      <c r="V46" s="24">
        <v>30.36</v>
      </c>
      <c r="W46" s="24">
        <v>62.776</v>
      </c>
      <c r="X46" s="24">
        <v>28.153</v>
      </c>
      <c r="Y46" s="24">
        <v>133.59</v>
      </c>
      <c r="Z46" s="24">
        <v>29.356</v>
      </c>
      <c r="AA46" s="24">
        <v>108.182</v>
      </c>
      <c r="AB46" s="24">
        <v>30.47</v>
      </c>
      <c r="AC46" s="24">
        <v>62.627</v>
      </c>
      <c r="AD46" s="24">
        <v>28.188</v>
      </c>
      <c r="AE46" s="21">
        <f t="shared" ref="AE46:AF46" si="133">(M46+S46+Y46)/3</f>
        <v>133.5183333</v>
      </c>
      <c r="AF46" s="21">
        <f t="shared" si="133"/>
        <v>29.297</v>
      </c>
      <c r="AG46" s="21">
        <f t="shared" ref="AG46:AH46" si="134">(AA46+U46+O46)/3</f>
        <v>108.1473333</v>
      </c>
      <c r="AH46" s="21">
        <f t="shared" si="134"/>
        <v>30.43133333</v>
      </c>
      <c r="AI46" s="21">
        <f t="shared" ref="AI46:AJ46" si="135">(Q46+W46+AC46)/3</f>
        <v>62.65166667</v>
      </c>
      <c r="AJ46" s="21">
        <f t="shared" si="135"/>
        <v>28.169</v>
      </c>
    </row>
    <row r="47">
      <c r="A47" s="13" t="s">
        <v>19</v>
      </c>
      <c r="B47" s="13" t="s">
        <v>20</v>
      </c>
      <c r="C47" s="14">
        <v>45460.0</v>
      </c>
      <c r="D47" s="15" t="s">
        <v>21</v>
      </c>
      <c r="E47" s="16">
        <v>3.2</v>
      </c>
      <c r="F47" s="15" t="s">
        <v>22</v>
      </c>
      <c r="G47" s="17">
        <v>1.0</v>
      </c>
      <c r="H47" s="18" t="s">
        <v>26</v>
      </c>
      <c r="I47" s="19">
        <v>13.602</v>
      </c>
      <c r="J47" s="20">
        <v>728.9938</v>
      </c>
      <c r="K47" s="20">
        <v>5.2</v>
      </c>
      <c r="L47" s="20">
        <v>0.05</v>
      </c>
      <c r="M47" s="20">
        <v>142.268</v>
      </c>
      <c r="N47" s="20">
        <v>29.496</v>
      </c>
      <c r="O47" s="20">
        <v>116.451</v>
      </c>
      <c r="P47" s="20">
        <v>31.845</v>
      </c>
      <c r="Q47" s="20">
        <v>67.361</v>
      </c>
      <c r="R47" s="27">
        <v>31.142</v>
      </c>
      <c r="S47" s="27">
        <v>142.217</v>
      </c>
      <c r="T47" s="24">
        <v>29.623</v>
      </c>
      <c r="U47" s="24">
        <v>116.473</v>
      </c>
      <c r="V47" s="24">
        <v>31.949</v>
      </c>
      <c r="W47" s="24">
        <v>67.583</v>
      </c>
      <c r="X47" s="24">
        <v>31.39</v>
      </c>
      <c r="Y47" s="24">
        <v>142.337</v>
      </c>
      <c r="Z47" s="24">
        <v>29.499</v>
      </c>
      <c r="AA47" s="24">
        <v>116.516</v>
      </c>
      <c r="AB47" s="24">
        <v>31.84</v>
      </c>
      <c r="AC47" s="24">
        <v>67.462</v>
      </c>
      <c r="AD47" s="24">
        <v>31.213</v>
      </c>
      <c r="AE47" s="21">
        <f t="shared" ref="AE47:AF47" si="136">(M47+S47+Y47)/3</f>
        <v>142.274</v>
      </c>
      <c r="AF47" s="21">
        <f t="shared" si="136"/>
        <v>29.53933333</v>
      </c>
      <c r="AG47" s="21">
        <f t="shared" ref="AG47:AH47" si="137">(AA47+U47+O47)/3</f>
        <v>116.48</v>
      </c>
      <c r="AH47" s="21">
        <f t="shared" si="137"/>
        <v>31.878</v>
      </c>
      <c r="AI47" s="21">
        <f t="shared" ref="AI47:AJ47" si="138">(Q47+W47+AC47)/3</f>
        <v>67.46866667</v>
      </c>
      <c r="AJ47" s="21">
        <f t="shared" si="138"/>
        <v>31.24833333</v>
      </c>
    </row>
    <row r="48">
      <c r="A48" s="13" t="s">
        <v>19</v>
      </c>
      <c r="B48" s="13" t="s">
        <v>20</v>
      </c>
      <c r="C48" s="14">
        <v>45460.0</v>
      </c>
      <c r="D48" s="15" t="s">
        <v>21</v>
      </c>
      <c r="E48" s="16">
        <v>3.3</v>
      </c>
      <c r="F48" s="15" t="s">
        <v>22</v>
      </c>
      <c r="G48" s="17">
        <v>1.0</v>
      </c>
      <c r="H48" s="18" t="s">
        <v>26</v>
      </c>
      <c r="I48" s="19">
        <v>16.592</v>
      </c>
      <c r="J48" s="20">
        <v>774.0233</v>
      </c>
      <c r="K48" s="20">
        <v>5.142</v>
      </c>
      <c r="L48" s="20">
        <v>0.061</v>
      </c>
      <c r="M48" s="20">
        <v>138.829</v>
      </c>
      <c r="N48" s="20">
        <v>35.431</v>
      </c>
      <c r="O48" s="20">
        <v>113.683</v>
      </c>
      <c r="P48" s="20">
        <v>37.172</v>
      </c>
      <c r="Q48" s="20">
        <v>63.387</v>
      </c>
      <c r="R48" s="27">
        <v>34.679</v>
      </c>
      <c r="S48" s="27">
        <v>139.3</v>
      </c>
      <c r="T48" s="24">
        <v>35.859</v>
      </c>
      <c r="U48" s="24">
        <v>114.103</v>
      </c>
      <c r="V48" s="24">
        <v>37.903</v>
      </c>
      <c r="W48" s="24">
        <v>63.941</v>
      </c>
      <c r="X48" s="24">
        <v>36.062</v>
      </c>
      <c r="Y48" s="24">
        <v>138.473</v>
      </c>
      <c r="Z48" s="24">
        <v>35.16</v>
      </c>
      <c r="AA48" s="24">
        <v>113.002</v>
      </c>
      <c r="AB48" s="24">
        <v>36.618</v>
      </c>
      <c r="AC48" s="24">
        <v>62.468</v>
      </c>
      <c r="AD48" s="24">
        <v>33.339</v>
      </c>
      <c r="AE48" s="21">
        <f t="shared" ref="AE48:AF48" si="139">(M48+S48+Y48)/3</f>
        <v>138.8673333</v>
      </c>
      <c r="AF48" s="21">
        <f t="shared" si="139"/>
        <v>35.48333333</v>
      </c>
      <c r="AG48" s="21">
        <f t="shared" ref="AG48:AH48" si="140">(AA48+U48+O48)/3</f>
        <v>113.596</v>
      </c>
      <c r="AH48" s="21">
        <f t="shared" si="140"/>
        <v>37.231</v>
      </c>
      <c r="AI48" s="21">
        <f t="shared" ref="AI48:AJ48" si="141">(Q48+W48+AC48)/3</f>
        <v>63.26533333</v>
      </c>
      <c r="AJ48" s="21">
        <f t="shared" si="141"/>
        <v>34.69333333</v>
      </c>
    </row>
    <row r="49">
      <c r="A49" s="13" t="s">
        <v>19</v>
      </c>
      <c r="B49" s="13" t="s">
        <v>20</v>
      </c>
      <c r="C49" s="14">
        <v>45460.0</v>
      </c>
      <c r="D49" s="15" t="s">
        <v>21</v>
      </c>
      <c r="E49" s="16">
        <v>3.4</v>
      </c>
      <c r="F49" s="15" t="s">
        <v>22</v>
      </c>
      <c r="G49" s="17">
        <v>1.0</v>
      </c>
      <c r="H49" s="18" t="s">
        <v>26</v>
      </c>
      <c r="I49" s="19">
        <v>17.295</v>
      </c>
      <c r="J49" s="20">
        <v>622.5432</v>
      </c>
      <c r="K49" s="20">
        <v>5.018</v>
      </c>
      <c r="L49" s="20">
        <v>0.069</v>
      </c>
      <c r="M49" s="20">
        <v>125.871</v>
      </c>
      <c r="N49" s="20">
        <v>33.508</v>
      </c>
      <c r="O49" s="20">
        <v>112.248</v>
      </c>
      <c r="P49" s="20">
        <v>35.375</v>
      </c>
      <c r="Q49" s="20">
        <v>73.598</v>
      </c>
      <c r="R49" s="27">
        <v>35.671</v>
      </c>
      <c r="S49" s="27">
        <v>125.601</v>
      </c>
      <c r="T49" s="24">
        <v>33.932</v>
      </c>
      <c r="U49" s="24">
        <v>111.875</v>
      </c>
      <c r="V49" s="24">
        <v>35.965</v>
      </c>
      <c r="W49" s="24">
        <v>73.39</v>
      </c>
      <c r="X49" s="24">
        <v>36.076</v>
      </c>
      <c r="Y49" s="24">
        <v>125.243</v>
      </c>
      <c r="Z49" s="24">
        <v>34.304</v>
      </c>
      <c r="AA49" s="24">
        <v>111.594</v>
      </c>
      <c r="AB49" s="24">
        <v>36.252</v>
      </c>
      <c r="AC49" s="24">
        <v>73.41</v>
      </c>
      <c r="AD49" s="24">
        <v>36.153</v>
      </c>
      <c r="AE49" s="21">
        <f t="shared" ref="AE49:AF49" si="142">(M49+S49+Y49)/3</f>
        <v>125.5716667</v>
      </c>
      <c r="AF49" s="21">
        <f t="shared" si="142"/>
        <v>33.91466667</v>
      </c>
      <c r="AG49" s="21">
        <f t="shared" ref="AG49:AH49" si="143">(AA49+U49+O49)/3</f>
        <v>111.9056667</v>
      </c>
      <c r="AH49" s="21">
        <f t="shared" si="143"/>
        <v>35.864</v>
      </c>
      <c r="AI49" s="21">
        <f t="shared" ref="AI49:AJ49" si="144">(Q49+W49+AC49)/3</f>
        <v>73.466</v>
      </c>
      <c r="AJ49" s="21">
        <f t="shared" si="144"/>
        <v>35.96666667</v>
      </c>
    </row>
    <row r="50">
      <c r="A50" s="13" t="s">
        <v>19</v>
      </c>
      <c r="B50" s="13" t="s">
        <v>20</v>
      </c>
      <c r="C50" s="14">
        <v>45460.0</v>
      </c>
      <c r="D50" s="15" t="s">
        <v>24</v>
      </c>
      <c r="E50" s="16">
        <v>1.1</v>
      </c>
      <c r="F50" s="15" t="s">
        <v>22</v>
      </c>
      <c r="G50" s="17">
        <v>1.0</v>
      </c>
      <c r="H50" s="18" t="s">
        <v>26</v>
      </c>
      <c r="I50" s="19">
        <v>19.024</v>
      </c>
      <c r="J50" s="20">
        <v>742.0438</v>
      </c>
      <c r="K50" s="20">
        <v>6.319</v>
      </c>
      <c r="L50" s="20">
        <v>0.012</v>
      </c>
      <c r="M50" s="20">
        <v>149.374</v>
      </c>
      <c r="N50" s="20">
        <v>20.271</v>
      </c>
      <c r="O50" s="20">
        <v>124.905</v>
      </c>
      <c r="P50" s="20">
        <v>23.098</v>
      </c>
      <c r="Q50" s="20">
        <v>81.639</v>
      </c>
      <c r="R50" s="27">
        <v>30.812</v>
      </c>
      <c r="S50" s="27">
        <v>149.412</v>
      </c>
      <c r="T50" s="24">
        <v>20.38</v>
      </c>
      <c r="U50" s="24">
        <v>125.031</v>
      </c>
      <c r="V50" s="24">
        <v>23.147</v>
      </c>
      <c r="W50" s="24">
        <v>81.961</v>
      </c>
      <c r="X50" s="24">
        <v>30.898</v>
      </c>
      <c r="Y50" s="24">
        <v>149.501</v>
      </c>
      <c r="Z50" s="24">
        <v>20.077</v>
      </c>
      <c r="AA50" s="24">
        <v>125.135</v>
      </c>
      <c r="AB50" s="24">
        <v>22.978</v>
      </c>
      <c r="AC50" s="24">
        <v>81.932</v>
      </c>
      <c r="AD50" s="24">
        <v>30.71</v>
      </c>
      <c r="AE50" s="21">
        <f t="shared" ref="AE50:AF50" si="145">(M50+S50+Y50)/3</f>
        <v>149.429</v>
      </c>
      <c r="AF50" s="21">
        <f t="shared" si="145"/>
        <v>20.24266667</v>
      </c>
      <c r="AG50" s="21">
        <f t="shared" ref="AG50:AH50" si="146">(AA50+U50+O50)/3</f>
        <v>125.0236667</v>
      </c>
      <c r="AH50" s="21">
        <f t="shared" si="146"/>
        <v>23.07433333</v>
      </c>
      <c r="AI50" s="21">
        <f t="shared" ref="AI50:AJ50" si="147">(Q50+W50+AC50)/3</f>
        <v>81.844</v>
      </c>
      <c r="AJ50" s="21">
        <f t="shared" si="147"/>
        <v>30.80666667</v>
      </c>
    </row>
    <row r="51">
      <c r="A51" s="13" t="s">
        <v>19</v>
      </c>
      <c r="B51" s="13" t="s">
        <v>20</v>
      </c>
      <c r="C51" s="14">
        <v>45460.0</v>
      </c>
      <c r="D51" s="15" t="s">
        <v>24</v>
      </c>
      <c r="E51" s="16">
        <v>1.2</v>
      </c>
      <c r="F51" s="15" t="s">
        <v>22</v>
      </c>
      <c r="G51" s="17">
        <v>1.0</v>
      </c>
      <c r="H51" s="18" t="s">
        <v>26</v>
      </c>
      <c r="I51" s="19">
        <v>17.925</v>
      </c>
      <c r="J51" s="20">
        <v>723.0062</v>
      </c>
      <c r="K51" s="20">
        <v>5.676</v>
      </c>
      <c r="L51" s="20">
        <v>0.117</v>
      </c>
      <c r="M51" s="20">
        <v>152.769</v>
      </c>
      <c r="N51" s="20">
        <v>17.728</v>
      </c>
      <c r="O51" s="20">
        <v>131.421</v>
      </c>
      <c r="P51" s="24">
        <v>20.88</v>
      </c>
      <c r="Q51" s="20">
        <v>96.865</v>
      </c>
      <c r="R51" s="20">
        <v>26.953</v>
      </c>
      <c r="S51" s="27">
        <v>152.809</v>
      </c>
      <c r="T51" s="24">
        <v>17.42</v>
      </c>
      <c r="U51" s="24">
        <v>131.167</v>
      </c>
      <c r="V51" s="24">
        <v>20.414</v>
      </c>
      <c r="W51" s="24">
        <v>96.251</v>
      </c>
      <c r="X51" s="24">
        <v>26.308</v>
      </c>
      <c r="Y51" s="24">
        <v>152.5</v>
      </c>
      <c r="Z51" s="24">
        <v>17.445</v>
      </c>
      <c r="AA51" s="24">
        <v>131.013</v>
      </c>
      <c r="AB51" s="24">
        <v>20.428</v>
      </c>
      <c r="AC51" s="24">
        <v>96.3</v>
      </c>
      <c r="AD51" s="24">
        <v>26.348</v>
      </c>
      <c r="AE51" s="21">
        <f t="shared" ref="AE51:AF51" si="148">(M51+S51+Y51)/3</f>
        <v>152.6926667</v>
      </c>
      <c r="AF51" s="21">
        <f t="shared" si="148"/>
        <v>17.531</v>
      </c>
      <c r="AG51" s="21">
        <f t="shared" ref="AG51:AH51" si="149">(AA51+U51+O51)/3</f>
        <v>131.2003333</v>
      </c>
      <c r="AH51" s="21">
        <f t="shared" si="149"/>
        <v>20.574</v>
      </c>
      <c r="AI51" s="21">
        <f t="shared" ref="AI51:AJ51" si="150">(Q51+W51+AC51)/3</f>
        <v>96.472</v>
      </c>
      <c r="AJ51" s="21">
        <f t="shared" si="150"/>
        <v>26.53633333</v>
      </c>
    </row>
    <row r="52">
      <c r="A52" s="13" t="s">
        <v>19</v>
      </c>
      <c r="B52" s="13" t="s">
        <v>20</v>
      </c>
      <c r="C52" s="14">
        <v>45460.0</v>
      </c>
      <c r="D52" s="15" t="s">
        <v>24</v>
      </c>
      <c r="E52" s="16">
        <v>1.3</v>
      </c>
      <c r="F52" s="15" t="s">
        <v>22</v>
      </c>
      <c r="G52" s="17">
        <v>1.0</v>
      </c>
      <c r="H52" s="18" t="s">
        <v>26</v>
      </c>
      <c r="I52" s="19">
        <v>14.762</v>
      </c>
      <c r="J52" s="20">
        <v>786.1431</v>
      </c>
      <c r="K52" s="20">
        <v>4.765</v>
      </c>
      <c r="L52" s="20">
        <v>0.011</v>
      </c>
      <c r="M52" s="20">
        <v>149.472</v>
      </c>
      <c r="N52" s="20">
        <v>16.24</v>
      </c>
      <c r="O52" s="20">
        <v>127.812</v>
      </c>
      <c r="P52" s="20">
        <v>30.048</v>
      </c>
      <c r="Q52" s="20">
        <v>82.26</v>
      </c>
      <c r="R52" s="27">
        <v>27.828</v>
      </c>
      <c r="S52" s="27">
        <v>149.135</v>
      </c>
      <c r="T52" s="24">
        <v>15.974</v>
      </c>
      <c r="U52" s="24">
        <v>127.471</v>
      </c>
      <c r="V52" s="24">
        <v>19.5</v>
      </c>
      <c r="W52" s="24">
        <v>81.941</v>
      </c>
      <c r="X52" s="24">
        <v>26.958</v>
      </c>
      <c r="Y52" s="24">
        <v>149.393</v>
      </c>
      <c r="Z52" s="24">
        <v>15.89</v>
      </c>
      <c r="AA52" s="24">
        <v>127.625</v>
      </c>
      <c r="AB52" s="24">
        <v>19.651</v>
      </c>
      <c r="AC52" s="24">
        <v>81.98</v>
      </c>
      <c r="AD52" s="24">
        <v>27.361</v>
      </c>
      <c r="AE52" s="21">
        <f t="shared" ref="AE52:AF52" si="151">(M52+S52+Y52)/3</f>
        <v>149.3333333</v>
      </c>
      <c r="AF52" s="21">
        <f t="shared" si="151"/>
        <v>16.03466667</v>
      </c>
      <c r="AG52" s="21">
        <f t="shared" ref="AG52:AH52" si="152">(AA52+U52+O52)/3</f>
        <v>127.636</v>
      </c>
      <c r="AH52" s="21">
        <f t="shared" si="152"/>
        <v>23.06633333</v>
      </c>
      <c r="AI52" s="21">
        <f t="shared" ref="AI52:AJ52" si="153">(Q52+W52+AC52)/3</f>
        <v>82.06033333</v>
      </c>
      <c r="AJ52" s="21">
        <f t="shared" si="153"/>
        <v>27.38233333</v>
      </c>
    </row>
    <row r="53">
      <c r="A53" s="13" t="s">
        <v>19</v>
      </c>
      <c r="B53" s="13" t="s">
        <v>20</v>
      </c>
      <c r="C53" s="14">
        <v>45460.0</v>
      </c>
      <c r="D53" s="15" t="s">
        <v>24</v>
      </c>
      <c r="E53" s="16">
        <v>1.4</v>
      </c>
      <c r="F53" s="15" t="s">
        <v>22</v>
      </c>
      <c r="G53" s="17">
        <v>1.0</v>
      </c>
      <c r="H53" s="18" t="s">
        <v>26</v>
      </c>
      <c r="I53" s="19">
        <v>16.481</v>
      </c>
      <c r="J53" s="20">
        <v>726.285</v>
      </c>
      <c r="K53" s="20">
        <v>4.373</v>
      </c>
      <c r="L53" s="20">
        <v>0.014</v>
      </c>
      <c r="M53" s="20">
        <v>142.26</v>
      </c>
      <c r="N53" s="20">
        <v>17.249</v>
      </c>
      <c r="O53" s="20">
        <v>123.153</v>
      </c>
      <c r="P53" s="20">
        <v>18.69</v>
      </c>
      <c r="Q53" s="20">
        <v>81.167</v>
      </c>
      <c r="R53" s="27">
        <v>27.632</v>
      </c>
      <c r="S53" s="27">
        <v>142.261</v>
      </c>
      <c r="T53" s="24">
        <v>17.367</v>
      </c>
      <c r="U53" s="24">
        <v>123.043</v>
      </c>
      <c r="V53" s="24">
        <v>18.784</v>
      </c>
      <c r="W53" s="24">
        <v>80.898</v>
      </c>
      <c r="X53" s="24">
        <v>27.682</v>
      </c>
      <c r="Y53" s="24">
        <v>142.289</v>
      </c>
      <c r="Z53" s="24">
        <v>17.476</v>
      </c>
      <c r="AA53" s="24">
        <v>123.157</v>
      </c>
      <c r="AB53" s="24">
        <v>18.906</v>
      </c>
      <c r="AC53" s="24">
        <v>81.138</v>
      </c>
      <c r="AD53" s="24">
        <v>27.846</v>
      </c>
      <c r="AE53" s="21">
        <f t="shared" ref="AE53:AF53" si="154">(M53+S53+Y53)/3</f>
        <v>142.27</v>
      </c>
      <c r="AF53" s="21">
        <f t="shared" si="154"/>
        <v>17.364</v>
      </c>
      <c r="AG53" s="21">
        <f t="shared" ref="AG53:AH53" si="155">(AA53+U53+O53)/3</f>
        <v>123.1176667</v>
      </c>
      <c r="AH53" s="21">
        <f t="shared" si="155"/>
        <v>18.79333333</v>
      </c>
      <c r="AI53" s="21">
        <f t="shared" ref="AI53:AJ53" si="156">(Q53+W53+AC53)/3</f>
        <v>81.06766667</v>
      </c>
      <c r="AJ53" s="21">
        <f t="shared" si="156"/>
        <v>27.72</v>
      </c>
    </row>
    <row r="54">
      <c r="A54" s="13" t="s">
        <v>19</v>
      </c>
      <c r="B54" s="13" t="s">
        <v>20</v>
      </c>
      <c r="C54" s="14">
        <v>45460.0</v>
      </c>
      <c r="D54" s="15" t="s">
        <v>24</v>
      </c>
      <c r="E54" s="16">
        <v>2.1</v>
      </c>
      <c r="F54" s="15" t="s">
        <v>22</v>
      </c>
      <c r="G54" s="17">
        <v>1.0</v>
      </c>
      <c r="H54" s="18" t="s">
        <v>26</v>
      </c>
      <c r="I54" s="19">
        <v>10.699</v>
      </c>
      <c r="J54" s="20">
        <v>801.2415</v>
      </c>
      <c r="K54" s="20">
        <v>3.404</v>
      </c>
      <c r="L54" s="20">
        <v>0.063</v>
      </c>
      <c r="M54" s="20">
        <v>130.21</v>
      </c>
      <c r="N54" s="20">
        <v>18.622</v>
      </c>
      <c r="O54" s="20">
        <v>109.977</v>
      </c>
      <c r="P54" s="20">
        <v>21.037</v>
      </c>
      <c r="Q54" s="20">
        <v>63.3</v>
      </c>
      <c r="R54" s="27">
        <v>24.851</v>
      </c>
      <c r="S54" s="27">
        <v>129.621</v>
      </c>
      <c r="T54" s="24">
        <v>18.238</v>
      </c>
      <c r="U54" s="24">
        <v>109.108</v>
      </c>
      <c r="V54" s="24">
        <v>20.394</v>
      </c>
      <c r="W54" s="24">
        <v>62.202</v>
      </c>
      <c r="X54" s="24">
        <v>23.755</v>
      </c>
      <c r="Y54" s="24">
        <v>130.205</v>
      </c>
      <c r="Z54" s="24">
        <v>18.541</v>
      </c>
      <c r="AA54" s="24">
        <v>109.911</v>
      </c>
      <c r="AB54" s="24">
        <v>20.979</v>
      </c>
      <c r="AC54" s="24">
        <v>63.157</v>
      </c>
      <c r="AD54" s="24">
        <v>24.663</v>
      </c>
      <c r="AE54" s="21">
        <f t="shared" ref="AE54:AF54" si="157">(M54+S54+Y54)/3</f>
        <v>130.012</v>
      </c>
      <c r="AF54" s="21">
        <f t="shared" si="157"/>
        <v>18.467</v>
      </c>
      <c r="AG54" s="21">
        <f t="shared" ref="AG54:AH54" si="158">(AA54+U54+O54)/3</f>
        <v>109.6653333</v>
      </c>
      <c r="AH54" s="21">
        <f t="shared" si="158"/>
        <v>20.80333333</v>
      </c>
      <c r="AI54" s="21">
        <f t="shared" ref="AI54:AJ54" si="159">(Q54+W54+AC54)/3</f>
        <v>62.88633333</v>
      </c>
      <c r="AJ54" s="21">
        <f t="shared" si="159"/>
        <v>24.423</v>
      </c>
    </row>
    <row r="55">
      <c r="A55" s="13" t="s">
        <v>19</v>
      </c>
      <c r="B55" s="13" t="s">
        <v>20</v>
      </c>
      <c r="C55" s="14">
        <v>45460.0</v>
      </c>
      <c r="D55" s="15" t="s">
        <v>24</v>
      </c>
      <c r="E55" s="16">
        <v>2.2</v>
      </c>
      <c r="F55" s="15" t="s">
        <v>22</v>
      </c>
      <c r="G55" s="17">
        <v>1.0</v>
      </c>
      <c r="H55" s="18" t="s">
        <v>26</v>
      </c>
      <c r="I55" s="19">
        <v>14.811</v>
      </c>
      <c r="J55" s="20">
        <v>757.7183</v>
      </c>
      <c r="K55" s="20">
        <v>3.21</v>
      </c>
      <c r="L55" s="20">
        <v>0.055</v>
      </c>
      <c r="M55" s="20">
        <v>136.137</v>
      </c>
      <c r="N55" s="20">
        <v>19.526</v>
      </c>
      <c r="O55" s="20">
        <v>112.926</v>
      </c>
      <c r="P55" s="20">
        <v>22.741</v>
      </c>
      <c r="Q55" s="20">
        <v>65.673</v>
      </c>
      <c r="R55" s="27">
        <v>26.102</v>
      </c>
      <c r="S55" s="27">
        <v>135.862</v>
      </c>
      <c r="T55" s="24">
        <v>19.482</v>
      </c>
      <c r="U55" s="24">
        <v>112.464</v>
      </c>
      <c r="V55" s="24">
        <v>22.564</v>
      </c>
      <c r="W55" s="24">
        <v>65.056</v>
      </c>
      <c r="X55" s="24">
        <v>25.745</v>
      </c>
      <c r="Y55" s="24">
        <v>135.675</v>
      </c>
      <c r="Z55" s="24">
        <v>19.123</v>
      </c>
      <c r="AA55" s="24">
        <v>112.293</v>
      </c>
      <c r="AB55" s="24">
        <v>22.077</v>
      </c>
      <c r="AC55" s="24">
        <v>64.783</v>
      </c>
      <c r="AD55" s="24">
        <v>25.025</v>
      </c>
      <c r="AE55" s="21">
        <f t="shared" ref="AE55:AF55" si="160">(M55+S55+Y55)/3</f>
        <v>135.8913333</v>
      </c>
      <c r="AF55" s="21">
        <f t="shared" si="160"/>
        <v>19.377</v>
      </c>
      <c r="AG55" s="21">
        <f t="shared" ref="AG55:AH55" si="161">(AA55+U55+O55)/3</f>
        <v>112.561</v>
      </c>
      <c r="AH55" s="21">
        <f t="shared" si="161"/>
        <v>22.46066667</v>
      </c>
      <c r="AI55" s="21">
        <f t="shared" ref="AI55:AJ55" si="162">(Q55+W55+AC55)/3</f>
        <v>65.17066667</v>
      </c>
      <c r="AJ55" s="21">
        <f t="shared" si="162"/>
        <v>25.624</v>
      </c>
    </row>
    <row r="56">
      <c r="A56" s="13" t="s">
        <v>19</v>
      </c>
      <c r="B56" s="13" t="s">
        <v>20</v>
      </c>
      <c r="C56" s="14">
        <v>45460.0</v>
      </c>
      <c r="D56" s="15" t="s">
        <v>24</v>
      </c>
      <c r="E56" s="16">
        <v>2.3</v>
      </c>
      <c r="F56" s="15" t="s">
        <v>22</v>
      </c>
      <c r="G56" s="17">
        <v>1.0</v>
      </c>
      <c r="H56" s="18" t="s">
        <v>26</v>
      </c>
      <c r="I56" s="19">
        <v>15.422</v>
      </c>
      <c r="J56" s="20">
        <v>816.0392</v>
      </c>
      <c r="K56" s="20">
        <v>3.406</v>
      </c>
      <c r="L56" s="20">
        <v>0.025</v>
      </c>
      <c r="M56" s="20">
        <v>137.577</v>
      </c>
      <c r="N56" s="20">
        <v>20.459</v>
      </c>
      <c r="O56" s="20">
        <v>114.794</v>
      </c>
      <c r="P56" s="20">
        <v>22.657</v>
      </c>
      <c r="Q56" s="20">
        <v>75.46</v>
      </c>
      <c r="R56" s="27">
        <v>25.184</v>
      </c>
      <c r="S56" s="27">
        <v>137.372</v>
      </c>
      <c r="T56" s="24">
        <v>20.361</v>
      </c>
      <c r="U56" s="24">
        <v>114.395</v>
      </c>
      <c r="V56" s="24">
        <v>22.481</v>
      </c>
      <c r="W56" s="24">
        <v>74.888</v>
      </c>
      <c r="X56" s="24">
        <v>24.807</v>
      </c>
      <c r="Y56" s="24">
        <v>137.38</v>
      </c>
      <c r="Z56" s="24">
        <v>20.531</v>
      </c>
      <c r="AA56" s="24">
        <v>114.447</v>
      </c>
      <c r="AB56" s="24">
        <v>22.623</v>
      </c>
      <c r="AC56" s="24">
        <v>74.967</v>
      </c>
      <c r="AD56" s="24">
        <v>24.95</v>
      </c>
      <c r="AE56" s="21">
        <f t="shared" ref="AE56:AF56" si="163">(M56+S56+Y56)/3</f>
        <v>137.443</v>
      </c>
      <c r="AF56" s="21">
        <f t="shared" si="163"/>
        <v>20.45033333</v>
      </c>
      <c r="AG56" s="21">
        <f t="shared" ref="AG56:AH56" si="164">(AA56+U56+O56)/3</f>
        <v>114.5453333</v>
      </c>
      <c r="AH56" s="21">
        <f t="shared" si="164"/>
        <v>22.587</v>
      </c>
      <c r="AI56" s="21">
        <f t="shared" ref="AI56:AJ56" si="165">(Q56+W56+AC56)/3</f>
        <v>75.105</v>
      </c>
      <c r="AJ56" s="21">
        <f t="shared" si="165"/>
        <v>24.98033333</v>
      </c>
    </row>
    <row r="57">
      <c r="A57" s="13" t="s">
        <v>19</v>
      </c>
      <c r="B57" s="13" t="s">
        <v>20</v>
      </c>
      <c r="C57" s="14">
        <v>45460.0</v>
      </c>
      <c r="D57" s="15" t="s">
        <v>24</v>
      </c>
      <c r="E57" s="16">
        <v>2.4</v>
      </c>
      <c r="F57" s="15" t="s">
        <v>22</v>
      </c>
      <c r="G57" s="17">
        <v>1.0</v>
      </c>
      <c r="H57" s="18" t="s">
        <v>26</v>
      </c>
      <c r="I57" s="19">
        <v>14.63</v>
      </c>
      <c r="J57" s="20">
        <v>636.1132</v>
      </c>
      <c r="K57" s="20">
        <v>3.041</v>
      </c>
      <c r="L57" s="20">
        <v>0.046</v>
      </c>
      <c r="M57" s="20">
        <v>110.932</v>
      </c>
      <c r="N57" s="20">
        <v>23.845</v>
      </c>
      <c r="O57" s="20">
        <v>96.149</v>
      </c>
      <c r="P57" s="20">
        <v>25.759</v>
      </c>
      <c r="Q57" s="20">
        <v>62.465</v>
      </c>
      <c r="R57" s="27">
        <v>30.041</v>
      </c>
      <c r="S57" s="27">
        <v>109.845</v>
      </c>
      <c r="T57" s="24">
        <v>23.762</v>
      </c>
      <c r="U57" s="24">
        <v>94.519</v>
      </c>
      <c r="V57" s="24">
        <v>25.195</v>
      </c>
      <c r="W57" s="24">
        <v>60.348</v>
      </c>
      <c r="X57" s="24">
        <v>28.89</v>
      </c>
      <c r="Y57" s="24">
        <v>110.145</v>
      </c>
      <c r="Z57" s="24">
        <v>23.841</v>
      </c>
      <c r="AA57" s="24">
        <v>95.012</v>
      </c>
      <c r="AB57" s="24">
        <v>25.419</v>
      </c>
      <c r="AC57" s="24">
        <v>61.005</v>
      </c>
      <c r="AD57" s="24">
        <v>29.339</v>
      </c>
      <c r="AE57" s="21">
        <f t="shared" ref="AE57:AF57" si="166">(M57+S57+Y57)/3</f>
        <v>110.3073333</v>
      </c>
      <c r="AF57" s="21">
        <f t="shared" si="166"/>
        <v>23.816</v>
      </c>
      <c r="AG57" s="21">
        <f t="shared" ref="AG57:AH57" si="167">(AA57+U57+O57)/3</f>
        <v>95.22666667</v>
      </c>
      <c r="AH57" s="21">
        <f t="shared" si="167"/>
        <v>25.45766667</v>
      </c>
      <c r="AI57" s="21">
        <f t="shared" ref="AI57:AJ57" si="168">(Q57+W57+AC57)/3</f>
        <v>61.27266667</v>
      </c>
      <c r="AJ57" s="21">
        <f t="shared" si="168"/>
        <v>29.42333333</v>
      </c>
    </row>
    <row r="58">
      <c r="A58" s="13" t="s">
        <v>19</v>
      </c>
      <c r="B58" s="13" t="s">
        <v>20</v>
      </c>
      <c r="C58" s="14">
        <v>45460.0</v>
      </c>
      <c r="D58" s="15" t="s">
        <v>24</v>
      </c>
      <c r="E58" s="16">
        <v>3.1</v>
      </c>
      <c r="F58" s="15" t="s">
        <v>22</v>
      </c>
      <c r="G58" s="17">
        <v>1.0</v>
      </c>
      <c r="H58" s="18" t="s">
        <v>26</v>
      </c>
      <c r="I58" s="19">
        <v>15.834</v>
      </c>
      <c r="J58" s="20">
        <v>684.3223</v>
      </c>
      <c r="K58" s="20">
        <v>4.716</v>
      </c>
      <c r="L58" s="20">
        <v>0.005</v>
      </c>
      <c r="M58" s="20">
        <v>143.208</v>
      </c>
      <c r="N58" s="20">
        <v>16.432</v>
      </c>
      <c r="O58" s="20">
        <v>114.897</v>
      </c>
      <c r="P58" s="20">
        <v>19.335</v>
      </c>
      <c r="Q58" s="20">
        <v>62.109</v>
      </c>
      <c r="R58" s="27">
        <v>22.223</v>
      </c>
      <c r="S58" s="27">
        <v>143.307</v>
      </c>
      <c r="T58" s="24">
        <v>16.367</v>
      </c>
      <c r="U58" s="24">
        <v>114.812</v>
      </c>
      <c r="V58" s="24">
        <v>19.336</v>
      </c>
      <c r="W58" s="24">
        <v>61.907</v>
      </c>
      <c r="X58" s="24">
        <v>22.035</v>
      </c>
      <c r="Y58" s="24">
        <v>143.811</v>
      </c>
      <c r="Z58" s="24">
        <v>16.801</v>
      </c>
      <c r="AA58" s="24">
        <v>115.496</v>
      </c>
      <c r="AB58" s="24">
        <v>20.196</v>
      </c>
      <c r="AC58" s="24">
        <v>62.963</v>
      </c>
      <c r="AD58" s="24">
        <v>23.932</v>
      </c>
      <c r="AE58" s="21">
        <f t="shared" ref="AE58:AF58" si="169">(M58+S58+Y58)/3</f>
        <v>143.442</v>
      </c>
      <c r="AF58" s="21">
        <f t="shared" si="169"/>
        <v>16.53333333</v>
      </c>
      <c r="AG58" s="21">
        <f t="shared" ref="AG58:AH58" si="170">(AA58+U58+O58)/3</f>
        <v>115.0683333</v>
      </c>
      <c r="AH58" s="21">
        <f t="shared" si="170"/>
        <v>19.62233333</v>
      </c>
      <c r="AI58" s="21">
        <f t="shared" ref="AI58:AJ58" si="171">(Q58+W58+AC58)/3</f>
        <v>62.32633333</v>
      </c>
      <c r="AJ58" s="21">
        <f t="shared" si="171"/>
        <v>22.73</v>
      </c>
    </row>
    <row r="59">
      <c r="A59" s="13" t="s">
        <v>19</v>
      </c>
      <c r="B59" s="13" t="s">
        <v>20</v>
      </c>
      <c r="C59" s="14">
        <v>45460.0</v>
      </c>
      <c r="D59" s="15" t="s">
        <v>24</v>
      </c>
      <c r="E59" s="16">
        <v>3.2</v>
      </c>
      <c r="F59" s="15" t="s">
        <v>22</v>
      </c>
      <c r="G59" s="17">
        <v>1.0</v>
      </c>
      <c r="H59" s="18" t="s">
        <v>26</v>
      </c>
      <c r="I59" s="19">
        <v>13.507</v>
      </c>
      <c r="J59" s="20">
        <v>761.3678</v>
      </c>
      <c r="K59" s="20">
        <v>5.284</v>
      </c>
      <c r="L59" s="20">
        <v>0.028</v>
      </c>
      <c r="M59" s="20">
        <v>148.693</v>
      </c>
      <c r="N59" s="20">
        <v>16.769</v>
      </c>
      <c r="O59" s="20">
        <v>120.78</v>
      </c>
      <c r="P59" s="20">
        <v>20.097</v>
      </c>
      <c r="Q59" s="20">
        <v>69.792</v>
      </c>
      <c r="R59" s="27">
        <v>24.792</v>
      </c>
      <c r="S59" s="27">
        <v>148.607</v>
      </c>
      <c r="T59" s="24">
        <v>16.778</v>
      </c>
      <c r="U59" s="24">
        <v>120.57</v>
      </c>
      <c r="V59" s="24">
        <v>20.018</v>
      </c>
      <c r="W59" s="24">
        <v>69.566</v>
      </c>
      <c r="X59" s="24">
        <v>24.746</v>
      </c>
      <c r="Y59" s="24">
        <v>148.766</v>
      </c>
      <c r="Z59" s="24">
        <v>16.556</v>
      </c>
      <c r="AA59" s="24">
        <v>120.738</v>
      </c>
      <c r="AB59" s="24">
        <v>19.936</v>
      </c>
      <c r="AC59" s="24">
        <v>69.665</v>
      </c>
      <c r="AD59" s="24">
        <v>24.656</v>
      </c>
      <c r="AE59" s="21">
        <f t="shared" ref="AE59:AF59" si="172">(M59+S59+Y59)/3</f>
        <v>148.6886667</v>
      </c>
      <c r="AF59" s="21">
        <f t="shared" si="172"/>
        <v>16.701</v>
      </c>
      <c r="AG59" s="21">
        <f t="shared" ref="AG59:AH59" si="173">(AA59+U59+O59)/3</f>
        <v>120.696</v>
      </c>
      <c r="AH59" s="21">
        <f t="shared" si="173"/>
        <v>20.017</v>
      </c>
      <c r="AI59" s="21">
        <f t="shared" ref="AI59:AJ59" si="174">(Q59+W59+AC59)/3</f>
        <v>69.67433333</v>
      </c>
      <c r="AJ59" s="21">
        <f t="shared" si="174"/>
        <v>24.73133333</v>
      </c>
    </row>
    <row r="60">
      <c r="A60" s="13" t="s">
        <v>19</v>
      </c>
      <c r="B60" s="13" t="s">
        <v>20</v>
      </c>
      <c r="C60" s="14">
        <v>45460.0</v>
      </c>
      <c r="D60" s="15" t="s">
        <v>24</v>
      </c>
      <c r="E60" s="16">
        <v>3.3</v>
      </c>
      <c r="F60" s="15" t="s">
        <v>22</v>
      </c>
      <c r="G60" s="17">
        <v>1.0</v>
      </c>
      <c r="H60" s="18" t="s">
        <v>26</v>
      </c>
      <c r="I60" s="19">
        <v>15.242</v>
      </c>
      <c r="J60" s="20">
        <v>816.0497</v>
      </c>
      <c r="K60" s="20">
        <v>5.399</v>
      </c>
      <c r="L60" s="20">
        <v>0.053</v>
      </c>
      <c r="M60" s="20">
        <v>152.781</v>
      </c>
      <c r="N60" s="20">
        <v>20.309</v>
      </c>
      <c r="O60" s="20">
        <v>122.95</v>
      </c>
      <c r="P60" s="20">
        <v>24.369</v>
      </c>
      <c r="Q60" s="20">
        <v>75.96</v>
      </c>
      <c r="R60" s="27">
        <v>28.261</v>
      </c>
      <c r="S60" s="27">
        <v>152.631</v>
      </c>
      <c r="T60" s="24">
        <v>19.753</v>
      </c>
      <c r="U60" s="24">
        <v>122.868</v>
      </c>
      <c r="V60" s="24">
        <v>23.703</v>
      </c>
      <c r="W60" s="24">
        <v>75.872</v>
      </c>
      <c r="X60" s="24">
        <v>27.341</v>
      </c>
      <c r="Y60" s="24">
        <v>152.457</v>
      </c>
      <c r="Z60" s="24">
        <v>19.791</v>
      </c>
      <c r="AA60" s="24">
        <v>122.63</v>
      </c>
      <c r="AB60" s="24">
        <v>23.581</v>
      </c>
      <c r="AC60" s="24">
        <v>75.633</v>
      </c>
      <c r="AD60" s="24">
        <v>27.076</v>
      </c>
      <c r="AE60" s="21">
        <f t="shared" ref="AE60:AF60" si="175">(M60+S60+Y60)/3</f>
        <v>152.623</v>
      </c>
      <c r="AF60" s="21">
        <f t="shared" si="175"/>
        <v>19.951</v>
      </c>
      <c r="AG60" s="21">
        <f t="shared" ref="AG60:AH60" si="176">(AA60+U60+O60)/3</f>
        <v>122.816</v>
      </c>
      <c r="AH60" s="21">
        <f t="shared" si="176"/>
        <v>23.88433333</v>
      </c>
      <c r="AI60" s="21">
        <f t="shared" ref="AI60:AJ60" si="177">(Q60+W60+AC60)/3</f>
        <v>75.82166667</v>
      </c>
      <c r="AJ60" s="21">
        <f t="shared" si="177"/>
        <v>27.55933333</v>
      </c>
    </row>
    <row r="61">
      <c r="A61" s="13" t="s">
        <v>19</v>
      </c>
      <c r="B61" s="13" t="s">
        <v>20</v>
      </c>
      <c r="C61" s="14">
        <v>45460.0</v>
      </c>
      <c r="D61" s="15" t="s">
        <v>24</v>
      </c>
      <c r="E61" s="16">
        <v>3.4</v>
      </c>
      <c r="F61" s="15" t="s">
        <v>22</v>
      </c>
      <c r="G61" s="17">
        <v>1.0</v>
      </c>
      <c r="H61" s="18" t="s">
        <v>26</v>
      </c>
      <c r="I61" s="19">
        <v>20.883</v>
      </c>
      <c r="J61" s="20">
        <v>624.8216</v>
      </c>
      <c r="K61" s="20">
        <v>7.048</v>
      </c>
      <c r="L61" s="20">
        <v>0.066</v>
      </c>
      <c r="M61" s="20">
        <v>146.206</v>
      </c>
      <c r="N61" s="20">
        <v>14.668</v>
      </c>
      <c r="O61" s="20">
        <v>124.374</v>
      </c>
      <c r="P61" s="20">
        <v>17.078</v>
      </c>
      <c r="Q61" s="20">
        <v>88.593</v>
      </c>
      <c r="R61" s="27">
        <v>21.114</v>
      </c>
      <c r="S61" s="27">
        <v>146.044</v>
      </c>
      <c r="T61" s="24">
        <v>15.017</v>
      </c>
      <c r="U61" s="24">
        <v>124.447</v>
      </c>
      <c r="V61" s="24">
        <v>17.374</v>
      </c>
      <c r="W61" s="24">
        <v>88.927</v>
      </c>
      <c r="X61" s="24">
        <v>21.845</v>
      </c>
      <c r="Y61" s="24">
        <v>146.125</v>
      </c>
      <c r="Z61" s="24">
        <v>14.56</v>
      </c>
      <c r="AA61" s="24">
        <v>124.122</v>
      </c>
      <c r="AB61" s="24">
        <v>16.887</v>
      </c>
      <c r="AC61" s="24">
        <v>88.133</v>
      </c>
      <c r="AD61" s="24">
        <v>20.778</v>
      </c>
      <c r="AE61" s="21">
        <f t="shared" ref="AE61:AF61" si="178">(M61+S61+Y61)/3</f>
        <v>146.125</v>
      </c>
      <c r="AF61" s="21">
        <f t="shared" si="178"/>
        <v>14.74833333</v>
      </c>
      <c r="AG61" s="21">
        <f t="shared" ref="AG61:AH61" si="179">(AA61+U61+O61)/3</f>
        <v>124.3143333</v>
      </c>
      <c r="AH61" s="21">
        <f t="shared" si="179"/>
        <v>17.113</v>
      </c>
      <c r="AI61" s="21">
        <f t="shared" ref="AI61:AJ61" si="180">(Q61+W61+AC61)/3</f>
        <v>88.551</v>
      </c>
      <c r="AJ61" s="21">
        <f t="shared" si="180"/>
        <v>21.24566667</v>
      </c>
    </row>
    <row r="62">
      <c r="A62" s="13" t="s">
        <v>19</v>
      </c>
      <c r="B62" s="13" t="s">
        <v>20</v>
      </c>
      <c r="C62" s="14">
        <v>45460.0</v>
      </c>
      <c r="D62" s="15" t="s">
        <v>25</v>
      </c>
      <c r="E62" s="16">
        <v>1.1</v>
      </c>
      <c r="F62" s="15" t="s">
        <v>22</v>
      </c>
      <c r="G62" s="17">
        <v>1.0</v>
      </c>
      <c r="H62" s="18" t="s">
        <v>26</v>
      </c>
      <c r="I62" s="19">
        <v>17.208</v>
      </c>
      <c r="J62" s="20">
        <v>554.635</v>
      </c>
      <c r="K62" s="20">
        <v>5.588</v>
      </c>
      <c r="L62" s="20">
        <v>0.05</v>
      </c>
      <c r="M62" s="20">
        <v>134.933</v>
      </c>
      <c r="N62" s="20">
        <v>28.002</v>
      </c>
      <c r="O62" s="20">
        <v>115.977</v>
      </c>
      <c r="P62" s="20">
        <v>30.471</v>
      </c>
      <c r="Q62" s="20">
        <v>66.145</v>
      </c>
      <c r="R62" s="27">
        <v>30.305</v>
      </c>
      <c r="S62" s="27">
        <v>134.581</v>
      </c>
      <c r="T62" s="24">
        <v>28.149</v>
      </c>
      <c r="U62" s="24">
        <v>115.64</v>
      </c>
      <c r="V62" s="24">
        <v>30.443</v>
      </c>
      <c r="W62" s="24">
        <v>65.876</v>
      </c>
      <c r="X62" s="24">
        <v>29.974</v>
      </c>
      <c r="Y62" s="24">
        <v>134.172</v>
      </c>
      <c r="Z62" s="24">
        <v>27.347</v>
      </c>
      <c r="AA62" s="24">
        <v>115.011</v>
      </c>
      <c r="AB62" s="24">
        <v>29.596</v>
      </c>
      <c r="AC62" s="24">
        <v>64.734</v>
      </c>
      <c r="AD62" s="24">
        <v>28.482</v>
      </c>
      <c r="AE62" s="21">
        <f t="shared" ref="AE62:AF62" si="181">(M62+S62+Y62)/3</f>
        <v>134.562</v>
      </c>
      <c r="AF62" s="21">
        <f t="shared" si="181"/>
        <v>27.83266667</v>
      </c>
      <c r="AG62" s="21">
        <f t="shared" ref="AG62:AH62" si="182">(AA62+U62+O62)/3</f>
        <v>115.5426667</v>
      </c>
      <c r="AH62" s="21">
        <f t="shared" si="182"/>
        <v>30.17</v>
      </c>
      <c r="AI62" s="21">
        <f t="shared" ref="AI62:AJ62" si="183">(Q62+W62+AC62)/3</f>
        <v>65.585</v>
      </c>
      <c r="AJ62" s="21">
        <f t="shared" si="183"/>
        <v>29.587</v>
      </c>
    </row>
    <row r="63">
      <c r="A63" s="13" t="s">
        <v>19</v>
      </c>
      <c r="B63" s="13" t="s">
        <v>20</v>
      </c>
      <c r="C63" s="14">
        <v>45460.0</v>
      </c>
      <c r="D63" s="15" t="s">
        <v>25</v>
      </c>
      <c r="E63" s="16">
        <v>1.2</v>
      </c>
      <c r="F63" s="15" t="s">
        <v>22</v>
      </c>
      <c r="G63" s="17">
        <v>1.0</v>
      </c>
      <c r="H63" s="18" t="s">
        <v>26</v>
      </c>
      <c r="I63" s="19">
        <v>13.954</v>
      </c>
      <c r="J63" s="20">
        <v>753.1434</v>
      </c>
      <c r="K63" s="20">
        <v>4.594</v>
      </c>
      <c r="L63" s="20">
        <v>0.073</v>
      </c>
      <c r="M63" s="20">
        <v>141.488</v>
      </c>
      <c r="N63" s="20">
        <v>25.427</v>
      </c>
      <c r="O63" s="20">
        <v>120.868</v>
      </c>
      <c r="P63" s="20">
        <v>27.537</v>
      </c>
      <c r="Q63" s="20">
        <v>65.682</v>
      </c>
      <c r="R63" s="27">
        <v>29.062</v>
      </c>
      <c r="S63" s="27">
        <v>142.197</v>
      </c>
      <c r="T63" s="24">
        <v>25.753</v>
      </c>
      <c r="U63" s="24">
        <v>121.669</v>
      </c>
      <c r="V63" s="24">
        <v>27.973</v>
      </c>
      <c r="W63" s="24">
        <v>66.541</v>
      </c>
      <c r="X63" s="24">
        <v>29.887</v>
      </c>
      <c r="Y63" s="24">
        <v>142.264</v>
      </c>
      <c r="Z63" s="24">
        <v>25.715</v>
      </c>
      <c r="AA63" s="24">
        <v>121.671</v>
      </c>
      <c r="AB63" s="24">
        <v>27.965</v>
      </c>
      <c r="AC63" s="24">
        <v>66.49</v>
      </c>
      <c r="AD63" s="24">
        <v>29.991</v>
      </c>
      <c r="AE63" s="21">
        <f t="shared" ref="AE63:AF63" si="184">(M63+S63+Y63)/3</f>
        <v>141.983</v>
      </c>
      <c r="AF63" s="21">
        <f t="shared" si="184"/>
        <v>25.63166667</v>
      </c>
      <c r="AG63" s="21">
        <f t="shared" ref="AG63:AH63" si="185">(AA63+U63+O63)/3</f>
        <v>121.4026667</v>
      </c>
      <c r="AH63" s="21">
        <f t="shared" si="185"/>
        <v>27.825</v>
      </c>
      <c r="AI63" s="21">
        <f t="shared" ref="AI63:AJ63" si="186">(Q63+W63+AC63)/3</f>
        <v>66.23766667</v>
      </c>
      <c r="AJ63" s="21">
        <f t="shared" si="186"/>
        <v>29.64666667</v>
      </c>
    </row>
    <row r="64">
      <c r="A64" s="13" t="s">
        <v>19</v>
      </c>
      <c r="B64" s="13" t="s">
        <v>20</v>
      </c>
      <c r="C64" s="14">
        <v>45460.0</v>
      </c>
      <c r="D64" s="15" t="s">
        <v>25</v>
      </c>
      <c r="E64" s="16">
        <v>1.3</v>
      </c>
      <c r="F64" s="15" t="s">
        <v>22</v>
      </c>
      <c r="G64" s="17">
        <v>1.0</v>
      </c>
      <c r="H64" s="18" t="s">
        <v>26</v>
      </c>
      <c r="I64" s="19">
        <v>16.118</v>
      </c>
      <c r="J64" s="20">
        <v>749.1115</v>
      </c>
      <c r="K64" s="20">
        <v>4.145</v>
      </c>
      <c r="L64" s="20">
        <v>0.02</v>
      </c>
      <c r="M64" s="20">
        <v>157.829</v>
      </c>
      <c r="N64" s="20">
        <v>35.377</v>
      </c>
      <c r="O64" s="20">
        <v>138.733</v>
      </c>
      <c r="P64" s="20">
        <v>39.232</v>
      </c>
      <c r="Q64" s="20">
        <v>83.586</v>
      </c>
      <c r="R64" s="27">
        <v>41.714</v>
      </c>
      <c r="S64" s="27">
        <v>157.563</v>
      </c>
      <c r="T64" s="24">
        <v>34.476</v>
      </c>
      <c r="U64" s="24">
        <v>138.204</v>
      </c>
      <c r="V64" s="24">
        <v>38.316</v>
      </c>
      <c r="W64" s="24">
        <v>82.594</v>
      </c>
      <c r="X64" s="24">
        <v>40.225</v>
      </c>
      <c r="Y64" s="24">
        <v>158.052</v>
      </c>
      <c r="Z64" s="24">
        <v>34.742</v>
      </c>
      <c r="AA64" s="24">
        <v>138.784</v>
      </c>
      <c r="AB64" s="24">
        <v>38.71</v>
      </c>
      <c r="AC64" s="24">
        <v>83.277</v>
      </c>
      <c r="AD64" s="24">
        <v>41.028</v>
      </c>
      <c r="AE64" s="21">
        <f t="shared" ref="AE64:AF64" si="187">(M64+S64+Y64)/3</f>
        <v>157.8146667</v>
      </c>
      <c r="AF64" s="21">
        <f t="shared" si="187"/>
        <v>34.865</v>
      </c>
      <c r="AG64" s="21">
        <f t="shared" ref="AG64:AH64" si="188">(AA64+U64+O64)/3</f>
        <v>138.5736667</v>
      </c>
      <c r="AH64" s="21">
        <f t="shared" si="188"/>
        <v>38.75266667</v>
      </c>
      <c r="AI64" s="21">
        <f t="shared" ref="AI64:AJ64" si="189">(Q64+W64+AC64)/3</f>
        <v>83.15233333</v>
      </c>
      <c r="AJ64" s="21">
        <f t="shared" si="189"/>
        <v>40.989</v>
      </c>
    </row>
    <row r="65">
      <c r="A65" s="13" t="s">
        <v>19</v>
      </c>
      <c r="B65" s="13" t="s">
        <v>20</v>
      </c>
      <c r="C65" s="14">
        <v>45460.0</v>
      </c>
      <c r="D65" s="15" t="s">
        <v>25</v>
      </c>
      <c r="E65" s="16">
        <v>1.4</v>
      </c>
      <c r="F65" s="15" t="s">
        <v>22</v>
      </c>
      <c r="G65" s="17">
        <v>1.0</v>
      </c>
      <c r="H65" s="18" t="s">
        <v>26</v>
      </c>
      <c r="I65" s="19">
        <v>19.549</v>
      </c>
      <c r="J65" s="20">
        <v>608.3289</v>
      </c>
      <c r="K65" s="20">
        <v>5.979</v>
      </c>
      <c r="L65" s="20">
        <v>0.066</v>
      </c>
      <c r="M65" s="20">
        <v>127.384</v>
      </c>
      <c r="N65" s="20">
        <v>27.139</v>
      </c>
      <c r="O65" s="20">
        <v>115.672</v>
      </c>
      <c r="P65" s="20">
        <v>29.346</v>
      </c>
      <c r="Q65" s="20">
        <v>78.896</v>
      </c>
      <c r="R65" s="27">
        <v>30.325</v>
      </c>
      <c r="S65" s="27">
        <v>127.456</v>
      </c>
      <c r="T65" s="24">
        <v>27.042</v>
      </c>
      <c r="U65" s="24">
        <v>115.762</v>
      </c>
      <c r="V65" s="24">
        <v>29.238</v>
      </c>
      <c r="W65" s="24">
        <v>79.048</v>
      </c>
      <c r="X65" s="24">
        <v>30.219</v>
      </c>
      <c r="Y65" s="24">
        <v>127.452</v>
      </c>
      <c r="Z65" s="24">
        <v>27.063</v>
      </c>
      <c r="AA65" s="24">
        <v>115.738</v>
      </c>
      <c r="AB65" s="24">
        <v>29.252</v>
      </c>
      <c r="AC65" s="24">
        <v>78.897</v>
      </c>
      <c r="AD65" s="24">
        <v>30.109</v>
      </c>
      <c r="AE65" s="21">
        <f t="shared" ref="AE65:AF65" si="190">(M65+S65+Y65)/3</f>
        <v>127.4306667</v>
      </c>
      <c r="AF65" s="21">
        <f t="shared" si="190"/>
        <v>27.08133333</v>
      </c>
      <c r="AG65" s="21">
        <f t="shared" ref="AG65:AH65" si="191">(AA65+U65+O65)/3</f>
        <v>115.724</v>
      </c>
      <c r="AH65" s="21">
        <f t="shared" si="191"/>
        <v>29.27866667</v>
      </c>
      <c r="AI65" s="21">
        <f t="shared" ref="AI65:AJ65" si="192">(Q65+W65+AC65)/3</f>
        <v>78.947</v>
      </c>
      <c r="AJ65" s="21">
        <f t="shared" si="192"/>
        <v>30.21766667</v>
      </c>
    </row>
    <row r="66">
      <c r="A66" s="13" t="s">
        <v>19</v>
      </c>
      <c r="B66" s="13" t="s">
        <v>20</v>
      </c>
      <c r="C66" s="14">
        <v>45460.0</v>
      </c>
      <c r="D66" s="15" t="s">
        <v>25</v>
      </c>
      <c r="E66" s="16">
        <v>2.1</v>
      </c>
      <c r="F66" s="15" t="s">
        <v>22</v>
      </c>
      <c r="G66" s="17">
        <v>1.0</v>
      </c>
      <c r="H66" s="18" t="s">
        <v>26</v>
      </c>
      <c r="I66" s="19">
        <v>18.924</v>
      </c>
      <c r="J66" s="20">
        <v>652.5534</v>
      </c>
      <c r="K66" s="20">
        <v>5.867</v>
      </c>
      <c r="L66" s="20">
        <v>0.025</v>
      </c>
      <c r="M66" s="20">
        <v>140.637</v>
      </c>
      <c r="N66" s="20">
        <v>31.721</v>
      </c>
      <c r="O66" s="20">
        <v>118.529</v>
      </c>
      <c r="P66" s="20">
        <v>34.63</v>
      </c>
      <c r="Q66" s="20">
        <v>73.452</v>
      </c>
      <c r="R66" s="27">
        <v>35.837</v>
      </c>
      <c r="S66" s="27">
        <v>140.413</v>
      </c>
      <c r="T66" s="24">
        <v>31.441</v>
      </c>
      <c r="U66" s="24">
        <v>118.422</v>
      </c>
      <c r="V66" s="24">
        <v>34.278</v>
      </c>
      <c r="W66" s="24">
        <v>73.405</v>
      </c>
      <c r="X66" s="24">
        <v>35.318</v>
      </c>
      <c r="Y66" s="24">
        <v>140.551</v>
      </c>
      <c r="Z66" s="24">
        <v>31.582</v>
      </c>
      <c r="AA66" s="24">
        <v>118.497</v>
      </c>
      <c r="AB66" s="24">
        <v>34.495</v>
      </c>
      <c r="AC66" s="24">
        <v>73.38</v>
      </c>
      <c r="AD66" s="24">
        <v>35.63</v>
      </c>
      <c r="AE66" s="21">
        <f t="shared" ref="AE66:AF66" si="193">(M66+S66+Y66)/3</f>
        <v>140.5336667</v>
      </c>
      <c r="AF66" s="21">
        <f t="shared" si="193"/>
        <v>31.58133333</v>
      </c>
      <c r="AG66" s="21">
        <f t="shared" ref="AG66:AH66" si="194">(AA66+U66+O66)/3</f>
        <v>118.4826667</v>
      </c>
      <c r="AH66" s="21">
        <f t="shared" si="194"/>
        <v>34.46766667</v>
      </c>
      <c r="AI66" s="21">
        <f t="shared" ref="AI66:AJ66" si="195">(Q66+W66+AC66)/3</f>
        <v>73.41233333</v>
      </c>
      <c r="AJ66" s="21">
        <f t="shared" si="195"/>
        <v>35.595</v>
      </c>
    </row>
    <row r="67">
      <c r="A67" s="13" t="s">
        <v>19</v>
      </c>
      <c r="B67" s="13" t="s">
        <v>20</v>
      </c>
      <c r="C67" s="14">
        <v>45460.0</v>
      </c>
      <c r="D67" s="15" t="s">
        <v>25</v>
      </c>
      <c r="E67" s="16">
        <v>2.2</v>
      </c>
      <c r="F67" s="15" t="s">
        <v>22</v>
      </c>
      <c r="G67" s="17">
        <v>1.0</v>
      </c>
      <c r="H67" s="18" t="s">
        <v>26</v>
      </c>
      <c r="I67" s="19">
        <v>22.256</v>
      </c>
      <c r="J67" s="20">
        <v>474.6072</v>
      </c>
      <c r="K67" s="20">
        <v>8.479</v>
      </c>
      <c r="L67" s="20">
        <v>0.118</v>
      </c>
      <c r="M67" s="20">
        <v>136.506</v>
      </c>
      <c r="N67" s="20">
        <v>24.691</v>
      </c>
      <c r="O67" s="20">
        <v>116.202</v>
      </c>
      <c r="P67" s="20">
        <v>28.684</v>
      </c>
      <c r="Q67" s="20">
        <v>66.471</v>
      </c>
      <c r="R67" s="27">
        <v>30.177</v>
      </c>
      <c r="S67" s="27">
        <v>137.33</v>
      </c>
      <c r="T67" s="24">
        <v>24.858</v>
      </c>
      <c r="U67" s="24">
        <v>117.078</v>
      </c>
      <c r="V67" s="24">
        <v>28.918</v>
      </c>
      <c r="W67" s="24">
        <v>67.254</v>
      </c>
      <c r="X67" s="24">
        <v>30.553</v>
      </c>
      <c r="Y67" s="24">
        <v>137.358</v>
      </c>
      <c r="Z67" s="24">
        <v>24.809</v>
      </c>
      <c r="AA67" s="24">
        <v>117.157</v>
      </c>
      <c r="AB67" s="24">
        <v>28.949</v>
      </c>
      <c r="AC67" s="24">
        <v>67.403</v>
      </c>
      <c r="AD67" s="24">
        <v>30.738</v>
      </c>
      <c r="AE67" s="21">
        <f t="shared" ref="AE67:AF67" si="196">(M67+S67+Y67)/3</f>
        <v>137.0646667</v>
      </c>
      <c r="AF67" s="21">
        <f t="shared" si="196"/>
        <v>24.786</v>
      </c>
      <c r="AG67" s="21">
        <f t="shared" ref="AG67:AH67" si="197">(AA67+U67+O67)/3</f>
        <v>116.8123333</v>
      </c>
      <c r="AH67" s="21">
        <f t="shared" si="197"/>
        <v>28.85033333</v>
      </c>
      <c r="AI67" s="21">
        <f t="shared" ref="AI67:AJ67" si="198">(Q67+W67+AC67)/3</f>
        <v>67.04266667</v>
      </c>
      <c r="AJ67" s="21">
        <f t="shared" si="198"/>
        <v>30.48933333</v>
      </c>
    </row>
    <row r="68">
      <c r="A68" s="13" t="s">
        <v>19</v>
      </c>
      <c r="B68" s="13" t="s">
        <v>20</v>
      </c>
      <c r="C68" s="14">
        <v>45460.0</v>
      </c>
      <c r="D68" s="15" t="s">
        <v>25</v>
      </c>
      <c r="E68" s="16">
        <v>2.3</v>
      </c>
      <c r="F68" s="15" t="s">
        <v>22</v>
      </c>
      <c r="G68" s="17">
        <v>1.0</v>
      </c>
      <c r="H68" s="18" t="s">
        <v>26</v>
      </c>
      <c r="I68" s="19">
        <v>15.652</v>
      </c>
      <c r="J68" s="20">
        <v>746.9217</v>
      </c>
      <c r="K68" s="20">
        <v>4.845</v>
      </c>
      <c r="L68" s="20">
        <v>0.019</v>
      </c>
      <c r="M68" s="20">
        <v>136.725</v>
      </c>
      <c r="N68" s="20">
        <v>27.14</v>
      </c>
      <c r="O68" s="20">
        <v>114.175</v>
      </c>
      <c r="P68" s="20">
        <v>29.756</v>
      </c>
      <c r="Q68" s="20">
        <v>68.485</v>
      </c>
      <c r="R68" s="27">
        <v>30.978</v>
      </c>
      <c r="S68" s="27">
        <v>136.994</v>
      </c>
      <c r="T68" s="24">
        <v>27.078</v>
      </c>
      <c r="U68" s="24">
        <v>114.469</v>
      </c>
      <c r="V68" s="24">
        <v>29.844</v>
      </c>
      <c r="W68" s="24">
        <v>68.786</v>
      </c>
      <c r="X68" s="24">
        <v>31.192</v>
      </c>
      <c r="Y68" s="24">
        <v>137.096</v>
      </c>
      <c r="Z68" s="24">
        <v>27.12</v>
      </c>
      <c r="AA68" s="24">
        <v>114.589</v>
      </c>
      <c r="AB68" s="24">
        <v>29.907</v>
      </c>
      <c r="AC68" s="24">
        <v>68.99</v>
      </c>
      <c r="AD68" s="24">
        <v>31.537</v>
      </c>
      <c r="AE68" s="21">
        <f t="shared" ref="AE68:AF68" si="199">(M68+S68+Y68)/3</f>
        <v>136.9383333</v>
      </c>
      <c r="AF68" s="21">
        <f t="shared" si="199"/>
        <v>27.11266667</v>
      </c>
      <c r="AG68" s="21">
        <f t="shared" ref="AG68:AH68" si="200">(AA68+U68+O68)/3</f>
        <v>114.411</v>
      </c>
      <c r="AH68" s="21">
        <f t="shared" si="200"/>
        <v>29.83566667</v>
      </c>
      <c r="AI68" s="21">
        <f t="shared" ref="AI68:AJ68" si="201">(Q68+W68+AC68)/3</f>
        <v>68.75366667</v>
      </c>
      <c r="AJ68" s="21">
        <f t="shared" si="201"/>
        <v>31.23566667</v>
      </c>
    </row>
    <row r="69">
      <c r="A69" s="13" t="s">
        <v>19</v>
      </c>
      <c r="B69" s="13" t="s">
        <v>20</v>
      </c>
      <c r="C69" s="14">
        <v>45460.0</v>
      </c>
      <c r="D69" s="15" t="s">
        <v>25</v>
      </c>
      <c r="E69" s="16">
        <v>2.4</v>
      </c>
      <c r="F69" s="15" t="s">
        <v>22</v>
      </c>
      <c r="G69" s="17">
        <v>1.0</v>
      </c>
      <c r="H69" s="18" t="s">
        <v>26</v>
      </c>
      <c r="I69" s="19">
        <v>17.743</v>
      </c>
      <c r="J69" s="20">
        <v>512.999</v>
      </c>
      <c r="K69" s="20">
        <v>5.723</v>
      </c>
      <c r="L69" s="20">
        <v>0.073</v>
      </c>
      <c r="M69" s="20">
        <v>141.815</v>
      </c>
      <c r="N69" s="20">
        <v>28.102</v>
      </c>
      <c r="O69" s="20">
        <v>127.043</v>
      </c>
      <c r="P69" s="20">
        <v>30.953</v>
      </c>
      <c r="Q69" s="20">
        <v>91.484</v>
      </c>
      <c r="R69" s="27">
        <v>32.194</v>
      </c>
      <c r="S69" s="27">
        <v>141.639</v>
      </c>
      <c r="T69" s="24">
        <v>28.13</v>
      </c>
      <c r="U69" s="24">
        <v>126.704</v>
      </c>
      <c r="V69" s="24">
        <v>30.976</v>
      </c>
      <c r="W69" s="24">
        <v>90.922</v>
      </c>
      <c r="X69" s="24">
        <v>32.101</v>
      </c>
      <c r="Y69" s="24">
        <v>142.257</v>
      </c>
      <c r="Z69" s="24">
        <v>28.136</v>
      </c>
      <c r="AA69" s="24">
        <v>127.511</v>
      </c>
      <c r="AB69" s="24">
        <v>31.077</v>
      </c>
      <c r="AC69" s="24">
        <v>92.084</v>
      </c>
      <c r="AD69" s="24">
        <v>32.631</v>
      </c>
      <c r="AE69" s="21">
        <f t="shared" ref="AE69:AF69" si="202">(M69+S69+Y69)/3</f>
        <v>141.9036667</v>
      </c>
      <c r="AF69" s="21">
        <f t="shared" si="202"/>
        <v>28.12266667</v>
      </c>
      <c r="AG69" s="21">
        <f t="shared" ref="AG69:AH69" si="203">(AA69+U69+O69)/3</f>
        <v>127.086</v>
      </c>
      <c r="AH69" s="21">
        <f t="shared" si="203"/>
        <v>31.002</v>
      </c>
      <c r="AI69" s="21">
        <f t="shared" ref="AI69:AJ69" si="204">(Q69+W69+AC69)/3</f>
        <v>91.49666667</v>
      </c>
      <c r="AJ69" s="21">
        <f t="shared" si="204"/>
        <v>32.30866667</v>
      </c>
    </row>
    <row r="70">
      <c r="A70" s="13" t="s">
        <v>19</v>
      </c>
      <c r="B70" s="13" t="s">
        <v>20</v>
      </c>
      <c r="C70" s="14">
        <v>45460.0</v>
      </c>
      <c r="D70" s="15" t="s">
        <v>25</v>
      </c>
      <c r="E70" s="16">
        <v>3.1</v>
      </c>
      <c r="F70" s="15" t="s">
        <v>22</v>
      </c>
      <c r="G70" s="17">
        <v>1.0</v>
      </c>
      <c r="H70" s="18" t="s">
        <v>26</v>
      </c>
      <c r="I70" s="19">
        <v>17.754</v>
      </c>
      <c r="J70" s="20">
        <v>631.6051</v>
      </c>
      <c r="K70" s="20">
        <v>4.1</v>
      </c>
      <c r="L70" s="20">
        <v>0.054</v>
      </c>
      <c r="M70" s="20">
        <v>127.629</v>
      </c>
      <c r="N70" s="20">
        <v>27.82</v>
      </c>
      <c r="O70" s="20">
        <v>108.633</v>
      </c>
      <c r="P70" s="20">
        <v>31.351</v>
      </c>
      <c r="Q70" s="20">
        <v>62.167</v>
      </c>
      <c r="R70" s="27">
        <v>32.167</v>
      </c>
      <c r="S70" s="27">
        <v>127.78</v>
      </c>
      <c r="T70" s="24">
        <v>27.688</v>
      </c>
      <c r="U70" s="24">
        <v>108.781</v>
      </c>
      <c r="V70" s="24">
        <v>31.275</v>
      </c>
      <c r="W70" s="24">
        <v>62.272</v>
      </c>
      <c r="X70" s="24">
        <v>31.052</v>
      </c>
      <c r="Y70" s="24">
        <v>128.102</v>
      </c>
      <c r="Z70" s="24">
        <v>27.811</v>
      </c>
      <c r="AA70" s="24">
        <v>109.228</v>
      </c>
      <c r="AB70" s="24">
        <v>31.533</v>
      </c>
      <c r="AC70" s="24">
        <v>62.857</v>
      </c>
      <c r="AD70" s="24">
        <v>32.644</v>
      </c>
      <c r="AE70" s="21">
        <f t="shared" ref="AE70:AF70" si="205">(M70+S70+Y70)/3</f>
        <v>127.837</v>
      </c>
      <c r="AF70" s="21">
        <f t="shared" si="205"/>
        <v>27.773</v>
      </c>
      <c r="AG70" s="21">
        <f t="shared" ref="AG70:AH70" si="206">(AA70+U70+O70)/3</f>
        <v>108.8806667</v>
      </c>
      <c r="AH70" s="21">
        <f t="shared" si="206"/>
        <v>31.38633333</v>
      </c>
      <c r="AI70" s="21">
        <f t="shared" ref="AI70:AJ70" si="207">(Q70+W70+AC70)/3</f>
        <v>62.432</v>
      </c>
      <c r="AJ70" s="21">
        <f t="shared" si="207"/>
        <v>31.95433333</v>
      </c>
    </row>
    <row r="71">
      <c r="A71" s="13" t="s">
        <v>19</v>
      </c>
      <c r="B71" s="13" t="s">
        <v>20</v>
      </c>
      <c r="C71" s="14">
        <v>45460.0</v>
      </c>
      <c r="D71" s="15" t="s">
        <v>25</v>
      </c>
      <c r="E71" s="16">
        <v>3.2</v>
      </c>
      <c r="F71" s="15" t="s">
        <v>22</v>
      </c>
      <c r="G71" s="17">
        <v>1.0</v>
      </c>
      <c r="H71" s="18" t="s">
        <v>26</v>
      </c>
      <c r="I71" s="19">
        <v>17.939</v>
      </c>
      <c r="J71" s="24">
        <v>664.5254</v>
      </c>
      <c r="K71" s="20">
        <v>4.412</v>
      </c>
      <c r="L71" s="20">
        <v>0.019</v>
      </c>
      <c r="M71" s="20">
        <v>128.13</v>
      </c>
      <c r="N71" s="20">
        <v>25.61</v>
      </c>
      <c r="O71" s="20">
        <v>111.942</v>
      </c>
      <c r="P71" s="20">
        <v>29.437</v>
      </c>
      <c r="Q71" s="20">
        <v>68.542</v>
      </c>
      <c r="R71" s="27">
        <v>33.235</v>
      </c>
      <c r="S71" s="27">
        <v>128.289</v>
      </c>
      <c r="T71" s="24">
        <v>25.701</v>
      </c>
      <c r="U71" s="24">
        <v>112.162</v>
      </c>
      <c r="V71" s="24">
        <v>29.569</v>
      </c>
      <c r="W71" s="24">
        <v>68.87</v>
      </c>
      <c r="X71" s="24">
        <v>33.461</v>
      </c>
      <c r="Y71" s="24">
        <v>128.207</v>
      </c>
      <c r="Z71" s="24">
        <v>25.652</v>
      </c>
      <c r="AA71" s="24">
        <v>112.022</v>
      </c>
      <c r="AB71" s="24">
        <v>29.443</v>
      </c>
      <c r="AC71" s="24">
        <v>68.548</v>
      </c>
      <c r="AD71" s="24">
        <v>33.156</v>
      </c>
      <c r="AE71" s="21">
        <f t="shared" ref="AE71:AF71" si="208">(M71+S71+Y71)/3</f>
        <v>128.2086667</v>
      </c>
      <c r="AF71" s="21">
        <f t="shared" si="208"/>
        <v>25.65433333</v>
      </c>
      <c r="AG71" s="21">
        <f t="shared" ref="AG71:AH71" si="209">(AA71+U71+O71)/3</f>
        <v>112.042</v>
      </c>
      <c r="AH71" s="21">
        <f t="shared" si="209"/>
        <v>29.483</v>
      </c>
      <c r="AI71" s="21">
        <f t="shared" ref="AI71:AJ71" si="210">(Q71+W71+AC71)/3</f>
        <v>68.65333333</v>
      </c>
      <c r="AJ71" s="21">
        <f t="shared" si="210"/>
        <v>33.284</v>
      </c>
    </row>
    <row r="72">
      <c r="A72" s="13" t="s">
        <v>19</v>
      </c>
      <c r="B72" s="13" t="s">
        <v>20</v>
      </c>
      <c r="C72" s="14">
        <v>45460.0</v>
      </c>
      <c r="D72" s="15" t="s">
        <v>25</v>
      </c>
      <c r="E72" s="16">
        <v>3.3</v>
      </c>
      <c r="F72" s="15" t="s">
        <v>22</v>
      </c>
      <c r="G72" s="17">
        <v>1.0</v>
      </c>
      <c r="H72" s="18" t="s">
        <v>26</v>
      </c>
      <c r="I72" s="19">
        <v>14.803</v>
      </c>
      <c r="J72" s="20">
        <v>792.2045</v>
      </c>
      <c r="K72" s="20">
        <v>5.112</v>
      </c>
      <c r="L72" s="20">
        <v>0.05</v>
      </c>
      <c r="M72" s="20">
        <v>133.069</v>
      </c>
      <c r="N72" s="20">
        <v>23.293</v>
      </c>
      <c r="O72" s="20">
        <v>113.837</v>
      </c>
      <c r="P72" s="20">
        <v>27.046</v>
      </c>
      <c r="Q72" s="20">
        <v>67.73</v>
      </c>
      <c r="R72" s="27">
        <v>30.229</v>
      </c>
      <c r="S72" s="27">
        <v>132.772</v>
      </c>
      <c r="T72" s="24">
        <v>23.119</v>
      </c>
      <c r="U72" s="24">
        <v>113.463</v>
      </c>
      <c r="V72" s="24">
        <v>26.78</v>
      </c>
      <c r="W72" s="24">
        <v>67.192</v>
      </c>
      <c r="X72" s="24">
        <v>29.685</v>
      </c>
      <c r="Y72" s="24">
        <v>132.951</v>
      </c>
      <c r="Z72" s="24">
        <v>23.198</v>
      </c>
      <c r="AA72" s="24">
        <v>113.644</v>
      </c>
      <c r="AB72" s="24">
        <v>26.9</v>
      </c>
      <c r="AC72" s="24">
        <v>67.376</v>
      </c>
      <c r="AD72" s="24">
        <v>29.871</v>
      </c>
      <c r="AE72" s="21">
        <f t="shared" ref="AE72:AF72" si="211">(M72+S72+Y72)/3</f>
        <v>132.9306667</v>
      </c>
      <c r="AF72" s="21">
        <f t="shared" si="211"/>
        <v>23.20333333</v>
      </c>
      <c r="AG72" s="21">
        <f t="shared" ref="AG72:AH72" si="212">(AA72+U72+O72)/3</f>
        <v>113.648</v>
      </c>
      <c r="AH72" s="21">
        <f t="shared" si="212"/>
        <v>26.90866667</v>
      </c>
      <c r="AI72" s="21">
        <f t="shared" ref="AI72:AJ72" si="213">(Q72+W72+AC72)/3</f>
        <v>67.43266667</v>
      </c>
      <c r="AJ72" s="21">
        <f t="shared" si="213"/>
        <v>29.92833333</v>
      </c>
    </row>
    <row r="73">
      <c r="A73" s="13" t="s">
        <v>19</v>
      </c>
      <c r="B73" s="13" t="s">
        <v>20</v>
      </c>
      <c r="C73" s="14">
        <v>45460.0</v>
      </c>
      <c r="D73" s="15" t="s">
        <v>25</v>
      </c>
      <c r="E73" s="16">
        <v>3.4</v>
      </c>
      <c r="F73" s="15" t="s">
        <v>22</v>
      </c>
      <c r="G73" s="17">
        <v>1.0</v>
      </c>
      <c r="H73" s="18" t="s">
        <v>26</v>
      </c>
      <c r="I73" s="19">
        <v>17.295</v>
      </c>
      <c r="J73" s="20">
        <v>597.7533</v>
      </c>
      <c r="K73" s="20">
        <v>6.136</v>
      </c>
      <c r="L73" s="20">
        <v>0.1</v>
      </c>
      <c r="M73" s="20">
        <v>132.676</v>
      </c>
      <c r="N73" s="20">
        <v>24.425</v>
      </c>
      <c r="O73" s="20">
        <v>120.704</v>
      </c>
      <c r="P73" s="20">
        <v>27.492</v>
      </c>
      <c r="Q73" s="20">
        <v>88.228</v>
      </c>
      <c r="R73" s="27">
        <v>29.915</v>
      </c>
      <c r="S73" s="27">
        <v>133.414</v>
      </c>
      <c r="T73" s="24">
        <v>24.589</v>
      </c>
      <c r="U73" s="24">
        <v>121.578</v>
      </c>
      <c r="V73" s="24">
        <v>27.774</v>
      </c>
      <c r="W73" s="24">
        <v>89.616</v>
      </c>
      <c r="X73" s="24">
        <v>30.838</v>
      </c>
      <c r="Y73" s="24">
        <v>132.924</v>
      </c>
      <c r="Z73" s="24">
        <v>24.76</v>
      </c>
      <c r="AA73" s="24">
        <v>121.055</v>
      </c>
      <c r="AB73" s="24">
        <v>27.801</v>
      </c>
      <c r="AC73" s="24">
        <v>88.857</v>
      </c>
      <c r="AD73" s="24">
        <v>30.361</v>
      </c>
      <c r="AE73" s="21">
        <f t="shared" ref="AE73:AF73" si="214">(M73+S73+Y73)/3</f>
        <v>133.0046667</v>
      </c>
      <c r="AF73" s="21">
        <f t="shared" si="214"/>
        <v>24.59133333</v>
      </c>
      <c r="AG73" s="21">
        <f t="shared" ref="AG73:AH73" si="215">(AA73+U73+O73)/3</f>
        <v>121.1123333</v>
      </c>
      <c r="AH73" s="21">
        <f t="shared" si="215"/>
        <v>27.689</v>
      </c>
      <c r="AI73" s="21">
        <f t="shared" ref="AI73:AJ73" si="216">(Q73+W73+AC73)/3</f>
        <v>88.90033333</v>
      </c>
      <c r="AJ73" s="21">
        <f t="shared" si="216"/>
        <v>30.37133333</v>
      </c>
    </row>
    <row r="74">
      <c r="A74" s="13" t="s">
        <v>19</v>
      </c>
      <c r="B74" s="13" t="s">
        <v>20</v>
      </c>
      <c r="C74" s="14">
        <v>45460.0</v>
      </c>
      <c r="D74" s="15" t="s">
        <v>21</v>
      </c>
      <c r="E74" s="16">
        <v>4.1</v>
      </c>
      <c r="F74" s="15" t="s">
        <v>27</v>
      </c>
      <c r="G74" s="17">
        <v>1.0</v>
      </c>
      <c r="H74" s="18" t="s">
        <v>23</v>
      </c>
      <c r="I74" s="19">
        <v>7.95</v>
      </c>
      <c r="J74" s="20">
        <v>603.6191</v>
      </c>
      <c r="K74" s="20">
        <v>2.317</v>
      </c>
      <c r="L74" s="20">
        <v>0.042</v>
      </c>
      <c r="M74" s="20">
        <v>134.74</v>
      </c>
      <c r="N74" s="20">
        <v>19.577</v>
      </c>
      <c r="O74" s="20">
        <v>116.667</v>
      </c>
      <c r="P74" s="20">
        <v>21.54</v>
      </c>
      <c r="Q74" s="20">
        <v>83.609</v>
      </c>
      <c r="R74" s="27">
        <v>26.689</v>
      </c>
      <c r="S74" s="27">
        <v>134.667</v>
      </c>
      <c r="T74" s="24">
        <v>19.776</v>
      </c>
      <c r="U74" s="24">
        <v>116.583</v>
      </c>
      <c r="V74" s="24">
        <v>21.649</v>
      </c>
      <c r="W74" s="24">
        <v>83.479</v>
      </c>
      <c r="X74" s="24">
        <v>26.702</v>
      </c>
      <c r="Y74" s="24">
        <v>134.77</v>
      </c>
      <c r="Z74" s="24">
        <v>19.456</v>
      </c>
      <c r="AA74" s="24">
        <v>116.655</v>
      </c>
      <c r="AB74" s="24">
        <v>21.471</v>
      </c>
      <c r="AC74" s="24">
        <v>83.473</v>
      </c>
      <c r="AD74" s="24">
        <v>26.688</v>
      </c>
      <c r="AE74" s="21">
        <f t="shared" ref="AE74:AF74" si="217">(M74+S74+Y74)/3</f>
        <v>134.7256667</v>
      </c>
      <c r="AF74" s="21">
        <f t="shared" si="217"/>
        <v>19.603</v>
      </c>
      <c r="AG74" s="21">
        <f t="shared" ref="AG74:AH74" si="218">(AA74+U74+O74)/3</f>
        <v>116.635</v>
      </c>
      <c r="AH74" s="21">
        <f t="shared" si="218"/>
        <v>21.55333333</v>
      </c>
      <c r="AI74" s="21">
        <f t="shared" ref="AI74:AJ74" si="219">(Q74+W74+AC74)/3</f>
        <v>83.52033333</v>
      </c>
      <c r="AJ74" s="21">
        <f t="shared" si="219"/>
        <v>26.693</v>
      </c>
    </row>
    <row r="75">
      <c r="A75" s="13" t="s">
        <v>19</v>
      </c>
      <c r="B75" s="13" t="s">
        <v>20</v>
      </c>
      <c r="C75" s="14">
        <v>45460.0</v>
      </c>
      <c r="D75" s="15" t="s">
        <v>21</v>
      </c>
      <c r="E75" s="16">
        <v>4.2</v>
      </c>
      <c r="F75" s="15" t="s">
        <v>27</v>
      </c>
      <c r="G75" s="17">
        <v>1.0</v>
      </c>
      <c r="H75" s="18" t="s">
        <v>23</v>
      </c>
      <c r="I75" s="19">
        <v>8.156</v>
      </c>
      <c r="J75" s="20">
        <v>574.223</v>
      </c>
      <c r="K75" s="24">
        <v>2.17</v>
      </c>
      <c r="L75" s="20">
        <v>0.006</v>
      </c>
      <c r="M75" s="20">
        <v>123.996</v>
      </c>
      <c r="N75" s="20">
        <v>19.37</v>
      </c>
      <c r="O75" s="20">
        <v>105.421</v>
      </c>
      <c r="P75" s="20">
        <v>21.6</v>
      </c>
      <c r="Q75" s="20">
        <v>74.409</v>
      </c>
      <c r="R75" s="27">
        <v>23.475</v>
      </c>
      <c r="S75" s="27">
        <v>123.713</v>
      </c>
      <c r="T75" s="24">
        <v>18.998</v>
      </c>
      <c r="U75" s="24">
        <v>105.045</v>
      </c>
      <c r="V75" s="24">
        <v>21.093</v>
      </c>
      <c r="W75" s="24">
        <v>73.993</v>
      </c>
      <c r="X75" s="24">
        <v>22.911</v>
      </c>
      <c r="Y75" s="24">
        <v>124.007</v>
      </c>
      <c r="Z75" s="24">
        <v>19.884</v>
      </c>
      <c r="AA75" s="24">
        <v>105.34</v>
      </c>
      <c r="AB75" s="24">
        <v>22.176</v>
      </c>
      <c r="AC75" s="24">
        <v>74.361</v>
      </c>
      <c r="AD75" s="24">
        <v>24.274</v>
      </c>
      <c r="AE75" s="21">
        <f t="shared" ref="AE75:AF75" si="220">(M75+S75+Y75)/3</f>
        <v>123.9053333</v>
      </c>
      <c r="AF75" s="21">
        <f t="shared" si="220"/>
        <v>19.41733333</v>
      </c>
      <c r="AG75" s="21">
        <f t="shared" ref="AG75:AH75" si="221">(AA75+U75+O75)/3</f>
        <v>105.2686667</v>
      </c>
      <c r="AH75" s="21">
        <f t="shared" si="221"/>
        <v>21.623</v>
      </c>
      <c r="AI75" s="21">
        <f t="shared" ref="AI75:AJ75" si="222">(Q75+W75+AC75)/3</f>
        <v>74.25433333</v>
      </c>
      <c r="AJ75" s="21">
        <f t="shared" si="222"/>
        <v>23.55333333</v>
      </c>
    </row>
    <row r="76">
      <c r="A76" s="13" t="s">
        <v>19</v>
      </c>
      <c r="B76" s="13" t="s">
        <v>20</v>
      </c>
      <c r="C76" s="14">
        <v>45460.0</v>
      </c>
      <c r="D76" s="15" t="s">
        <v>21</v>
      </c>
      <c r="E76" s="16">
        <v>4.3</v>
      </c>
      <c r="F76" s="15" t="s">
        <v>27</v>
      </c>
      <c r="G76" s="17">
        <v>1.0</v>
      </c>
      <c r="H76" s="18" t="s">
        <v>23</v>
      </c>
      <c r="I76" s="19">
        <v>7.827</v>
      </c>
      <c r="J76" s="20">
        <v>582.1684</v>
      </c>
      <c r="K76" s="20">
        <v>1.717</v>
      </c>
      <c r="L76" s="20">
        <v>0.024</v>
      </c>
      <c r="M76" s="20">
        <v>120.832</v>
      </c>
      <c r="N76" s="20">
        <v>17.373</v>
      </c>
      <c r="O76" s="20">
        <v>105.985</v>
      </c>
      <c r="P76" s="20">
        <v>19.54</v>
      </c>
      <c r="Q76" s="20">
        <v>74.972</v>
      </c>
      <c r="R76" s="27">
        <v>20.886</v>
      </c>
      <c r="S76" s="27">
        <v>121.134</v>
      </c>
      <c r="T76" s="24">
        <v>17.724</v>
      </c>
      <c r="U76" s="24">
        <v>106.384</v>
      </c>
      <c r="V76" s="24">
        <v>19.998</v>
      </c>
      <c r="W76" s="24">
        <v>75.433</v>
      </c>
      <c r="X76" s="24">
        <v>21.461</v>
      </c>
      <c r="Y76" s="24">
        <v>120.814</v>
      </c>
      <c r="Z76" s="24">
        <v>17.568</v>
      </c>
      <c r="AA76" s="24">
        <v>106.029</v>
      </c>
      <c r="AB76" s="24">
        <v>19.672</v>
      </c>
      <c r="AC76" s="24">
        <v>75.053</v>
      </c>
      <c r="AD76" s="24">
        <v>20.915</v>
      </c>
      <c r="AE76" s="21">
        <f t="shared" ref="AE76:AF76" si="223">(M76+S76+Y76)/3</f>
        <v>120.9266667</v>
      </c>
      <c r="AF76" s="21">
        <f t="shared" si="223"/>
        <v>17.555</v>
      </c>
      <c r="AG76" s="21">
        <f t="shared" ref="AG76:AH76" si="224">(AA76+U76+O76)/3</f>
        <v>106.1326667</v>
      </c>
      <c r="AH76" s="21">
        <f t="shared" si="224"/>
        <v>19.73666667</v>
      </c>
      <c r="AI76" s="21">
        <f t="shared" ref="AI76:AJ76" si="225">(Q76+W76+AC76)/3</f>
        <v>75.15266667</v>
      </c>
      <c r="AJ76" s="21">
        <f t="shared" si="225"/>
        <v>21.08733333</v>
      </c>
    </row>
    <row r="77">
      <c r="A77" s="13" t="s">
        <v>19</v>
      </c>
      <c r="B77" s="13" t="s">
        <v>20</v>
      </c>
      <c r="C77" s="14">
        <v>45460.0</v>
      </c>
      <c r="D77" s="15" t="s">
        <v>21</v>
      </c>
      <c r="E77" s="16">
        <v>4.4</v>
      </c>
      <c r="F77" s="15" t="s">
        <v>27</v>
      </c>
      <c r="G77" s="17">
        <v>1.0</v>
      </c>
      <c r="H77" s="18" t="s">
        <v>23</v>
      </c>
      <c r="I77" s="19">
        <v>7.344</v>
      </c>
      <c r="J77" s="20">
        <v>768.5857</v>
      </c>
      <c r="K77" s="20">
        <v>2.2</v>
      </c>
      <c r="L77" s="20">
        <v>0.018</v>
      </c>
      <c r="M77" s="20">
        <v>135.73</v>
      </c>
      <c r="N77" s="20">
        <v>27.662</v>
      </c>
      <c r="O77" s="20">
        <v>119.605</v>
      </c>
      <c r="P77" s="20">
        <v>29.046</v>
      </c>
      <c r="Q77" s="20">
        <v>94.704</v>
      </c>
      <c r="R77" s="27">
        <v>30.914</v>
      </c>
      <c r="S77" s="27">
        <v>136.081</v>
      </c>
      <c r="T77" s="24">
        <v>26.973</v>
      </c>
      <c r="U77" s="24">
        <v>119.735</v>
      </c>
      <c r="V77" s="24">
        <v>28.369</v>
      </c>
      <c r="W77" s="24">
        <v>94.407</v>
      </c>
      <c r="X77" s="24">
        <v>30.21</v>
      </c>
      <c r="Y77" s="24">
        <v>135.469</v>
      </c>
      <c r="Z77" s="24">
        <v>27.496</v>
      </c>
      <c r="AA77" s="24">
        <v>119.091</v>
      </c>
      <c r="AB77" s="24">
        <v>28.778</v>
      </c>
      <c r="AC77" s="24">
        <v>93.806</v>
      </c>
      <c r="AD77" s="24">
        <v>30.24</v>
      </c>
      <c r="AE77" s="21">
        <f t="shared" ref="AE77:AF77" si="226">(M77+S77+Y77)/3</f>
        <v>135.76</v>
      </c>
      <c r="AF77" s="21">
        <f t="shared" si="226"/>
        <v>27.377</v>
      </c>
      <c r="AG77" s="21">
        <f t="shared" ref="AG77:AH77" si="227">(AA77+U77+O77)/3</f>
        <v>119.477</v>
      </c>
      <c r="AH77" s="21">
        <f t="shared" si="227"/>
        <v>28.731</v>
      </c>
      <c r="AI77" s="21">
        <f t="shared" ref="AI77:AJ77" si="228">(Q77+W77+AC77)/3</f>
        <v>94.30566667</v>
      </c>
      <c r="AJ77" s="21">
        <f t="shared" si="228"/>
        <v>30.45466667</v>
      </c>
    </row>
    <row r="78">
      <c r="A78" s="13" t="s">
        <v>19</v>
      </c>
      <c r="B78" s="13" t="s">
        <v>20</v>
      </c>
      <c r="C78" s="14">
        <v>45460.0</v>
      </c>
      <c r="D78" s="15" t="s">
        <v>21</v>
      </c>
      <c r="E78" s="16">
        <v>5.1</v>
      </c>
      <c r="F78" s="15" t="s">
        <v>27</v>
      </c>
      <c r="G78" s="17">
        <v>1.0</v>
      </c>
      <c r="H78" s="18" t="s">
        <v>23</v>
      </c>
      <c r="I78" s="19">
        <v>8.583</v>
      </c>
      <c r="J78" s="20">
        <v>678.2389</v>
      </c>
      <c r="K78" s="20">
        <v>2.004</v>
      </c>
      <c r="L78" s="20">
        <v>0.006</v>
      </c>
      <c r="M78" s="20">
        <v>106.022</v>
      </c>
      <c r="N78" s="20">
        <v>40.366</v>
      </c>
      <c r="O78" s="20">
        <v>84.79</v>
      </c>
      <c r="P78" s="20">
        <v>41.498</v>
      </c>
      <c r="Q78" s="20">
        <v>67.63</v>
      </c>
      <c r="R78" s="27">
        <v>35.756</v>
      </c>
      <c r="S78" s="27">
        <v>107.114</v>
      </c>
      <c r="T78" s="24">
        <v>40.568</v>
      </c>
      <c r="U78" s="24">
        <v>86.172</v>
      </c>
      <c r="V78" s="24">
        <v>42.092</v>
      </c>
      <c r="W78" s="24">
        <v>68.948</v>
      </c>
      <c r="X78" s="24">
        <v>36.483</v>
      </c>
      <c r="Y78" s="24">
        <v>106.906</v>
      </c>
      <c r="Z78" s="24">
        <v>40.734</v>
      </c>
      <c r="AA78" s="24">
        <v>86.034</v>
      </c>
      <c r="AB78" s="24">
        <v>42.166</v>
      </c>
      <c r="AC78" s="24">
        <v>68.753</v>
      </c>
      <c r="AD78" s="24">
        <v>36.392</v>
      </c>
      <c r="AE78" s="21">
        <f t="shared" ref="AE78:AF78" si="229">(M78+S78+Y78)/3</f>
        <v>106.6806667</v>
      </c>
      <c r="AF78" s="21">
        <f t="shared" si="229"/>
        <v>40.556</v>
      </c>
      <c r="AG78" s="21">
        <f t="shared" ref="AG78:AH78" si="230">(AA78+U78+O78)/3</f>
        <v>85.66533333</v>
      </c>
      <c r="AH78" s="21">
        <f t="shared" si="230"/>
        <v>41.91866667</v>
      </c>
      <c r="AI78" s="21">
        <f t="shared" ref="AI78:AJ78" si="231">(Q78+W78+AC78)/3</f>
        <v>68.44366667</v>
      </c>
      <c r="AJ78" s="21">
        <f t="shared" si="231"/>
        <v>36.21033333</v>
      </c>
    </row>
    <row r="79">
      <c r="A79" s="13" t="s">
        <v>19</v>
      </c>
      <c r="B79" s="13" t="s">
        <v>20</v>
      </c>
      <c r="C79" s="14">
        <v>45460.0</v>
      </c>
      <c r="D79" s="15" t="s">
        <v>21</v>
      </c>
      <c r="E79" s="16">
        <v>5.2</v>
      </c>
      <c r="F79" s="15" t="s">
        <v>27</v>
      </c>
      <c r="G79" s="17">
        <v>1.0</v>
      </c>
      <c r="H79" s="18" t="s">
        <v>23</v>
      </c>
      <c r="I79" s="19">
        <v>8.998</v>
      </c>
      <c r="J79" s="20">
        <v>715.4167</v>
      </c>
      <c r="K79" s="20">
        <v>2.773</v>
      </c>
      <c r="L79" s="20">
        <v>0.014</v>
      </c>
      <c r="M79" s="20">
        <v>117.259</v>
      </c>
      <c r="N79" s="20">
        <v>39.965</v>
      </c>
      <c r="O79" s="20">
        <v>93.209</v>
      </c>
      <c r="P79" s="20">
        <v>42.57</v>
      </c>
      <c r="Q79" s="20">
        <v>71.98</v>
      </c>
      <c r="R79" s="27">
        <v>38.535</v>
      </c>
      <c r="S79" s="27">
        <v>117.196</v>
      </c>
      <c r="T79" s="24">
        <v>39.989</v>
      </c>
      <c r="U79" s="24">
        <v>93.091</v>
      </c>
      <c r="V79" s="24">
        <v>42.577</v>
      </c>
      <c r="W79" s="24">
        <v>71.745</v>
      </c>
      <c r="X79" s="24">
        <v>38.371</v>
      </c>
      <c r="Y79" s="24">
        <v>116.617</v>
      </c>
      <c r="Z79" s="24">
        <v>39.594</v>
      </c>
      <c r="AA79" s="24">
        <v>92.417</v>
      </c>
      <c r="AB79" s="24">
        <v>42.055</v>
      </c>
      <c r="AC79" s="24">
        <v>71.094</v>
      </c>
      <c r="AD79" s="24">
        <v>37.854</v>
      </c>
      <c r="AE79" s="21">
        <f t="shared" ref="AE79:AF79" si="232">(M79+S79+Y79)/3</f>
        <v>117.024</v>
      </c>
      <c r="AF79" s="21">
        <f t="shared" si="232"/>
        <v>39.84933333</v>
      </c>
      <c r="AG79" s="21">
        <f t="shared" ref="AG79:AH79" si="233">(AA79+U79+O79)/3</f>
        <v>92.90566667</v>
      </c>
      <c r="AH79" s="21">
        <f t="shared" si="233"/>
        <v>42.40066667</v>
      </c>
      <c r="AI79" s="21">
        <f t="shared" ref="AI79:AJ79" si="234">(Q79+W79+AC79)/3</f>
        <v>71.60633333</v>
      </c>
      <c r="AJ79" s="21">
        <f t="shared" si="234"/>
        <v>38.25333333</v>
      </c>
    </row>
    <row r="80">
      <c r="A80" s="13" t="s">
        <v>19</v>
      </c>
      <c r="B80" s="13" t="s">
        <v>20</v>
      </c>
      <c r="C80" s="14">
        <v>45460.0</v>
      </c>
      <c r="D80" s="15" t="s">
        <v>21</v>
      </c>
      <c r="E80" s="16">
        <v>5.3</v>
      </c>
      <c r="F80" s="15" t="s">
        <v>27</v>
      </c>
      <c r="G80" s="17">
        <v>1.0</v>
      </c>
      <c r="H80" s="18" t="s">
        <v>23</v>
      </c>
      <c r="I80" s="19">
        <v>9.413</v>
      </c>
      <c r="J80" s="20">
        <v>723.3049</v>
      </c>
      <c r="K80" s="20">
        <v>2.761</v>
      </c>
      <c r="L80" s="20">
        <v>0.023</v>
      </c>
      <c r="M80" s="20">
        <v>116.761</v>
      </c>
      <c r="N80" s="20">
        <v>40.458</v>
      </c>
      <c r="O80" s="20">
        <v>95.072</v>
      </c>
      <c r="P80" s="20">
        <v>41.317</v>
      </c>
      <c r="Q80" s="20">
        <v>69.03</v>
      </c>
      <c r="R80" s="27">
        <v>38.548</v>
      </c>
      <c r="S80" s="27">
        <v>117.571</v>
      </c>
      <c r="T80" s="24">
        <v>40.827</v>
      </c>
      <c r="U80" s="24">
        <v>96.142</v>
      </c>
      <c r="V80" s="24">
        <v>41.959</v>
      </c>
      <c r="W80" s="24">
        <v>70.204</v>
      </c>
      <c r="X80" s="24">
        <v>39.545</v>
      </c>
      <c r="Y80" s="24">
        <v>116.577</v>
      </c>
      <c r="Z80" s="24">
        <v>40.249</v>
      </c>
      <c r="AA80" s="24">
        <v>94.746</v>
      </c>
      <c r="AB80" s="24">
        <v>41.013</v>
      </c>
      <c r="AC80" s="24">
        <v>68.656</v>
      </c>
      <c r="AD80" s="24">
        <v>38.29</v>
      </c>
      <c r="AE80" s="21">
        <f t="shared" ref="AE80:AF80" si="235">(M80+S80+Y80)/3</f>
        <v>116.9696667</v>
      </c>
      <c r="AF80" s="21">
        <f t="shared" si="235"/>
        <v>40.51133333</v>
      </c>
      <c r="AG80" s="21">
        <f t="shared" ref="AG80:AH80" si="236">(AA80+U80+O80)/3</f>
        <v>95.32</v>
      </c>
      <c r="AH80" s="21">
        <f t="shared" si="236"/>
        <v>41.42966667</v>
      </c>
      <c r="AI80" s="21">
        <f t="shared" ref="AI80:AJ80" si="237">(Q80+W80+AC80)/3</f>
        <v>69.29666667</v>
      </c>
      <c r="AJ80" s="21">
        <f t="shared" si="237"/>
        <v>38.79433333</v>
      </c>
    </row>
    <row r="81">
      <c r="A81" s="13" t="s">
        <v>19</v>
      </c>
      <c r="B81" s="13" t="s">
        <v>20</v>
      </c>
      <c r="C81" s="14">
        <v>45460.0</v>
      </c>
      <c r="D81" s="15" t="s">
        <v>21</v>
      </c>
      <c r="E81" s="16">
        <v>5.4</v>
      </c>
      <c r="F81" s="15" t="s">
        <v>27</v>
      </c>
      <c r="G81" s="17">
        <v>1.0</v>
      </c>
      <c r="H81" s="18" t="s">
        <v>23</v>
      </c>
      <c r="I81" s="19">
        <v>8.6</v>
      </c>
      <c r="J81" s="20">
        <v>724.5419</v>
      </c>
      <c r="K81" s="20">
        <v>2.683</v>
      </c>
      <c r="L81" s="20">
        <v>0.015</v>
      </c>
      <c r="M81" s="20">
        <v>74.483</v>
      </c>
      <c r="N81" s="20">
        <v>30.122</v>
      </c>
      <c r="O81" s="20">
        <v>58.535</v>
      </c>
      <c r="P81" s="20">
        <v>30.209</v>
      </c>
      <c r="Q81" s="20">
        <v>48.148</v>
      </c>
      <c r="R81" s="27">
        <v>26.501</v>
      </c>
      <c r="S81" s="27">
        <v>74.217</v>
      </c>
      <c r="T81" s="24">
        <v>30.149</v>
      </c>
      <c r="U81" s="24">
        <v>58.219</v>
      </c>
      <c r="V81" s="24">
        <v>30.287</v>
      </c>
      <c r="W81" s="24">
        <v>48.07</v>
      </c>
      <c r="X81" s="24">
        <v>26.798</v>
      </c>
      <c r="Y81" s="24">
        <v>73.761</v>
      </c>
      <c r="Z81" s="24">
        <v>29.582</v>
      </c>
      <c r="AA81" s="24">
        <v>57.678</v>
      </c>
      <c r="AB81" s="24">
        <v>29.498</v>
      </c>
      <c r="AC81" s="24">
        <v>47.711</v>
      </c>
      <c r="AD81" s="24">
        <v>26.304</v>
      </c>
      <c r="AE81" s="21">
        <f t="shared" ref="AE81:AF81" si="238">(M81+S81+Y81)/3</f>
        <v>74.15366667</v>
      </c>
      <c r="AF81" s="21">
        <f t="shared" si="238"/>
        <v>29.951</v>
      </c>
      <c r="AG81" s="21">
        <f t="shared" ref="AG81:AH81" si="239">(AA81+U81+O81)/3</f>
        <v>58.144</v>
      </c>
      <c r="AH81" s="21">
        <f t="shared" si="239"/>
        <v>29.998</v>
      </c>
      <c r="AI81" s="21">
        <f t="shared" ref="AI81:AJ81" si="240">(Q81+W81+AC81)/3</f>
        <v>47.97633333</v>
      </c>
      <c r="AJ81" s="21">
        <f t="shared" si="240"/>
        <v>26.53433333</v>
      </c>
    </row>
    <row r="82">
      <c r="A82" s="13" t="s">
        <v>19</v>
      </c>
      <c r="B82" s="13" t="s">
        <v>20</v>
      </c>
      <c r="C82" s="14">
        <v>45460.0</v>
      </c>
      <c r="D82" s="15" t="s">
        <v>21</v>
      </c>
      <c r="E82" s="16">
        <v>6.1</v>
      </c>
      <c r="F82" s="15" t="s">
        <v>27</v>
      </c>
      <c r="G82" s="17">
        <v>1.0</v>
      </c>
      <c r="H82" s="18" t="s">
        <v>23</v>
      </c>
      <c r="I82" s="19">
        <v>8.507</v>
      </c>
      <c r="J82" s="20">
        <v>788.7661</v>
      </c>
      <c r="K82" s="20">
        <v>3.045</v>
      </c>
      <c r="L82" s="20">
        <v>0.019</v>
      </c>
      <c r="M82" s="20">
        <v>133.784</v>
      </c>
      <c r="N82" s="20">
        <v>36.246</v>
      </c>
      <c r="O82" s="20">
        <v>109.995</v>
      </c>
      <c r="P82" s="20">
        <v>37.079</v>
      </c>
      <c r="Q82" s="20">
        <v>75.376</v>
      </c>
      <c r="R82" s="27">
        <v>36.474</v>
      </c>
      <c r="S82" s="27">
        <v>133.74</v>
      </c>
      <c r="T82" s="24">
        <v>36.247</v>
      </c>
      <c r="U82" s="24">
        <v>109.978</v>
      </c>
      <c r="V82" s="24">
        <v>37.045</v>
      </c>
      <c r="W82" s="24">
        <v>75.347</v>
      </c>
      <c r="X82" s="24">
        <v>36.427</v>
      </c>
      <c r="Y82" s="24">
        <v>133.609</v>
      </c>
      <c r="Z82" s="24">
        <v>36.27</v>
      </c>
      <c r="AA82" s="24">
        <v>109.691</v>
      </c>
      <c r="AB82" s="24">
        <v>36.994</v>
      </c>
      <c r="AC82" s="24">
        <v>74.879</v>
      </c>
      <c r="AD82" s="24">
        <v>36.176</v>
      </c>
      <c r="AE82" s="21">
        <f t="shared" ref="AE82:AF82" si="241">(M82+S82+Y82)/3</f>
        <v>133.711</v>
      </c>
      <c r="AF82" s="21">
        <f t="shared" si="241"/>
        <v>36.25433333</v>
      </c>
      <c r="AG82" s="21">
        <f t="shared" ref="AG82:AH82" si="242">(AA82+U82+O82)/3</f>
        <v>109.888</v>
      </c>
      <c r="AH82" s="21">
        <f t="shared" si="242"/>
        <v>37.03933333</v>
      </c>
      <c r="AI82" s="21">
        <f t="shared" ref="AI82:AJ82" si="243">(Q82+W82+AC82)/3</f>
        <v>75.20066667</v>
      </c>
      <c r="AJ82" s="21">
        <f t="shared" si="243"/>
        <v>36.359</v>
      </c>
    </row>
    <row r="83">
      <c r="A83" s="13" t="s">
        <v>19</v>
      </c>
      <c r="B83" s="13" t="s">
        <v>20</v>
      </c>
      <c r="C83" s="14">
        <v>45460.0</v>
      </c>
      <c r="D83" s="15" t="s">
        <v>21</v>
      </c>
      <c r="E83" s="16">
        <v>6.2</v>
      </c>
      <c r="F83" s="15" t="s">
        <v>27</v>
      </c>
      <c r="G83" s="17">
        <v>1.0</v>
      </c>
      <c r="H83" s="18" t="s">
        <v>23</v>
      </c>
      <c r="I83" s="19">
        <v>7.605</v>
      </c>
      <c r="J83" s="20">
        <v>717.3075</v>
      </c>
      <c r="K83" s="20">
        <v>2.415</v>
      </c>
      <c r="L83" s="20">
        <v>0.026</v>
      </c>
      <c r="M83" s="20">
        <v>128.899</v>
      </c>
      <c r="N83" s="20">
        <v>30.039</v>
      </c>
      <c r="O83" s="20">
        <v>106.842</v>
      </c>
      <c r="P83" s="20">
        <v>30.831</v>
      </c>
      <c r="Q83" s="20">
        <v>66.404</v>
      </c>
      <c r="R83" s="27">
        <v>31.377</v>
      </c>
      <c r="S83" s="27">
        <v>128.929</v>
      </c>
      <c r="T83" s="24">
        <v>29.97</v>
      </c>
      <c r="U83" s="24">
        <v>106.804</v>
      </c>
      <c r="V83" s="24">
        <v>30.685</v>
      </c>
      <c r="W83" s="24">
        <v>66.525</v>
      </c>
      <c r="X83" s="24">
        <v>31.417</v>
      </c>
      <c r="Y83" s="24">
        <v>128.682</v>
      </c>
      <c r="Z83" s="24">
        <v>30.045</v>
      </c>
      <c r="AA83" s="24">
        <v>106.518</v>
      </c>
      <c r="AB83" s="24">
        <v>30.732</v>
      </c>
      <c r="AC83" s="24">
        <v>66.182</v>
      </c>
      <c r="AD83" s="24">
        <v>31.315</v>
      </c>
      <c r="AE83" s="21">
        <f t="shared" ref="AE83:AF83" si="244">(M83+S83+Y83)/3</f>
        <v>128.8366667</v>
      </c>
      <c r="AF83" s="21">
        <f t="shared" si="244"/>
        <v>30.018</v>
      </c>
      <c r="AG83" s="21">
        <f t="shared" ref="AG83:AH83" si="245">(AA83+U83+O83)/3</f>
        <v>106.7213333</v>
      </c>
      <c r="AH83" s="21">
        <f t="shared" si="245"/>
        <v>30.74933333</v>
      </c>
      <c r="AI83" s="21">
        <f t="shared" ref="AI83:AJ83" si="246">(Q83+W83+AC83)/3</f>
        <v>66.37033333</v>
      </c>
      <c r="AJ83" s="21">
        <f t="shared" si="246"/>
        <v>31.36966667</v>
      </c>
    </row>
    <row r="84">
      <c r="A84" s="13" t="s">
        <v>19</v>
      </c>
      <c r="B84" s="13" t="s">
        <v>20</v>
      </c>
      <c r="C84" s="14">
        <v>45460.0</v>
      </c>
      <c r="D84" s="15" t="s">
        <v>21</v>
      </c>
      <c r="E84" s="16">
        <v>6.3</v>
      </c>
      <c r="F84" s="15" t="s">
        <v>27</v>
      </c>
      <c r="G84" s="17">
        <v>1.0</v>
      </c>
      <c r="H84" s="18" t="s">
        <v>23</v>
      </c>
      <c r="I84" s="19">
        <v>8.181</v>
      </c>
      <c r="J84" s="20">
        <v>846.5317</v>
      </c>
      <c r="K84" s="20">
        <v>2.203</v>
      </c>
      <c r="L84" s="20">
        <v>0.016</v>
      </c>
      <c r="M84" s="20">
        <v>133.838</v>
      </c>
      <c r="N84" s="20">
        <v>32.071</v>
      </c>
      <c r="O84" s="20">
        <v>114.217</v>
      </c>
      <c r="P84" s="20">
        <v>32.091</v>
      </c>
      <c r="Q84" s="20">
        <v>78.357</v>
      </c>
      <c r="R84" s="27">
        <v>33.56</v>
      </c>
      <c r="S84" s="27">
        <v>133.019</v>
      </c>
      <c r="T84" s="24">
        <v>32.003</v>
      </c>
      <c r="U84" s="24">
        <v>114.388</v>
      </c>
      <c r="V84" s="24">
        <v>32.122</v>
      </c>
      <c r="W84" s="24">
        <v>78.509</v>
      </c>
      <c r="X84" s="24">
        <v>33.721</v>
      </c>
      <c r="Y84" s="24">
        <v>134.356</v>
      </c>
      <c r="Z84" s="24">
        <v>32.049</v>
      </c>
      <c r="AA84" s="24">
        <v>114.791</v>
      </c>
      <c r="AB84" s="24">
        <v>32.386</v>
      </c>
      <c r="AC84" s="24">
        <v>79.006</v>
      </c>
      <c r="AD84" s="24">
        <v>34.074</v>
      </c>
      <c r="AE84" s="21">
        <f t="shared" ref="AE84:AF84" si="247">(M84+S84+Y84)/3</f>
        <v>133.7376667</v>
      </c>
      <c r="AF84" s="21">
        <f t="shared" si="247"/>
        <v>32.041</v>
      </c>
      <c r="AG84" s="21">
        <f t="shared" ref="AG84:AH84" si="248">(AA84+U84+O84)/3</f>
        <v>114.4653333</v>
      </c>
      <c r="AH84" s="21">
        <f t="shared" si="248"/>
        <v>32.19966667</v>
      </c>
      <c r="AI84" s="21">
        <f t="shared" ref="AI84:AJ84" si="249">(Q84+W84+AC84)/3</f>
        <v>78.624</v>
      </c>
      <c r="AJ84" s="21">
        <f t="shared" si="249"/>
        <v>33.785</v>
      </c>
    </row>
    <row r="85">
      <c r="A85" s="13" t="s">
        <v>19</v>
      </c>
      <c r="B85" s="13" t="s">
        <v>20</v>
      </c>
      <c r="C85" s="14">
        <v>45460.0</v>
      </c>
      <c r="D85" s="15" t="s">
        <v>21</v>
      </c>
      <c r="E85" s="16">
        <v>6.4</v>
      </c>
      <c r="F85" s="15" t="s">
        <v>27</v>
      </c>
      <c r="G85" s="17">
        <v>1.0</v>
      </c>
      <c r="H85" s="18" t="s">
        <v>23</v>
      </c>
      <c r="I85" s="19">
        <v>7.705</v>
      </c>
      <c r="J85" s="20">
        <v>615.8774</v>
      </c>
      <c r="K85" s="20">
        <v>2.195</v>
      </c>
      <c r="L85" s="20">
        <v>0.022</v>
      </c>
      <c r="M85" s="20">
        <v>119.129</v>
      </c>
      <c r="N85" s="20">
        <v>27.456</v>
      </c>
      <c r="O85" s="20">
        <v>103.13</v>
      </c>
      <c r="P85" s="20">
        <v>28.941</v>
      </c>
      <c r="Q85" s="20">
        <v>71.856</v>
      </c>
      <c r="R85" s="27">
        <v>30.908</v>
      </c>
      <c r="S85" s="27">
        <v>118.939</v>
      </c>
      <c r="T85" s="24">
        <v>27.656</v>
      </c>
      <c r="U85" s="24">
        <v>102.817</v>
      </c>
      <c r="V85" s="24">
        <v>29.03</v>
      </c>
      <c r="W85" s="24">
        <v>71.457</v>
      </c>
      <c r="X85" s="24">
        <v>30.749</v>
      </c>
      <c r="Y85" s="24">
        <v>118.759</v>
      </c>
      <c r="Z85" s="24">
        <v>27.785</v>
      </c>
      <c r="AA85" s="24">
        <v>102.672</v>
      </c>
      <c r="AB85" s="24">
        <v>29.095</v>
      </c>
      <c r="AC85" s="24">
        <v>71.363</v>
      </c>
      <c r="AD85" s="24">
        <v>30.716</v>
      </c>
      <c r="AE85" s="21">
        <f t="shared" ref="AE85:AF85" si="250">(M85+S85+Y85)/3</f>
        <v>118.9423333</v>
      </c>
      <c r="AF85" s="21">
        <f t="shared" si="250"/>
        <v>27.63233333</v>
      </c>
      <c r="AG85" s="21">
        <f t="shared" ref="AG85:AH85" si="251">(AA85+U85+O85)/3</f>
        <v>102.873</v>
      </c>
      <c r="AH85" s="21">
        <f t="shared" si="251"/>
        <v>29.022</v>
      </c>
      <c r="AI85" s="21">
        <f t="shared" ref="AI85:AJ85" si="252">(Q85+W85+AC85)/3</f>
        <v>71.55866667</v>
      </c>
      <c r="AJ85" s="21">
        <f t="shared" si="252"/>
        <v>30.791</v>
      </c>
    </row>
    <row r="86">
      <c r="A86" s="13" t="s">
        <v>19</v>
      </c>
      <c r="B86" s="13" t="s">
        <v>20</v>
      </c>
      <c r="C86" s="14">
        <v>45460.0</v>
      </c>
      <c r="D86" s="15" t="s">
        <v>24</v>
      </c>
      <c r="E86" s="16">
        <v>4.1</v>
      </c>
      <c r="F86" s="15" t="s">
        <v>27</v>
      </c>
      <c r="G86" s="17">
        <v>1.0</v>
      </c>
      <c r="H86" s="18" t="s">
        <v>23</v>
      </c>
      <c r="I86" s="19">
        <v>10.992</v>
      </c>
      <c r="J86" s="20">
        <v>633.016</v>
      </c>
      <c r="K86" s="20">
        <v>6.125</v>
      </c>
      <c r="L86" s="20">
        <v>0.039</v>
      </c>
      <c r="M86" s="20">
        <v>155.352</v>
      </c>
      <c r="N86" s="20">
        <v>17.376</v>
      </c>
      <c r="O86" s="20">
        <v>131.632</v>
      </c>
      <c r="P86" s="20">
        <v>20.811</v>
      </c>
      <c r="Q86" s="20">
        <v>97.524</v>
      </c>
      <c r="R86" s="27">
        <v>27.106</v>
      </c>
      <c r="S86" s="27">
        <v>154.875</v>
      </c>
      <c r="T86" s="24">
        <v>17.093</v>
      </c>
      <c r="U86" s="24">
        <v>130.952</v>
      </c>
      <c r="V86" s="24">
        <v>20.092</v>
      </c>
      <c r="W86" s="24">
        <v>96.651</v>
      </c>
      <c r="X86" s="24">
        <v>25.804</v>
      </c>
      <c r="Y86" s="24">
        <v>155.234</v>
      </c>
      <c r="Z86" s="24">
        <v>17.492</v>
      </c>
      <c r="AA86" s="24">
        <v>131.465</v>
      </c>
      <c r="AB86" s="24">
        <v>20.776</v>
      </c>
      <c r="AC86" s="24">
        <v>97.349</v>
      </c>
      <c r="AD86" s="24">
        <v>26.965</v>
      </c>
      <c r="AE86" s="21">
        <f t="shared" ref="AE86:AF86" si="253">(M86+S86+Y86)/3</f>
        <v>155.1536667</v>
      </c>
      <c r="AF86" s="21">
        <f t="shared" si="253"/>
        <v>17.32033333</v>
      </c>
      <c r="AG86" s="21">
        <f t="shared" ref="AG86:AH86" si="254">(AA86+U86+O86)/3</f>
        <v>131.3496667</v>
      </c>
      <c r="AH86" s="21">
        <f t="shared" si="254"/>
        <v>20.55966667</v>
      </c>
      <c r="AI86" s="21">
        <f t="shared" ref="AI86:AJ86" si="255">(Q86+W86+AC86)/3</f>
        <v>97.17466667</v>
      </c>
      <c r="AJ86" s="21">
        <f t="shared" si="255"/>
        <v>26.625</v>
      </c>
    </row>
    <row r="87">
      <c r="A87" s="13" t="s">
        <v>19</v>
      </c>
      <c r="B87" s="13" t="s">
        <v>20</v>
      </c>
      <c r="C87" s="14">
        <v>45460.0</v>
      </c>
      <c r="D87" s="15" t="s">
        <v>24</v>
      </c>
      <c r="E87" s="16">
        <v>4.2</v>
      </c>
      <c r="F87" s="15" t="s">
        <v>27</v>
      </c>
      <c r="G87" s="17">
        <v>1.0</v>
      </c>
      <c r="H87" s="18" t="s">
        <v>23</v>
      </c>
      <c r="I87" s="19">
        <v>11.824</v>
      </c>
      <c r="J87" s="20">
        <v>721.2239</v>
      </c>
      <c r="K87" s="20">
        <v>6.32</v>
      </c>
      <c r="L87" s="20">
        <v>0.022</v>
      </c>
      <c r="M87" s="20">
        <v>149.788</v>
      </c>
      <c r="N87" s="20">
        <v>16.589</v>
      </c>
      <c r="O87" s="20">
        <v>127.426</v>
      </c>
      <c r="P87" s="20">
        <v>21.124</v>
      </c>
      <c r="Q87" s="20">
        <v>96.147</v>
      </c>
      <c r="R87" s="27">
        <v>26.804</v>
      </c>
      <c r="S87" s="27">
        <v>149.819</v>
      </c>
      <c r="T87" s="24">
        <v>16.779</v>
      </c>
      <c r="U87" s="24">
        <v>127.336</v>
      </c>
      <c r="V87" s="24">
        <v>21.24</v>
      </c>
      <c r="W87" s="24">
        <v>95.995</v>
      </c>
      <c r="X87" s="24">
        <v>26.879</v>
      </c>
      <c r="Y87" s="24">
        <v>149.725</v>
      </c>
      <c r="Z87" s="24">
        <v>16.617</v>
      </c>
      <c r="AA87" s="24">
        <v>127.121</v>
      </c>
      <c r="AB87" s="24">
        <v>21.05</v>
      </c>
      <c r="AC87" s="24">
        <v>95.695</v>
      </c>
      <c r="AD87" s="24">
        <v>26.707</v>
      </c>
      <c r="AE87" s="21">
        <f t="shared" ref="AE87:AF87" si="256">(M87+S87+Y87)/3</f>
        <v>149.7773333</v>
      </c>
      <c r="AF87" s="21">
        <f t="shared" si="256"/>
        <v>16.66166667</v>
      </c>
      <c r="AG87" s="21">
        <f t="shared" ref="AG87:AH87" si="257">(AA87+U87+O87)/3</f>
        <v>127.2943333</v>
      </c>
      <c r="AH87" s="21">
        <f t="shared" si="257"/>
        <v>21.138</v>
      </c>
      <c r="AI87" s="21">
        <f t="shared" ref="AI87:AJ87" si="258">(Q87+W87+AC87)/3</f>
        <v>95.94566667</v>
      </c>
      <c r="AJ87" s="21">
        <f t="shared" si="258"/>
        <v>26.79666667</v>
      </c>
    </row>
    <row r="88">
      <c r="A88" s="13" t="s">
        <v>19</v>
      </c>
      <c r="B88" s="13" t="s">
        <v>20</v>
      </c>
      <c r="C88" s="14">
        <v>45460.0</v>
      </c>
      <c r="D88" s="15" t="s">
        <v>24</v>
      </c>
      <c r="E88" s="16">
        <v>4.3</v>
      </c>
      <c r="F88" s="15" t="s">
        <v>27</v>
      </c>
      <c r="G88" s="17">
        <v>1.0</v>
      </c>
      <c r="H88" s="18" t="s">
        <v>23</v>
      </c>
      <c r="I88" s="19">
        <v>12.259</v>
      </c>
      <c r="J88" s="20">
        <v>638.8239</v>
      </c>
      <c r="K88" s="20">
        <v>7.532</v>
      </c>
      <c r="L88" s="20">
        <v>0.019</v>
      </c>
      <c r="M88" s="20">
        <v>156.529</v>
      </c>
      <c r="N88" s="20">
        <v>16.637</v>
      </c>
      <c r="O88" s="20">
        <v>133.792</v>
      </c>
      <c r="P88" s="20">
        <v>20.047</v>
      </c>
      <c r="Q88" s="20">
        <v>100.496</v>
      </c>
      <c r="R88" s="27">
        <v>26.336</v>
      </c>
      <c r="S88" s="27">
        <v>156.406</v>
      </c>
      <c r="T88" s="24">
        <v>16.845</v>
      </c>
      <c r="U88" s="24">
        <v>133.594</v>
      </c>
      <c r="V88" s="24">
        <v>20.071</v>
      </c>
      <c r="W88" s="24">
        <v>100.256</v>
      </c>
      <c r="X88" s="24">
        <v>26.189</v>
      </c>
      <c r="Y88" s="24">
        <v>156.623</v>
      </c>
      <c r="Z88" s="24">
        <v>16.502</v>
      </c>
      <c r="AA88" s="24">
        <v>133.884</v>
      </c>
      <c r="AB88" s="24">
        <v>10.022</v>
      </c>
      <c r="AC88" s="24">
        <v>100.56</v>
      </c>
      <c r="AD88" s="24">
        <v>26.424</v>
      </c>
      <c r="AE88" s="21">
        <f t="shared" ref="AE88:AF88" si="259">(M88+S88+Y88)/3</f>
        <v>156.5193333</v>
      </c>
      <c r="AF88" s="21">
        <f t="shared" si="259"/>
        <v>16.66133333</v>
      </c>
      <c r="AG88" s="21">
        <f t="shared" ref="AG88:AH88" si="260">(AA88+U88+O88)/3</f>
        <v>133.7566667</v>
      </c>
      <c r="AH88" s="21">
        <f t="shared" si="260"/>
        <v>16.71333333</v>
      </c>
      <c r="AI88" s="21">
        <f t="shared" ref="AI88:AJ88" si="261">(Q88+W88+AC88)/3</f>
        <v>100.4373333</v>
      </c>
      <c r="AJ88" s="21">
        <f t="shared" si="261"/>
        <v>26.31633333</v>
      </c>
    </row>
    <row r="89">
      <c r="A89" s="13" t="s">
        <v>19</v>
      </c>
      <c r="B89" s="13" t="s">
        <v>20</v>
      </c>
      <c r="C89" s="14">
        <v>45460.0</v>
      </c>
      <c r="D89" s="15" t="s">
        <v>24</v>
      </c>
      <c r="E89" s="16">
        <v>4.4</v>
      </c>
      <c r="F89" s="15" t="s">
        <v>27</v>
      </c>
      <c r="G89" s="17">
        <v>1.0</v>
      </c>
      <c r="H89" s="18" t="s">
        <v>23</v>
      </c>
      <c r="I89" s="19">
        <v>11.874</v>
      </c>
      <c r="J89" s="20">
        <v>534.453</v>
      </c>
      <c r="K89" s="20">
        <v>5.8</v>
      </c>
      <c r="L89" s="20">
        <v>0.034</v>
      </c>
      <c r="M89" s="20">
        <v>137.196</v>
      </c>
      <c r="N89" s="20">
        <v>14.472</v>
      </c>
      <c r="O89" s="20">
        <v>114.059</v>
      </c>
      <c r="P89" s="20">
        <v>17.545</v>
      </c>
      <c r="Q89" s="20">
        <v>75.965</v>
      </c>
      <c r="R89" s="27">
        <v>22.409</v>
      </c>
      <c r="S89" s="27">
        <v>137.197</v>
      </c>
      <c r="T89" s="24">
        <v>14.499</v>
      </c>
      <c r="U89" s="24">
        <v>114.031</v>
      </c>
      <c r="V89" s="24">
        <v>17.549</v>
      </c>
      <c r="W89" s="24">
        <v>75.857</v>
      </c>
      <c r="X89" s="24">
        <v>22.207</v>
      </c>
      <c r="Y89" s="24">
        <v>136.845</v>
      </c>
      <c r="Z89" s="24">
        <v>14.353</v>
      </c>
      <c r="AA89" s="24">
        <v>113.697</v>
      </c>
      <c r="AB89" s="24">
        <v>17.077</v>
      </c>
      <c r="AC89" s="24">
        <v>75.533</v>
      </c>
      <c r="AD89" s="24">
        <v>21.397</v>
      </c>
      <c r="AE89" s="21">
        <f t="shared" ref="AE89:AF89" si="262">(M89+S89+Y89)/3</f>
        <v>137.0793333</v>
      </c>
      <c r="AF89" s="21">
        <f t="shared" si="262"/>
        <v>14.44133333</v>
      </c>
      <c r="AG89" s="21">
        <f t="shared" ref="AG89:AH89" si="263">(AA89+U89+O89)/3</f>
        <v>113.929</v>
      </c>
      <c r="AH89" s="21">
        <f t="shared" si="263"/>
        <v>17.39033333</v>
      </c>
      <c r="AI89" s="21">
        <f t="shared" ref="AI89:AJ89" si="264">(Q89+W89+AC89)/3</f>
        <v>75.785</v>
      </c>
      <c r="AJ89" s="21">
        <f t="shared" si="264"/>
        <v>22.00433333</v>
      </c>
    </row>
    <row r="90">
      <c r="A90" s="13" t="s">
        <v>19</v>
      </c>
      <c r="B90" s="13" t="s">
        <v>20</v>
      </c>
      <c r="C90" s="14">
        <v>45460.0</v>
      </c>
      <c r="D90" s="15" t="s">
        <v>24</v>
      </c>
      <c r="E90" s="16">
        <v>5.1</v>
      </c>
      <c r="F90" s="15" t="s">
        <v>27</v>
      </c>
      <c r="G90" s="17">
        <v>1.0</v>
      </c>
      <c r="H90" s="18" t="s">
        <v>23</v>
      </c>
      <c r="I90" s="19">
        <v>9.282</v>
      </c>
      <c r="J90" s="20">
        <v>702.6407</v>
      </c>
      <c r="K90" s="20">
        <v>4.721</v>
      </c>
      <c r="L90" s="20">
        <v>0.006</v>
      </c>
      <c r="M90" s="20">
        <v>143.127</v>
      </c>
      <c r="N90" s="20">
        <v>24.98</v>
      </c>
      <c r="O90" s="20">
        <v>138.299</v>
      </c>
      <c r="P90" s="20">
        <v>24.659</v>
      </c>
      <c r="Q90" s="20">
        <v>100.407</v>
      </c>
      <c r="R90" s="27">
        <v>34.181</v>
      </c>
      <c r="S90" s="27">
        <v>142.657</v>
      </c>
      <c r="T90" s="24">
        <v>25.113</v>
      </c>
      <c r="U90" s="24">
        <v>137.87</v>
      </c>
      <c r="V90" s="24">
        <v>24.722</v>
      </c>
      <c r="W90" s="24">
        <v>99.941</v>
      </c>
      <c r="X90" s="24">
        <v>33.946</v>
      </c>
      <c r="Y90" s="24">
        <v>142.726</v>
      </c>
      <c r="Z90" s="24">
        <v>25.211</v>
      </c>
      <c r="AA90" s="24">
        <v>137.926</v>
      </c>
      <c r="AB90" s="24">
        <v>24.837</v>
      </c>
      <c r="AC90" s="24">
        <v>100.095</v>
      </c>
      <c r="AD90" s="24">
        <v>34.069</v>
      </c>
      <c r="AE90" s="21">
        <f t="shared" ref="AE90:AF90" si="265">(M90+S90+Y90)/3</f>
        <v>142.8366667</v>
      </c>
      <c r="AF90" s="21">
        <f t="shared" si="265"/>
        <v>25.10133333</v>
      </c>
      <c r="AG90" s="21">
        <f t="shared" ref="AG90:AH90" si="266">(AA90+U90+O90)/3</f>
        <v>138.0316667</v>
      </c>
      <c r="AH90" s="21">
        <f t="shared" si="266"/>
        <v>24.73933333</v>
      </c>
      <c r="AI90" s="21">
        <f t="shared" ref="AI90:AJ90" si="267">(Q90+W90+AC90)/3</f>
        <v>100.1476667</v>
      </c>
      <c r="AJ90" s="21">
        <f t="shared" si="267"/>
        <v>34.06533333</v>
      </c>
    </row>
    <row r="91">
      <c r="A91" s="13" t="s">
        <v>19</v>
      </c>
      <c r="B91" s="13" t="s">
        <v>20</v>
      </c>
      <c r="C91" s="14">
        <v>45460.0</v>
      </c>
      <c r="D91" s="15" t="s">
        <v>24</v>
      </c>
      <c r="E91" s="16">
        <v>5.2</v>
      </c>
      <c r="F91" s="15" t="s">
        <v>27</v>
      </c>
      <c r="G91" s="17">
        <v>1.0</v>
      </c>
      <c r="H91" s="18" t="s">
        <v>23</v>
      </c>
      <c r="I91" s="19">
        <v>8.477</v>
      </c>
      <c r="J91" s="20">
        <v>653.9484</v>
      </c>
      <c r="K91" s="20">
        <v>4.257</v>
      </c>
      <c r="L91" s="20">
        <v>0.021</v>
      </c>
      <c r="M91" s="20">
        <v>130.687</v>
      </c>
      <c r="N91" s="20">
        <v>22.778</v>
      </c>
      <c r="O91" s="20">
        <v>124.89</v>
      </c>
      <c r="P91" s="20">
        <v>24.128</v>
      </c>
      <c r="Q91" s="20">
        <v>85.65</v>
      </c>
      <c r="R91" s="27">
        <v>32.053</v>
      </c>
      <c r="S91" s="27">
        <v>129.786</v>
      </c>
      <c r="T91" s="24">
        <v>23.24</v>
      </c>
      <c r="U91" s="24">
        <v>124.039</v>
      </c>
      <c r="V91" s="24">
        <v>24.416</v>
      </c>
      <c r="W91" s="24">
        <v>85.1</v>
      </c>
      <c r="X91" s="24">
        <v>31.552</v>
      </c>
      <c r="Y91" s="24">
        <v>129.802</v>
      </c>
      <c r="Z91" s="24">
        <v>22.91</v>
      </c>
      <c r="AA91" s="24">
        <v>124.025</v>
      </c>
      <c r="AB91" s="24">
        <v>24.11</v>
      </c>
      <c r="AC91" s="24">
        <v>84.746</v>
      </c>
      <c r="AD91" s="24">
        <v>31.24</v>
      </c>
      <c r="AE91" s="21">
        <f t="shared" ref="AE91:AF91" si="268">(M91+S91+Y91)/3</f>
        <v>130.0916667</v>
      </c>
      <c r="AF91" s="21">
        <f t="shared" si="268"/>
        <v>22.976</v>
      </c>
      <c r="AG91" s="21">
        <f t="shared" ref="AG91:AH91" si="269">(AA91+U91+O91)/3</f>
        <v>124.318</v>
      </c>
      <c r="AH91" s="21">
        <f t="shared" si="269"/>
        <v>24.218</v>
      </c>
      <c r="AI91" s="21">
        <f t="shared" ref="AI91:AJ91" si="270">(Q91+W91+AC91)/3</f>
        <v>85.16533333</v>
      </c>
      <c r="AJ91" s="21">
        <f t="shared" si="270"/>
        <v>31.615</v>
      </c>
    </row>
    <row r="92">
      <c r="A92" s="13" t="s">
        <v>19</v>
      </c>
      <c r="B92" s="13" t="s">
        <v>20</v>
      </c>
      <c r="C92" s="14">
        <v>45460.0</v>
      </c>
      <c r="D92" s="15" t="s">
        <v>24</v>
      </c>
      <c r="E92" s="16">
        <v>5.3</v>
      </c>
      <c r="F92" s="15" t="s">
        <v>27</v>
      </c>
      <c r="G92" s="17">
        <v>1.0</v>
      </c>
      <c r="H92" s="18" t="s">
        <v>23</v>
      </c>
      <c r="I92" s="19">
        <v>8.968</v>
      </c>
      <c r="J92" s="20">
        <v>678.8971</v>
      </c>
      <c r="K92" s="20">
        <v>4.684</v>
      </c>
      <c r="L92" s="20">
        <v>0.061</v>
      </c>
      <c r="M92" s="20">
        <v>146.199</v>
      </c>
      <c r="N92" s="20">
        <v>24.527</v>
      </c>
      <c r="O92" s="20">
        <v>139.266</v>
      </c>
      <c r="P92" s="20">
        <v>25.44</v>
      </c>
      <c r="Q92" s="20">
        <v>97.817</v>
      </c>
      <c r="R92" s="27">
        <v>35.664</v>
      </c>
      <c r="S92" s="27">
        <v>145.854</v>
      </c>
      <c r="T92" s="24">
        <v>25.42</v>
      </c>
      <c r="U92" s="24">
        <v>138.971</v>
      </c>
      <c r="V92" s="24">
        <v>26.222</v>
      </c>
      <c r="W92" s="24">
        <v>97.74</v>
      </c>
      <c r="X92" s="24">
        <v>35.86</v>
      </c>
      <c r="Y92" s="24">
        <v>145.561</v>
      </c>
      <c r="Z92" s="24">
        <v>24.1</v>
      </c>
      <c r="AA92" s="24">
        <v>138.582</v>
      </c>
      <c r="AB92" s="24">
        <v>24.905</v>
      </c>
      <c r="AC92" s="24">
        <v>96.888</v>
      </c>
      <c r="AD92" s="24">
        <v>34.601</v>
      </c>
      <c r="AE92" s="21">
        <f t="shared" ref="AE92:AF92" si="271">(M92+S92+Y92)/3</f>
        <v>145.8713333</v>
      </c>
      <c r="AF92" s="21">
        <f t="shared" si="271"/>
        <v>24.68233333</v>
      </c>
      <c r="AG92" s="21">
        <f t="shared" ref="AG92:AH92" si="272">(AA92+U92+O92)/3</f>
        <v>138.9396667</v>
      </c>
      <c r="AH92" s="21">
        <f t="shared" si="272"/>
        <v>25.52233333</v>
      </c>
      <c r="AI92" s="21">
        <f t="shared" ref="AI92:AJ92" si="273">(Q92+W92+AC92)/3</f>
        <v>97.48166667</v>
      </c>
      <c r="AJ92" s="21">
        <f t="shared" si="273"/>
        <v>35.375</v>
      </c>
    </row>
    <row r="93">
      <c r="A93" s="13" t="s">
        <v>19</v>
      </c>
      <c r="B93" s="13" t="s">
        <v>20</v>
      </c>
      <c r="C93" s="14">
        <v>45460.0</v>
      </c>
      <c r="D93" s="15" t="s">
        <v>24</v>
      </c>
      <c r="E93" s="16">
        <v>5.4</v>
      </c>
      <c r="F93" s="15" t="s">
        <v>27</v>
      </c>
      <c r="G93" s="17">
        <v>1.0</v>
      </c>
      <c r="H93" s="18" t="s">
        <v>23</v>
      </c>
      <c r="I93" s="19">
        <v>9.08</v>
      </c>
      <c r="J93" s="20">
        <v>564.2269</v>
      </c>
      <c r="K93" s="20">
        <v>3.964</v>
      </c>
      <c r="L93" s="20">
        <v>0.013</v>
      </c>
      <c r="M93" s="20">
        <v>131.231</v>
      </c>
      <c r="N93" s="20">
        <v>17.049</v>
      </c>
      <c r="O93" s="20">
        <v>119.237</v>
      </c>
      <c r="P93" s="20">
        <v>21.054</v>
      </c>
      <c r="Q93" s="20">
        <v>90.042</v>
      </c>
      <c r="R93" s="27">
        <v>30.613</v>
      </c>
      <c r="S93" s="27">
        <v>131.259</v>
      </c>
      <c r="T93" s="24">
        <v>16.478</v>
      </c>
      <c r="U93" s="24">
        <v>119.247</v>
      </c>
      <c r="V93" s="24">
        <v>20.617</v>
      </c>
      <c r="W93" s="24">
        <v>90.028</v>
      </c>
      <c r="X93" s="24">
        <v>30.371</v>
      </c>
      <c r="Y93" s="24">
        <v>131.605</v>
      </c>
      <c r="Z93" s="24">
        <v>16.82</v>
      </c>
      <c r="AA93" s="24">
        <v>119.706</v>
      </c>
      <c r="AB93" s="24">
        <v>20.989</v>
      </c>
      <c r="AC93" s="24">
        <v>90.784</v>
      </c>
      <c r="AD93" s="24">
        <v>30.943</v>
      </c>
      <c r="AE93" s="21">
        <f t="shared" ref="AE93:AF93" si="274">(M93+S93+Y93)/3</f>
        <v>131.365</v>
      </c>
      <c r="AF93" s="21">
        <f t="shared" si="274"/>
        <v>16.78233333</v>
      </c>
      <c r="AG93" s="21">
        <f t="shared" ref="AG93:AH93" si="275">(AA93+U93+O93)/3</f>
        <v>119.3966667</v>
      </c>
      <c r="AH93" s="21">
        <f t="shared" si="275"/>
        <v>20.88666667</v>
      </c>
      <c r="AI93" s="21">
        <f t="shared" ref="AI93:AJ93" si="276">(Q93+W93+AC93)/3</f>
        <v>90.28466667</v>
      </c>
      <c r="AJ93" s="21">
        <f t="shared" si="276"/>
        <v>30.64233333</v>
      </c>
    </row>
    <row r="94">
      <c r="A94" s="13" t="s">
        <v>19</v>
      </c>
      <c r="B94" s="13" t="s">
        <v>20</v>
      </c>
      <c r="C94" s="14">
        <v>45460.0</v>
      </c>
      <c r="D94" s="15" t="s">
        <v>24</v>
      </c>
      <c r="E94" s="16">
        <v>6.1</v>
      </c>
      <c r="F94" s="15" t="s">
        <v>27</v>
      </c>
      <c r="G94" s="17">
        <v>1.0</v>
      </c>
      <c r="H94" s="18" t="s">
        <v>23</v>
      </c>
      <c r="I94" s="19">
        <v>10.843</v>
      </c>
      <c r="J94" s="20">
        <v>636.6382</v>
      </c>
      <c r="K94" s="20">
        <v>6.202</v>
      </c>
      <c r="L94" s="20">
        <v>0.034</v>
      </c>
      <c r="M94" s="20">
        <v>148.491</v>
      </c>
      <c r="N94" s="20">
        <v>21.987</v>
      </c>
      <c r="O94" s="20">
        <v>129.073</v>
      </c>
      <c r="P94" s="20">
        <v>24.13</v>
      </c>
      <c r="Q94" s="20">
        <v>99.585</v>
      </c>
      <c r="R94" s="27">
        <v>31.298</v>
      </c>
      <c r="S94" s="27">
        <v>148.36</v>
      </c>
      <c r="T94" s="24">
        <v>22.42</v>
      </c>
      <c r="U94" s="24">
        <v>128.984</v>
      </c>
      <c r="V94" s="24">
        <v>24.475</v>
      </c>
      <c r="W94" s="24">
        <v>99.554</v>
      </c>
      <c r="X94" s="24">
        <v>31.569</v>
      </c>
      <c r="Y94" s="24">
        <v>148.728</v>
      </c>
      <c r="Z94" s="24">
        <v>21.672</v>
      </c>
      <c r="AA94" s="24">
        <v>129.248</v>
      </c>
      <c r="AB94" s="24">
        <v>24.039</v>
      </c>
      <c r="AC94" s="24">
        <v>99.643</v>
      </c>
      <c r="AD94" s="24">
        <v>31.454</v>
      </c>
      <c r="AE94" s="21">
        <f t="shared" ref="AE94:AF94" si="277">(M94+S94+Y94)/3</f>
        <v>148.5263333</v>
      </c>
      <c r="AF94" s="21">
        <f t="shared" si="277"/>
        <v>22.02633333</v>
      </c>
      <c r="AG94" s="21">
        <f t="shared" ref="AG94:AH94" si="278">(AA94+U94+O94)/3</f>
        <v>129.1016667</v>
      </c>
      <c r="AH94" s="21">
        <f t="shared" si="278"/>
        <v>24.21466667</v>
      </c>
      <c r="AI94" s="21">
        <f t="shared" ref="AI94:AJ94" si="279">(Q94+W94+AC94)/3</f>
        <v>99.594</v>
      </c>
      <c r="AJ94" s="21">
        <f t="shared" si="279"/>
        <v>31.44033333</v>
      </c>
    </row>
    <row r="95">
      <c r="A95" s="13" t="s">
        <v>19</v>
      </c>
      <c r="B95" s="13" t="s">
        <v>20</v>
      </c>
      <c r="C95" s="14">
        <v>45460.0</v>
      </c>
      <c r="D95" s="15" t="s">
        <v>24</v>
      </c>
      <c r="E95" s="16">
        <v>6.2</v>
      </c>
      <c r="F95" s="15" t="s">
        <v>27</v>
      </c>
      <c r="G95" s="17">
        <v>1.0</v>
      </c>
      <c r="H95" s="18" t="s">
        <v>23</v>
      </c>
      <c r="I95" s="19">
        <v>10.379</v>
      </c>
      <c r="J95" s="20">
        <v>600.0469</v>
      </c>
      <c r="K95" s="20">
        <v>6.225</v>
      </c>
      <c r="L95" s="20">
        <v>0.01</v>
      </c>
      <c r="M95" s="20">
        <v>172.538</v>
      </c>
      <c r="N95" s="20">
        <v>20.567</v>
      </c>
      <c r="O95" s="20">
        <v>149.182</v>
      </c>
      <c r="P95" s="20">
        <v>23.266</v>
      </c>
      <c r="Q95" s="20">
        <v>110.192</v>
      </c>
      <c r="R95" s="27">
        <v>32.92</v>
      </c>
      <c r="S95" s="27">
        <v>172.581</v>
      </c>
      <c r="T95" s="24">
        <v>20.59</v>
      </c>
      <c r="U95" s="24">
        <v>149.255</v>
      </c>
      <c r="V95" s="24">
        <v>23.317</v>
      </c>
      <c r="W95" s="24">
        <v>110.31</v>
      </c>
      <c r="X95" s="24">
        <v>32.954</v>
      </c>
      <c r="Y95" s="24">
        <v>172.501</v>
      </c>
      <c r="Z95" s="24">
        <v>20.517</v>
      </c>
      <c r="AA95" s="24">
        <v>149.182</v>
      </c>
      <c r="AB95" s="24">
        <v>23.184</v>
      </c>
      <c r="AC95" s="24">
        <v>110.189</v>
      </c>
      <c r="AD95" s="24">
        <v>32.739</v>
      </c>
      <c r="AE95" s="21">
        <f t="shared" ref="AE95:AF95" si="280">(M95+S95+Y95)/3</f>
        <v>172.54</v>
      </c>
      <c r="AF95" s="21">
        <f t="shared" si="280"/>
        <v>20.558</v>
      </c>
      <c r="AG95" s="21">
        <f t="shared" ref="AG95:AH95" si="281">(AA95+U95+O95)/3</f>
        <v>149.2063333</v>
      </c>
      <c r="AH95" s="21">
        <f t="shared" si="281"/>
        <v>23.25566667</v>
      </c>
      <c r="AI95" s="21">
        <f t="shared" ref="AI95:AJ95" si="282">(Q95+W95+AC95)/3</f>
        <v>110.2303333</v>
      </c>
      <c r="AJ95" s="21">
        <f t="shared" si="282"/>
        <v>32.871</v>
      </c>
    </row>
    <row r="96">
      <c r="A96" s="13" t="s">
        <v>19</v>
      </c>
      <c r="B96" s="13" t="s">
        <v>20</v>
      </c>
      <c r="C96" s="14">
        <v>45460.0</v>
      </c>
      <c r="D96" s="15" t="s">
        <v>24</v>
      </c>
      <c r="E96" s="16">
        <v>6.3</v>
      </c>
      <c r="F96" s="15" t="s">
        <v>27</v>
      </c>
      <c r="G96" s="17">
        <v>1.0</v>
      </c>
      <c r="H96" s="18" t="s">
        <v>23</v>
      </c>
      <c r="I96" s="19">
        <v>10.309</v>
      </c>
      <c r="J96" s="20">
        <v>616.2207</v>
      </c>
      <c r="K96" s="20">
        <v>5.606</v>
      </c>
      <c r="L96" s="20">
        <v>0.036</v>
      </c>
      <c r="M96" s="20">
        <v>163.929</v>
      </c>
      <c r="N96" s="20">
        <v>18.251</v>
      </c>
      <c r="O96" s="20">
        <v>138.108</v>
      </c>
      <c r="P96" s="20">
        <v>20.676</v>
      </c>
      <c r="Q96" s="20">
        <v>101.423</v>
      </c>
      <c r="R96" s="27">
        <v>28.257</v>
      </c>
      <c r="S96" s="27">
        <v>163.816</v>
      </c>
      <c r="T96" s="24">
        <v>17.91</v>
      </c>
      <c r="U96" s="24">
        <v>137.844</v>
      </c>
      <c r="V96" s="24">
        <v>20.271</v>
      </c>
      <c r="W96" s="24">
        <v>100.927</v>
      </c>
      <c r="X96" s="24">
        <v>27.68</v>
      </c>
      <c r="Y96" s="24">
        <v>163.789</v>
      </c>
      <c r="Z96" s="24">
        <v>17.595</v>
      </c>
      <c r="AA96" s="24">
        <v>137.752</v>
      </c>
      <c r="AB96" s="24">
        <v>19.951</v>
      </c>
      <c r="AC96" s="24">
        <v>100.765</v>
      </c>
      <c r="AD96" s="24">
        <v>27.383</v>
      </c>
      <c r="AE96" s="21">
        <f t="shared" ref="AE96:AF96" si="283">(M96+S96+Y96)/3</f>
        <v>163.8446667</v>
      </c>
      <c r="AF96" s="21">
        <f t="shared" si="283"/>
        <v>17.91866667</v>
      </c>
      <c r="AG96" s="21">
        <f t="shared" ref="AG96:AH96" si="284">(AA96+U96+O96)/3</f>
        <v>137.9013333</v>
      </c>
      <c r="AH96" s="21">
        <f t="shared" si="284"/>
        <v>20.29933333</v>
      </c>
      <c r="AI96" s="21">
        <f t="shared" ref="AI96:AJ96" si="285">(Q96+W96+AC96)/3</f>
        <v>101.0383333</v>
      </c>
      <c r="AJ96" s="21">
        <f t="shared" si="285"/>
        <v>27.77333333</v>
      </c>
    </row>
    <row r="97">
      <c r="A97" s="13" t="s">
        <v>19</v>
      </c>
      <c r="B97" s="13" t="s">
        <v>20</v>
      </c>
      <c r="C97" s="14">
        <v>45460.0</v>
      </c>
      <c r="D97" s="15" t="s">
        <v>24</v>
      </c>
      <c r="E97" s="16">
        <v>6.4</v>
      </c>
      <c r="F97" s="15" t="s">
        <v>27</v>
      </c>
      <c r="G97" s="17">
        <v>1.0</v>
      </c>
      <c r="H97" s="18" t="s">
        <v>23</v>
      </c>
      <c r="I97" s="19">
        <v>9.961</v>
      </c>
      <c r="J97" s="20">
        <v>568.0141</v>
      </c>
      <c r="K97" s="20">
        <v>4.929</v>
      </c>
      <c r="L97" s="20">
        <v>0.004</v>
      </c>
      <c r="M97" s="20">
        <v>135.293</v>
      </c>
      <c r="N97" s="20">
        <v>16.673</v>
      </c>
      <c r="O97" s="20">
        <v>115.897</v>
      </c>
      <c r="P97" s="20">
        <v>19.294</v>
      </c>
      <c r="Q97" s="20">
        <v>86.606</v>
      </c>
      <c r="R97" s="27">
        <v>28.485</v>
      </c>
      <c r="S97" s="27">
        <v>135.4</v>
      </c>
      <c r="T97" s="24">
        <v>17.121</v>
      </c>
      <c r="U97" s="24">
        <v>116.287</v>
      </c>
      <c r="V97" s="24">
        <v>19.841</v>
      </c>
      <c r="W97" s="24">
        <v>87.536</v>
      </c>
      <c r="X97" s="24">
        <v>29.444</v>
      </c>
      <c r="Y97" s="24">
        <v>135.635</v>
      </c>
      <c r="Z97" s="24">
        <v>16.948</v>
      </c>
      <c r="AA97" s="24">
        <v>116.535</v>
      </c>
      <c r="AB97" s="24">
        <v>19.894</v>
      </c>
      <c r="AC97" s="24">
        <v>87.789</v>
      </c>
      <c r="AD97" s="24">
        <v>29.686</v>
      </c>
      <c r="AE97" s="21">
        <f t="shared" ref="AE97:AF97" si="286">(M97+S97+Y97)/3</f>
        <v>135.4426667</v>
      </c>
      <c r="AF97" s="21">
        <f t="shared" si="286"/>
        <v>16.914</v>
      </c>
      <c r="AG97" s="21">
        <f t="shared" ref="AG97:AH97" si="287">(AA97+U97+O97)/3</f>
        <v>116.2396667</v>
      </c>
      <c r="AH97" s="21">
        <f t="shared" si="287"/>
        <v>19.67633333</v>
      </c>
      <c r="AI97" s="21">
        <f t="shared" ref="AI97:AJ97" si="288">(Q97+W97+AC97)/3</f>
        <v>87.31033333</v>
      </c>
      <c r="AJ97" s="21">
        <f t="shared" si="288"/>
        <v>29.205</v>
      </c>
    </row>
    <row r="98">
      <c r="A98" s="13" t="s">
        <v>19</v>
      </c>
      <c r="B98" s="13" t="s">
        <v>20</v>
      </c>
      <c r="C98" s="14">
        <v>45460.0</v>
      </c>
      <c r="D98" s="15" t="s">
        <v>25</v>
      </c>
      <c r="E98" s="16">
        <v>4.1</v>
      </c>
      <c r="F98" s="15" t="s">
        <v>27</v>
      </c>
      <c r="G98" s="17">
        <v>1.0</v>
      </c>
      <c r="H98" s="18" t="s">
        <v>23</v>
      </c>
      <c r="I98" s="19">
        <v>10.981</v>
      </c>
      <c r="J98" s="20">
        <v>884.9339</v>
      </c>
      <c r="K98" s="20">
        <v>4.364</v>
      </c>
      <c r="L98" s="20">
        <v>0.03</v>
      </c>
      <c r="M98" s="20">
        <v>156.316</v>
      </c>
      <c r="N98" s="20">
        <v>29.784</v>
      </c>
      <c r="O98" s="20">
        <v>141.019</v>
      </c>
      <c r="P98" s="20">
        <v>30.048</v>
      </c>
      <c r="Q98" s="20">
        <v>102.001</v>
      </c>
      <c r="R98" s="27">
        <v>29.611</v>
      </c>
      <c r="S98" s="27">
        <v>155.873</v>
      </c>
      <c r="T98" s="24">
        <v>30.636</v>
      </c>
      <c r="U98" s="24">
        <v>140.713</v>
      </c>
      <c r="V98" s="24">
        <v>30.741</v>
      </c>
      <c r="W98" s="24">
        <v>103.163</v>
      </c>
      <c r="X98" s="24">
        <v>29.914</v>
      </c>
      <c r="Y98" s="24">
        <v>156.168</v>
      </c>
      <c r="Z98" s="24">
        <v>30.061</v>
      </c>
      <c r="AA98" s="24">
        <v>140.93</v>
      </c>
      <c r="AB98" s="24">
        <v>30.283</v>
      </c>
      <c r="AC98" s="24">
        <v>102.099</v>
      </c>
      <c r="AD98" s="24">
        <v>29.734</v>
      </c>
      <c r="AE98" s="21">
        <f t="shared" ref="AE98:AF98" si="289">(M98+S98+Y98)/3</f>
        <v>156.119</v>
      </c>
      <c r="AF98" s="21">
        <f t="shared" si="289"/>
        <v>30.16033333</v>
      </c>
      <c r="AG98" s="21">
        <f t="shared" ref="AG98:AH98" si="290">(AA98+U98+O98)/3</f>
        <v>140.8873333</v>
      </c>
      <c r="AH98" s="21">
        <f t="shared" si="290"/>
        <v>30.35733333</v>
      </c>
      <c r="AI98" s="21">
        <f t="shared" ref="AI98:AJ98" si="291">(Q98+W98+AC98)/3</f>
        <v>102.421</v>
      </c>
      <c r="AJ98" s="21">
        <f t="shared" si="291"/>
        <v>29.753</v>
      </c>
    </row>
    <row r="99">
      <c r="A99" s="13" t="s">
        <v>19</v>
      </c>
      <c r="B99" s="13" t="s">
        <v>20</v>
      </c>
      <c r="C99" s="14">
        <v>45460.0</v>
      </c>
      <c r="D99" s="15" t="s">
        <v>25</v>
      </c>
      <c r="E99" s="16">
        <v>4.2</v>
      </c>
      <c r="F99" s="15" t="s">
        <v>27</v>
      </c>
      <c r="G99" s="17">
        <v>1.0</v>
      </c>
      <c r="H99" s="18" t="s">
        <v>23</v>
      </c>
      <c r="I99" s="19">
        <v>9.648</v>
      </c>
      <c r="J99" s="20">
        <v>762.0</v>
      </c>
      <c r="K99" s="20">
        <v>3.753</v>
      </c>
      <c r="L99" s="20">
        <v>0.027</v>
      </c>
      <c r="M99" s="20">
        <v>148.599</v>
      </c>
      <c r="N99" s="20">
        <v>29.774</v>
      </c>
      <c r="O99" s="20">
        <v>136.819</v>
      </c>
      <c r="P99" s="20">
        <v>30.742</v>
      </c>
      <c r="Q99" s="20">
        <v>103.199</v>
      </c>
      <c r="R99" s="27">
        <v>32.237</v>
      </c>
      <c r="S99" s="27">
        <v>148.593</v>
      </c>
      <c r="T99" s="24">
        <v>29.384</v>
      </c>
      <c r="U99" s="24">
        <v>136.731</v>
      </c>
      <c r="V99" s="24">
        <v>30.391</v>
      </c>
      <c r="W99" s="24">
        <v>102.953</v>
      </c>
      <c r="X99" s="24">
        <v>31.9</v>
      </c>
      <c r="Y99" s="24">
        <v>148.534</v>
      </c>
      <c r="Z99" s="24">
        <v>29.734</v>
      </c>
      <c r="AA99" s="24">
        <v>136.698</v>
      </c>
      <c r="AB99" s="24">
        <v>30.692</v>
      </c>
      <c r="AC99" s="24">
        <v>102.929</v>
      </c>
      <c r="AD99" s="24">
        <v>32.057</v>
      </c>
      <c r="AE99" s="21">
        <f t="shared" ref="AE99:AF99" si="292">(M99+S99+Y99)/3</f>
        <v>148.5753333</v>
      </c>
      <c r="AF99" s="21">
        <f t="shared" si="292"/>
        <v>29.63066667</v>
      </c>
      <c r="AG99" s="21">
        <f t="shared" ref="AG99:AH99" si="293">(AA99+U99+O99)/3</f>
        <v>136.7493333</v>
      </c>
      <c r="AH99" s="21">
        <f t="shared" si="293"/>
        <v>30.60833333</v>
      </c>
      <c r="AI99" s="21">
        <f t="shared" ref="AI99:AJ99" si="294">(Q99+W99+AC99)/3</f>
        <v>103.027</v>
      </c>
      <c r="AJ99" s="21">
        <f t="shared" si="294"/>
        <v>32.06466667</v>
      </c>
    </row>
    <row r="100">
      <c r="A100" s="13" t="s">
        <v>19</v>
      </c>
      <c r="B100" s="13" t="s">
        <v>20</v>
      </c>
      <c r="C100" s="14">
        <v>45460.0</v>
      </c>
      <c r="D100" s="15" t="s">
        <v>25</v>
      </c>
      <c r="E100" s="16">
        <v>4.3</v>
      </c>
      <c r="F100" s="15" t="s">
        <v>27</v>
      </c>
      <c r="G100" s="17">
        <v>1.0</v>
      </c>
      <c r="H100" s="18" t="s">
        <v>23</v>
      </c>
      <c r="I100" s="19">
        <v>11.426</v>
      </c>
      <c r="J100" s="20">
        <v>642.2523</v>
      </c>
      <c r="K100" s="20">
        <v>3.837</v>
      </c>
      <c r="L100" s="20">
        <v>0.02</v>
      </c>
      <c r="M100" s="20">
        <v>141.823</v>
      </c>
      <c r="N100" s="20">
        <v>27.781</v>
      </c>
      <c r="O100" s="20">
        <v>130.706</v>
      </c>
      <c r="P100" s="20">
        <v>28.889</v>
      </c>
      <c r="Q100" s="20">
        <v>98.356</v>
      </c>
      <c r="R100" s="27">
        <v>29.946</v>
      </c>
      <c r="S100" s="27">
        <v>141.638</v>
      </c>
      <c r="T100" s="24">
        <v>28.911</v>
      </c>
      <c r="U100" s="24">
        <v>130.668</v>
      </c>
      <c r="V100" s="24">
        <v>29.914</v>
      </c>
      <c r="W100" s="24">
        <v>98.898</v>
      </c>
      <c r="X100" s="24">
        <v>31.016</v>
      </c>
      <c r="Y100" s="24">
        <v>142.35</v>
      </c>
      <c r="Z100" s="24">
        <v>27.73</v>
      </c>
      <c r="AA100" s="24">
        <v>131.294</v>
      </c>
      <c r="AB100" s="24">
        <v>28.989</v>
      </c>
      <c r="AC100" s="24">
        <v>99.021</v>
      </c>
      <c r="AD100" s="24">
        <v>30.58</v>
      </c>
      <c r="AE100" s="21">
        <f t="shared" ref="AE100:AF100" si="295">(M100+S100+Y100)/3</f>
        <v>141.937</v>
      </c>
      <c r="AF100" s="21">
        <f t="shared" si="295"/>
        <v>28.14066667</v>
      </c>
      <c r="AG100" s="21">
        <f t="shared" ref="AG100:AH100" si="296">(AA100+U100+O100)/3</f>
        <v>130.8893333</v>
      </c>
      <c r="AH100" s="21">
        <f t="shared" si="296"/>
        <v>29.264</v>
      </c>
      <c r="AI100" s="21">
        <f t="shared" ref="AI100:AJ100" si="297">(Q100+W100+AC100)/3</f>
        <v>98.75833333</v>
      </c>
      <c r="AJ100" s="21">
        <f t="shared" si="297"/>
        <v>30.514</v>
      </c>
    </row>
    <row r="101">
      <c r="A101" s="13" t="s">
        <v>19</v>
      </c>
      <c r="B101" s="13" t="s">
        <v>20</v>
      </c>
      <c r="C101" s="14">
        <v>45460.0</v>
      </c>
      <c r="D101" s="15" t="s">
        <v>25</v>
      </c>
      <c r="E101" s="16">
        <v>4.4</v>
      </c>
      <c r="F101" s="15" t="s">
        <v>27</v>
      </c>
      <c r="G101" s="17">
        <v>1.0</v>
      </c>
      <c r="H101" s="18" t="s">
        <v>23</v>
      </c>
      <c r="I101" s="19">
        <v>10.494</v>
      </c>
      <c r="J101" s="20">
        <v>643.1835</v>
      </c>
      <c r="K101" s="20">
        <v>5.059</v>
      </c>
      <c r="L101" s="20">
        <v>0.016</v>
      </c>
      <c r="M101" s="20">
        <v>123.742</v>
      </c>
      <c r="N101" s="20">
        <v>25.932</v>
      </c>
      <c r="O101" s="20">
        <v>112.047</v>
      </c>
      <c r="P101" s="20">
        <v>25.869</v>
      </c>
      <c r="Q101" s="20">
        <v>80.53</v>
      </c>
      <c r="R101" s="27">
        <v>25.691</v>
      </c>
      <c r="S101" s="27">
        <v>123.409</v>
      </c>
      <c r="T101" s="24">
        <v>26.11</v>
      </c>
      <c r="U101" s="24">
        <v>111.682</v>
      </c>
      <c r="V101" s="24">
        <v>25.925</v>
      </c>
      <c r="W101" s="24">
        <v>80.131</v>
      </c>
      <c r="X101" s="24">
        <v>25.544</v>
      </c>
      <c r="Y101" s="24">
        <v>123.665</v>
      </c>
      <c r="Z101" s="24">
        <v>26.148</v>
      </c>
      <c r="AA101" s="24">
        <v>112.016</v>
      </c>
      <c r="AB101" s="24">
        <v>26.058</v>
      </c>
      <c r="AC101" s="24">
        <v>80.588</v>
      </c>
      <c r="AD101" s="24">
        <v>25.912</v>
      </c>
      <c r="AE101" s="21">
        <f t="shared" ref="AE101:AF101" si="298">(M101+S101+Y101)/3</f>
        <v>123.6053333</v>
      </c>
      <c r="AF101" s="21">
        <f t="shared" si="298"/>
        <v>26.06333333</v>
      </c>
      <c r="AG101" s="21">
        <f t="shared" ref="AG101:AH101" si="299">(AA101+U101+O101)/3</f>
        <v>111.915</v>
      </c>
      <c r="AH101" s="21">
        <f t="shared" si="299"/>
        <v>25.95066667</v>
      </c>
      <c r="AI101" s="21">
        <f t="shared" ref="AI101:AJ101" si="300">(Q101+W101+AC101)/3</f>
        <v>80.41633333</v>
      </c>
      <c r="AJ101" s="21">
        <f t="shared" si="300"/>
        <v>25.71566667</v>
      </c>
    </row>
    <row r="102">
      <c r="A102" s="13" t="s">
        <v>19</v>
      </c>
      <c r="B102" s="13" t="s">
        <v>20</v>
      </c>
      <c r="C102" s="14">
        <v>45460.0</v>
      </c>
      <c r="D102" s="15" t="s">
        <v>25</v>
      </c>
      <c r="E102" s="16">
        <v>5.1</v>
      </c>
      <c r="F102" s="15" t="s">
        <v>27</v>
      </c>
      <c r="G102" s="17">
        <v>1.0</v>
      </c>
      <c r="H102" s="18" t="s">
        <v>23</v>
      </c>
      <c r="I102" s="19">
        <v>8.978</v>
      </c>
      <c r="J102" s="20">
        <v>804.5595</v>
      </c>
      <c r="K102" s="20">
        <v>2.956</v>
      </c>
      <c r="L102" s="20">
        <v>0.038</v>
      </c>
      <c r="M102" s="20">
        <v>161.816</v>
      </c>
      <c r="N102" s="20">
        <v>27.912</v>
      </c>
      <c r="O102" s="20">
        <v>145.372</v>
      </c>
      <c r="P102" s="20">
        <v>29.33</v>
      </c>
      <c r="Q102" s="20">
        <v>106.015</v>
      </c>
      <c r="R102" s="27">
        <v>31.931</v>
      </c>
      <c r="S102" s="27">
        <v>162.362</v>
      </c>
      <c r="T102" s="24">
        <v>28.343</v>
      </c>
      <c r="U102" s="24">
        <v>146.076</v>
      </c>
      <c r="V102" s="24">
        <v>30.015</v>
      </c>
      <c r="W102" s="24">
        <v>107.169</v>
      </c>
      <c r="X102" s="24">
        <v>33.407</v>
      </c>
      <c r="Y102" s="24">
        <v>162.081</v>
      </c>
      <c r="Z102" s="24">
        <v>27.804</v>
      </c>
      <c r="AA102" s="24">
        <v>145.709</v>
      </c>
      <c r="AB102" s="24">
        <v>29.343</v>
      </c>
      <c r="AC102" s="24">
        <v>106.42</v>
      </c>
      <c r="AD102" s="24">
        <v>32.132</v>
      </c>
      <c r="AE102" s="21">
        <f t="shared" ref="AE102:AF102" si="301">(M102+S102+Y102)/3</f>
        <v>162.0863333</v>
      </c>
      <c r="AF102" s="21">
        <f t="shared" si="301"/>
        <v>28.01966667</v>
      </c>
      <c r="AG102" s="21">
        <f t="shared" ref="AG102:AH102" si="302">(AA102+U102+O102)/3</f>
        <v>145.719</v>
      </c>
      <c r="AH102" s="21">
        <f t="shared" si="302"/>
        <v>29.56266667</v>
      </c>
      <c r="AI102" s="21">
        <f t="shared" ref="AI102:AJ102" si="303">(Q102+W102+AC102)/3</f>
        <v>106.5346667</v>
      </c>
      <c r="AJ102" s="21">
        <f t="shared" si="303"/>
        <v>32.49</v>
      </c>
    </row>
    <row r="103">
      <c r="A103" s="13" t="s">
        <v>19</v>
      </c>
      <c r="B103" s="13" t="s">
        <v>20</v>
      </c>
      <c r="C103" s="14">
        <v>45460.0</v>
      </c>
      <c r="D103" s="15" t="s">
        <v>25</v>
      </c>
      <c r="E103" s="16">
        <v>5.2</v>
      </c>
      <c r="F103" s="15" t="s">
        <v>27</v>
      </c>
      <c r="G103" s="17">
        <v>1.0</v>
      </c>
      <c r="H103" s="18" t="s">
        <v>23</v>
      </c>
      <c r="I103" s="19">
        <v>8.633</v>
      </c>
      <c r="J103" s="20">
        <v>690.0261</v>
      </c>
      <c r="K103" s="20">
        <v>2.942</v>
      </c>
      <c r="L103" s="20">
        <v>0.018</v>
      </c>
      <c r="M103" s="20">
        <v>165.706</v>
      </c>
      <c r="N103" s="20">
        <v>29.549</v>
      </c>
      <c r="O103" s="20">
        <v>150.303</v>
      </c>
      <c r="P103" s="20">
        <v>31.927</v>
      </c>
      <c r="Q103" s="20">
        <v>113.152</v>
      </c>
      <c r="R103" s="27">
        <v>35.969</v>
      </c>
      <c r="S103" s="27">
        <v>164.922</v>
      </c>
      <c r="T103" s="24">
        <v>29.608</v>
      </c>
      <c r="U103" s="24">
        <v>149.161</v>
      </c>
      <c r="V103" s="24">
        <v>31.763</v>
      </c>
      <c r="W103" s="24">
        <v>111.298</v>
      </c>
      <c r="X103" s="24">
        <v>35.874</v>
      </c>
      <c r="Y103" s="24">
        <v>165.067</v>
      </c>
      <c r="Z103" s="24">
        <v>29.981</v>
      </c>
      <c r="AA103" s="24">
        <v>149.497</v>
      </c>
      <c r="AB103" s="24">
        <v>32.1</v>
      </c>
      <c r="AC103" s="24">
        <v>112.114</v>
      </c>
      <c r="AD103" s="24">
        <v>35.41</v>
      </c>
      <c r="AE103" s="21">
        <f t="shared" ref="AE103:AF103" si="304">(M103+S103+Y103)/3</f>
        <v>165.2316667</v>
      </c>
      <c r="AF103" s="21">
        <f t="shared" si="304"/>
        <v>29.71266667</v>
      </c>
      <c r="AG103" s="21">
        <f t="shared" ref="AG103:AH103" si="305">(AA103+U103+O103)/3</f>
        <v>149.6536667</v>
      </c>
      <c r="AH103" s="21">
        <f t="shared" si="305"/>
        <v>31.93</v>
      </c>
      <c r="AI103" s="21">
        <f t="shared" ref="AI103:AJ103" si="306">(Q103+W103+AC103)/3</f>
        <v>112.188</v>
      </c>
      <c r="AJ103" s="21">
        <f t="shared" si="306"/>
        <v>35.751</v>
      </c>
    </row>
    <row r="104">
      <c r="A104" s="13" t="s">
        <v>19</v>
      </c>
      <c r="B104" s="13" t="s">
        <v>20</v>
      </c>
      <c r="C104" s="14">
        <v>45460.0</v>
      </c>
      <c r="D104" s="15" t="s">
        <v>25</v>
      </c>
      <c r="E104" s="16">
        <v>5.3</v>
      </c>
      <c r="F104" s="15" t="s">
        <v>27</v>
      </c>
      <c r="G104" s="17">
        <v>1.0</v>
      </c>
      <c r="H104" s="18" t="s">
        <v>23</v>
      </c>
      <c r="I104" s="19">
        <v>9.417</v>
      </c>
      <c r="J104" s="20">
        <v>795.5658</v>
      </c>
      <c r="K104" s="20">
        <v>3.97</v>
      </c>
      <c r="L104" s="20">
        <v>0.028</v>
      </c>
      <c r="M104" s="20">
        <v>146.268</v>
      </c>
      <c r="N104" s="20">
        <v>30.74</v>
      </c>
      <c r="O104" s="20">
        <v>132.239</v>
      </c>
      <c r="P104" s="20">
        <v>33.353</v>
      </c>
      <c r="Q104" s="20">
        <v>102.511</v>
      </c>
      <c r="R104" s="27">
        <v>36.47</v>
      </c>
      <c r="S104" s="27">
        <v>146.09</v>
      </c>
      <c r="T104" s="24">
        <v>30.572</v>
      </c>
      <c r="U104" s="24">
        <v>132.06</v>
      </c>
      <c r="V104" s="24">
        <v>33.113</v>
      </c>
      <c r="W104" s="24">
        <v>102.295</v>
      </c>
      <c r="X104" s="24">
        <v>36.053</v>
      </c>
      <c r="Y104" s="24">
        <v>146.229</v>
      </c>
      <c r="Z104" s="24">
        <v>30.961</v>
      </c>
      <c r="AA104" s="24">
        <v>132.273</v>
      </c>
      <c r="AB104" s="24">
        <v>33.508</v>
      </c>
      <c r="AC104" s="24">
        <v>102.699</v>
      </c>
      <c r="AD104" s="24">
        <v>36.57</v>
      </c>
      <c r="AE104" s="21">
        <f t="shared" ref="AE104:AF104" si="307">(M104+S104+Y104)/3</f>
        <v>146.1956667</v>
      </c>
      <c r="AF104" s="21">
        <f t="shared" si="307"/>
        <v>30.75766667</v>
      </c>
      <c r="AG104" s="21">
        <f t="shared" ref="AG104:AH104" si="308">(AA104+U104+O104)/3</f>
        <v>132.1906667</v>
      </c>
      <c r="AH104" s="21">
        <f t="shared" si="308"/>
        <v>33.32466667</v>
      </c>
      <c r="AI104" s="21">
        <f t="shared" ref="AI104:AJ104" si="309">(Q104+W104+AC104)/3</f>
        <v>102.5016667</v>
      </c>
      <c r="AJ104" s="21">
        <f t="shared" si="309"/>
        <v>36.36433333</v>
      </c>
    </row>
    <row r="105">
      <c r="A105" s="13" t="s">
        <v>19</v>
      </c>
      <c r="B105" s="13" t="s">
        <v>20</v>
      </c>
      <c r="C105" s="14">
        <v>45460.0</v>
      </c>
      <c r="D105" s="15" t="s">
        <v>25</v>
      </c>
      <c r="E105" s="16">
        <v>5.4</v>
      </c>
      <c r="F105" s="15" t="s">
        <v>27</v>
      </c>
      <c r="G105" s="17">
        <v>1.0</v>
      </c>
      <c r="H105" s="18" t="s">
        <v>23</v>
      </c>
      <c r="I105" s="19">
        <v>9.876</v>
      </c>
      <c r="J105" s="20">
        <v>654.9901</v>
      </c>
      <c r="K105" s="20">
        <v>3.981</v>
      </c>
      <c r="L105" s="20">
        <v>0.047</v>
      </c>
      <c r="M105" s="20">
        <v>166.028</v>
      </c>
      <c r="N105" s="20">
        <v>25.903</v>
      </c>
      <c r="O105" s="20">
        <v>149.574</v>
      </c>
      <c r="P105" s="20">
        <v>27.173</v>
      </c>
      <c r="Q105" s="20">
        <v>114.126</v>
      </c>
      <c r="R105" s="27">
        <v>27.849</v>
      </c>
      <c r="S105" s="27">
        <v>166.036</v>
      </c>
      <c r="T105" s="24">
        <v>36.117</v>
      </c>
      <c r="U105" s="24">
        <v>149.517</v>
      </c>
      <c r="V105" s="24">
        <v>27.381</v>
      </c>
      <c r="W105" s="24">
        <v>114.095</v>
      </c>
      <c r="X105" s="24">
        <v>28.053</v>
      </c>
      <c r="Y105" s="24">
        <v>166.192</v>
      </c>
      <c r="Z105" s="24">
        <v>25.799</v>
      </c>
      <c r="AA105" s="24">
        <v>149.737</v>
      </c>
      <c r="AB105" s="24">
        <v>27.134</v>
      </c>
      <c r="AC105" s="24">
        <v>114.343</v>
      </c>
      <c r="AD105" s="24">
        <v>27.978</v>
      </c>
      <c r="AE105" s="21">
        <f t="shared" ref="AE105:AF105" si="310">(M105+S105+Y105)/3</f>
        <v>166.0853333</v>
      </c>
      <c r="AF105" s="21">
        <f t="shared" si="310"/>
        <v>29.273</v>
      </c>
      <c r="AG105" s="21">
        <f t="shared" ref="AG105:AH105" si="311">(AA105+U105+O105)/3</f>
        <v>149.6093333</v>
      </c>
      <c r="AH105" s="21">
        <f t="shared" si="311"/>
        <v>27.22933333</v>
      </c>
      <c r="AI105" s="21">
        <f t="shared" ref="AI105:AJ105" si="312">(Q105+W105+AC105)/3</f>
        <v>114.188</v>
      </c>
      <c r="AJ105" s="21">
        <f t="shared" si="312"/>
        <v>27.96</v>
      </c>
    </row>
    <row r="106">
      <c r="A106" s="13" t="s">
        <v>19</v>
      </c>
      <c r="B106" s="13" t="s">
        <v>20</v>
      </c>
      <c r="C106" s="14">
        <v>45460.0</v>
      </c>
      <c r="D106" s="15" t="s">
        <v>25</v>
      </c>
      <c r="E106" s="16">
        <v>6.1</v>
      </c>
      <c r="F106" s="15" t="s">
        <v>27</v>
      </c>
      <c r="G106" s="17">
        <v>1.0</v>
      </c>
      <c r="H106" s="18" t="s">
        <v>23</v>
      </c>
      <c r="I106" s="19">
        <v>9.59</v>
      </c>
      <c r="J106" s="20">
        <v>690.9385</v>
      </c>
      <c r="K106" s="20">
        <v>4.979</v>
      </c>
      <c r="L106" s="20">
        <v>0.04</v>
      </c>
      <c r="M106" s="20">
        <v>161.899</v>
      </c>
      <c r="N106" s="20">
        <v>28.55</v>
      </c>
      <c r="O106" s="20">
        <v>146.698</v>
      </c>
      <c r="P106" s="20">
        <v>30.747</v>
      </c>
      <c r="Q106" s="20">
        <v>113.349</v>
      </c>
      <c r="R106" s="27">
        <v>35.745</v>
      </c>
      <c r="S106" s="27">
        <v>161.741</v>
      </c>
      <c r="T106" s="24">
        <v>28.282</v>
      </c>
      <c r="U106" s="24">
        <v>146.391</v>
      </c>
      <c r="V106" s="24">
        <v>30.497</v>
      </c>
      <c r="W106" s="24">
        <v>112.7</v>
      </c>
      <c r="X106" s="24">
        <v>35.356</v>
      </c>
      <c r="Y106" s="24">
        <v>161.752</v>
      </c>
      <c r="Z106" s="24">
        <v>28.611</v>
      </c>
      <c r="AA106" s="24">
        <v>146.58</v>
      </c>
      <c r="AB106" s="24">
        <v>30.735</v>
      </c>
      <c r="AC106" s="24">
        <v>113.379</v>
      </c>
      <c r="AD106" s="24">
        <v>35.707</v>
      </c>
      <c r="AE106" s="21">
        <f t="shared" ref="AE106:AF106" si="313">(M106+S106+Y106)/3</f>
        <v>161.7973333</v>
      </c>
      <c r="AF106" s="21">
        <f t="shared" si="313"/>
        <v>28.481</v>
      </c>
      <c r="AG106" s="21">
        <f t="shared" ref="AG106:AH106" si="314">(AA106+U106+O106)/3</f>
        <v>146.5563333</v>
      </c>
      <c r="AH106" s="21">
        <f t="shared" si="314"/>
        <v>30.65966667</v>
      </c>
      <c r="AI106" s="21">
        <f t="shared" ref="AI106:AJ106" si="315">(Q106+W106+AC106)/3</f>
        <v>113.1426667</v>
      </c>
      <c r="AJ106" s="21">
        <f t="shared" si="315"/>
        <v>35.60266667</v>
      </c>
    </row>
    <row r="107">
      <c r="A107" s="13" t="s">
        <v>19</v>
      </c>
      <c r="B107" s="13" t="s">
        <v>20</v>
      </c>
      <c r="C107" s="14">
        <v>45460.0</v>
      </c>
      <c r="D107" s="15" t="s">
        <v>25</v>
      </c>
      <c r="E107" s="16">
        <v>6.2</v>
      </c>
      <c r="F107" s="15" t="s">
        <v>27</v>
      </c>
      <c r="G107" s="17">
        <v>1.0</v>
      </c>
      <c r="H107" s="18" t="s">
        <v>23</v>
      </c>
      <c r="I107" s="19">
        <v>13.42</v>
      </c>
      <c r="J107" s="20">
        <v>630.7139</v>
      </c>
      <c r="K107" s="20">
        <v>5.472</v>
      </c>
      <c r="L107" s="20">
        <v>0.009</v>
      </c>
      <c r="M107" s="20">
        <v>159.33</v>
      </c>
      <c r="N107" s="20">
        <v>27.496</v>
      </c>
      <c r="O107" s="20">
        <v>143.952</v>
      </c>
      <c r="P107" s="20">
        <v>29.343</v>
      </c>
      <c r="Q107" s="20">
        <v>110.934</v>
      </c>
      <c r="R107" s="27">
        <v>31.895</v>
      </c>
      <c r="S107" s="27">
        <v>158.735</v>
      </c>
      <c r="T107" s="24">
        <v>29.209</v>
      </c>
      <c r="U107" s="24">
        <v>143.477</v>
      </c>
      <c r="V107" s="24">
        <v>30.721</v>
      </c>
      <c r="W107" s="24">
        <v>110.835</v>
      </c>
      <c r="X107" s="24">
        <v>32.499</v>
      </c>
      <c r="Y107" s="24">
        <v>159.939</v>
      </c>
      <c r="Z107" s="24">
        <v>26.447</v>
      </c>
      <c r="AA107" s="24">
        <v>114.531</v>
      </c>
      <c r="AB107" s="24">
        <v>28.653</v>
      </c>
      <c r="AC107" s="24">
        <v>111.413</v>
      </c>
      <c r="AD107" s="24">
        <v>31.921</v>
      </c>
      <c r="AE107" s="21">
        <f t="shared" ref="AE107:AF107" si="316">(M107+S107+Y107)/3</f>
        <v>159.3346667</v>
      </c>
      <c r="AF107" s="21">
        <f t="shared" si="316"/>
        <v>27.71733333</v>
      </c>
      <c r="AG107" s="21">
        <f t="shared" ref="AG107:AH107" si="317">(AA107+U107+O107)/3</f>
        <v>133.9866667</v>
      </c>
      <c r="AH107" s="21">
        <f t="shared" si="317"/>
        <v>29.57233333</v>
      </c>
      <c r="AI107" s="21">
        <f t="shared" ref="AI107:AJ107" si="318">(Q107+W107+AC107)/3</f>
        <v>111.0606667</v>
      </c>
      <c r="AJ107" s="21">
        <f t="shared" si="318"/>
        <v>32.105</v>
      </c>
    </row>
    <row r="108">
      <c r="A108" s="13" t="s">
        <v>19</v>
      </c>
      <c r="B108" s="13" t="s">
        <v>20</v>
      </c>
      <c r="C108" s="14">
        <v>45460.0</v>
      </c>
      <c r="D108" s="15" t="s">
        <v>25</v>
      </c>
      <c r="E108" s="16">
        <v>6.3</v>
      </c>
      <c r="F108" s="15" t="s">
        <v>27</v>
      </c>
      <c r="G108" s="17">
        <v>1.0</v>
      </c>
      <c r="H108" s="18" t="s">
        <v>23</v>
      </c>
      <c r="I108" s="19">
        <v>11.964</v>
      </c>
      <c r="J108" s="20">
        <v>708.0254</v>
      </c>
      <c r="K108" s="20">
        <v>5.633</v>
      </c>
      <c r="L108" s="20">
        <v>0.036</v>
      </c>
      <c r="M108" s="20">
        <v>148.408</v>
      </c>
      <c r="N108" s="20">
        <v>31.231</v>
      </c>
      <c r="O108" s="20">
        <v>132.271</v>
      </c>
      <c r="P108" s="20">
        <v>33.94</v>
      </c>
      <c r="Q108" s="20">
        <v>84.611</v>
      </c>
      <c r="R108" s="27">
        <v>38.058</v>
      </c>
      <c r="S108" s="27">
        <v>148.244</v>
      </c>
      <c r="T108" s="24">
        <v>31.097</v>
      </c>
      <c r="U108" s="24">
        <v>132.018</v>
      </c>
      <c r="V108" s="24">
        <v>33.751</v>
      </c>
      <c r="W108" s="24">
        <v>84.204</v>
      </c>
      <c r="X108" s="24">
        <v>37.669</v>
      </c>
      <c r="Y108" s="24">
        <v>148.226</v>
      </c>
      <c r="Z108" s="24">
        <v>31.359</v>
      </c>
      <c r="AA108" s="24">
        <v>132.053</v>
      </c>
      <c r="AB108" s="24">
        <v>33.967</v>
      </c>
      <c r="AC108" s="24">
        <v>84.441</v>
      </c>
      <c r="AD108" s="24">
        <v>37.941</v>
      </c>
      <c r="AE108" s="21">
        <f t="shared" ref="AE108:AF108" si="319">(M108+S108+Y108)/3</f>
        <v>148.2926667</v>
      </c>
      <c r="AF108" s="21">
        <f t="shared" si="319"/>
        <v>31.229</v>
      </c>
      <c r="AG108" s="21">
        <f t="shared" ref="AG108:AH108" si="320">(AA108+U108+O108)/3</f>
        <v>132.114</v>
      </c>
      <c r="AH108" s="21">
        <f t="shared" si="320"/>
        <v>33.886</v>
      </c>
      <c r="AI108" s="21">
        <f t="shared" ref="AI108:AJ108" si="321">(Q108+W108+AC108)/3</f>
        <v>84.41866667</v>
      </c>
      <c r="AJ108" s="21">
        <f t="shared" si="321"/>
        <v>37.88933333</v>
      </c>
    </row>
    <row r="109">
      <c r="A109" s="13" t="s">
        <v>19</v>
      </c>
      <c r="B109" s="13" t="s">
        <v>20</v>
      </c>
      <c r="C109" s="14">
        <v>45460.0</v>
      </c>
      <c r="D109" s="15" t="s">
        <v>25</v>
      </c>
      <c r="E109" s="16">
        <v>6.4</v>
      </c>
      <c r="F109" s="15" t="s">
        <v>27</v>
      </c>
      <c r="G109" s="17">
        <v>1.0</v>
      </c>
      <c r="H109" s="18" t="s">
        <v>23</v>
      </c>
      <c r="I109" s="19">
        <v>13.054</v>
      </c>
      <c r="J109" s="20">
        <v>660.0</v>
      </c>
      <c r="K109" s="20">
        <v>5.055</v>
      </c>
      <c r="L109" s="20">
        <v>0.001</v>
      </c>
      <c r="M109" s="20">
        <v>143.29</v>
      </c>
      <c r="N109" s="20">
        <v>24.815</v>
      </c>
      <c r="O109" s="20">
        <v>127.664</v>
      </c>
      <c r="P109" s="20">
        <v>26.058</v>
      </c>
      <c r="Q109" s="20">
        <v>93.419</v>
      </c>
      <c r="R109" s="27">
        <v>26.866</v>
      </c>
      <c r="S109" s="27">
        <v>142.955</v>
      </c>
      <c r="T109" s="24">
        <v>24.985</v>
      </c>
      <c r="U109" s="24">
        <v>127.298</v>
      </c>
      <c r="V109" s="24">
        <v>26.096</v>
      </c>
      <c r="W109" s="24">
        <v>92.99</v>
      </c>
      <c r="X109" s="24">
        <v>26.567</v>
      </c>
      <c r="Y109" s="24">
        <v>143.062</v>
      </c>
      <c r="Z109" s="24">
        <v>24.687</v>
      </c>
      <c r="AA109" s="24">
        <v>127.352</v>
      </c>
      <c r="AB109" s="24">
        <v>25.863</v>
      </c>
      <c r="AC109" s="24">
        <v>92.954</v>
      </c>
      <c r="AD109" s="24">
        <v>26.495</v>
      </c>
      <c r="AE109" s="21">
        <f t="shared" ref="AE109:AF109" si="322">(M109+S109+Y109)/3</f>
        <v>143.1023333</v>
      </c>
      <c r="AF109" s="21">
        <f t="shared" si="322"/>
        <v>24.829</v>
      </c>
      <c r="AG109" s="21">
        <f t="shared" ref="AG109:AH109" si="323">(AA109+U109+O109)/3</f>
        <v>127.438</v>
      </c>
      <c r="AH109" s="21">
        <f t="shared" si="323"/>
        <v>26.00566667</v>
      </c>
      <c r="AI109" s="21">
        <f t="shared" ref="AI109:AJ109" si="324">(Q109+W109+AC109)/3</f>
        <v>93.121</v>
      </c>
      <c r="AJ109" s="21">
        <f t="shared" si="324"/>
        <v>26.64266667</v>
      </c>
    </row>
    <row r="110">
      <c r="A110" s="13" t="s">
        <v>19</v>
      </c>
      <c r="B110" s="13" t="s">
        <v>20</v>
      </c>
      <c r="C110" s="14">
        <v>45482.0</v>
      </c>
      <c r="D110" s="15" t="s">
        <v>21</v>
      </c>
      <c r="E110" s="16">
        <v>4.1</v>
      </c>
      <c r="F110" s="15" t="s">
        <v>27</v>
      </c>
      <c r="G110" s="17">
        <v>1.0</v>
      </c>
      <c r="H110" s="18" t="s">
        <v>26</v>
      </c>
      <c r="I110" s="19">
        <v>7.8458</v>
      </c>
      <c r="J110" s="25">
        <v>975.0</v>
      </c>
      <c r="K110" s="25">
        <v>2.831</v>
      </c>
      <c r="L110" s="25">
        <v>0.032</v>
      </c>
      <c r="M110" s="25">
        <v>150.26</v>
      </c>
      <c r="N110" s="25">
        <v>30.759</v>
      </c>
      <c r="O110" s="25">
        <v>129.331</v>
      </c>
      <c r="P110" s="25">
        <v>36.283</v>
      </c>
      <c r="Q110" s="25">
        <v>85.277</v>
      </c>
      <c r="R110" s="25">
        <v>42.163</v>
      </c>
      <c r="S110" s="25">
        <v>150.853</v>
      </c>
      <c r="T110" s="25">
        <v>30.823</v>
      </c>
      <c r="U110" s="25">
        <v>129.852</v>
      </c>
      <c r="V110" s="25">
        <v>36.556</v>
      </c>
      <c r="W110" s="25">
        <v>85.665</v>
      </c>
      <c r="X110" s="25">
        <v>42.401</v>
      </c>
      <c r="Y110" s="25">
        <v>150.832</v>
      </c>
      <c r="Z110" s="25">
        <v>30.247</v>
      </c>
      <c r="AA110" s="25">
        <v>129.84</v>
      </c>
      <c r="AB110" s="25">
        <v>36.005</v>
      </c>
      <c r="AC110" s="25">
        <v>85.473</v>
      </c>
      <c r="AD110" s="25">
        <v>41.77</v>
      </c>
      <c r="AE110" s="21">
        <f t="shared" ref="AE110:AF110" si="325">(M110+S110+Y110)/3</f>
        <v>150.6483333</v>
      </c>
      <c r="AF110" s="21">
        <f t="shared" si="325"/>
        <v>30.60966667</v>
      </c>
      <c r="AG110" s="21">
        <f t="shared" ref="AG110:AH110" si="326">(AA110+U110+O110)/3</f>
        <v>129.6743333</v>
      </c>
      <c r="AH110" s="21">
        <f t="shared" si="326"/>
        <v>36.28133333</v>
      </c>
      <c r="AI110" s="21">
        <f t="shared" ref="AI110:AJ110" si="327">(Q110+W110+AC110)/3</f>
        <v>85.47166667</v>
      </c>
      <c r="AJ110" s="21">
        <f t="shared" si="327"/>
        <v>42.11133333</v>
      </c>
    </row>
    <row r="111">
      <c r="A111" s="13" t="s">
        <v>19</v>
      </c>
      <c r="B111" s="13" t="s">
        <v>20</v>
      </c>
      <c r="C111" s="14">
        <v>45482.0</v>
      </c>
      <c r="D111" s="15" t="s">
        <v>21</v>
      </c>
      <c r="E111" s="16">
        <v>4.2</v>
      </c>
      <c r="F111" s="15" t="s">
        <v>27</v>
      </c>
      <c r="G111" s="17">
        <v>1.0</v>
      </c>
      <c r="H111" s="18" t="s">
        <v>26</v>
      </c>
      <c r="I111" s="16">
        <v>8.1645</v>
      </c>
      <c r="J111" s="25">
        <v>1098.4958</v>
      </c>
      <c r="K111" s="25">
        <v>3.575</v>
      </c>
      <c r="L111" s="25">
        <v>0.047</v>
      </c>
      <c r="M111" s="25">
        <v>135.302</v>
      </c>
      <c r="N111" s="25">
        <v>36.178</v>
      </c>
      <c r="O111" s="25">
        <v>108.237</v>
      </c>
      <c r="P111" s="25">
        <v>37.36</v>
      </c>
      <c r="Q111" s="25">
        <v>66.515</v>
      </c>
      <c r="R111" s="25">
        <v>34.25</v>
      </c>
      <c r="S111" s="25">
        <v>133.898</v>
      </c>
      <c r="T111" s="25">
        <v>37.106</v>
      </c>
      <c r="U111" s="25">
        <v>107.105</v>
      </c>
      <c r="V111" s="25">
        <v>38.028</v>
      </c>
      <c r="W111" s="25">
        <v>65.722</v>
      </c>
      <c r="X111" s="25">
        <v>34.694</v>
      </c>
      <c r="Y111" s="25">
        <v>134.183</v>
      </c>
      <c r="Z111" s="25">
        <v>36.7785</v>
      </c>
      <c r="AA111" s="25">
        <v>107.351</v>
      </c>
      <c r="AB111" s="25">
        <v>37.747</v>
      </c>
      <c r="AC111" s="25">
        <v>65.894</v>
      </c>
      <c r="AD111" s="25">
        <v>34.5</v>
      </c>
      <c r="AE111" s="21">
        <f t="shared" ref="AE111:AF111" si="328">(M111+S111+Y111)/3</f>
        <v>134.461</v>
      </c>
      <c r="AF111" s="21">
        <f t="shared" si="328"/>
        <v>36.6875</v>
      </c>
      <c r="AG111" s="21">
        <f t="shared" ref="AG111:AH111" si="329">(AA111+U111+O111)/3</f>
        <v>107.5643333</v>
      </c>
      <c r="AH111" s="21">
        <f t="shared" si="329"/>
        <v>37.71166667</v>
      </c>
      <c r="AI111" s="21">
        <f t="shared" ref="AI111:AJ111" si="330">(Q111+W111+AC111)/3</f>
        <v>66.04366667</v>
      </c>
      <c r="AJ111" s="21">
        <f t="shared" si="330"/>
        <v>34.48133333</v>
      </c>
    </row>
    <row r="112">
      <c r="A112" s="13" t="s">
        <v>19</v>
      </c>
      <c r="B112" s="13" t="s">
        <v>20</v>
      </c>
      <c r="C112" s="14">
        <v>45482.0</v>
      </c>
      <c r="D112" s="15" t="s">
        <v>21</v>
      </c>
      <c r="E112" s="16">
        <v>4.3</v>
      </c>
      <c r="F112" s="15" t="s">
        <v>27</v>
      </c>
      <c r="G112" s="17">
        <v>1.0</v>
      </c>
      <c r="H112" s="18" t="s">
        <v>26</v>
      </c>
      <c r="I112" s="19">
        <v>7.8418</v>
      </c>
      <c r="J112" s="25">
        <v>958.5223</v>
      </c>
      <c r="K112" s="25">
        <v>2.041</v>
      </c>
      <c r="L112" s="25">
        <v>0.008</v>
      </c>
      <c r="M112" s="25">
        <v>153.58</v>
      </c>
      <c r="N112" s="25">
        <v>28.781</v>
      </c>
      <c r="O112" s="25">
        <v>123.902</v>
      </c>
      <c r="P112" s="25">
        <v>31.979</v>
      </c>
      <c r="Q112" s="25">
        <v>69.578</v>
      </c>
      <c r="R112" s="25">
        <v>30.039</v>
      </c>
      <c r="S112" s="25">
        <v>153.939</v>
      </c>
      <c r="T112" s="25">
        <v>28.794</v>
      </c>
      <c r="U112" s="25">
        <v>124.301</v>
      </c>
      <c r="V112" s="25">
        <v>32.34</v>
      </c>
      <c r="W112" s="25">
        <v>70.04</v>
      </c>
      <c r="X112" s="25">
        <v>30.817</v>
      </c>
      <c r="Y112" s="25">
        <v>153.557</v>
      </c>
      <c r="Z112" s="25">
        <v>28.782</v>
      </c>
      <c r="AA112" s="25">
        <v>123.952</v>
      </c>
      <c r="AB112" s="25">
        <v>32.217</v>
      </c>
      <c r="AC112" s="25">
        <v>69.726</v>
      </c>
      <c r="AD112" s="25">
        <v>30.462</v>
      </c>
      <c r="AE112" s="21">
        <f t="shared" ref="AE112:AF112" si="331">(M112+S112+Y112)/3</f>
        <v>153.692</v>
      </c>
      <c r="AF112" s="21">
        <f t="shared" si="331"/>
        <v>28.78566667</v>
      </c>
      <c r="AG112" s="21">
        <f t="shared" ref="AG112:AH112" si="332">(AA112+U112+O112)/3</f>
        <v>124.0516667</v>
      </c>
      <c r="AH112" s="21">
        <f t="shared" si="332"/>
        <v>32.17866667</v>
      </c>
      <c r="AI112" s="21">
        <f t="shared" ref="AI112:AJ112" si="333">(Q112+W112+AC112)/3</f>
        <v>69.78133333</v>
      </c>
      <c r="AJ112" s="21">
        <f t="shared" si="333"/>
        <v>30.43933333</v>
      </c>
    </row>
    <row r="113">
      <c r="A113" s="13" t="s">
        <v>19</v>
      </c>
      <c r="B113" s="13" t="s">
        <v>20</v>
      </c>
      <c r="C113" s="14">
        <v>45482.0</v>
      </c>
      <c r="D113" s="15" t="s">
        <v>21</v>
      </c>
      <c r="E113" s="16">
        <v>4.4</v>
      </c>
      <c r="F113" s="15" t="s">
        <v>27</v>
      </c>
      <c r="G113" s="17">
        <v>1.0</v>
      </c>
      <c r="H113" s="18" t="s">
        <v>26</v>
      </c>
      <c r="I113" s="19">
        <v>7.3755</v>
      </c>
      <c r="J113" s="25">
        <v>987.114</v>
      </c>
      <c r="K113" s="25">
        <v>1.883</v>
      </c>
      <c r="L113" s="25">
        <v>0.02</v>
      </c>
      <c r="M113" s="25">
        <v>117.644</v>
      </c>
      <c r="N113" s="25">
        <v>30.642</v>
      </c>
      <c r="O113" s="25">
        <v>99.905</v>
      </c>
      <c r="P113" s="25">
        <v>30.631</v>
      </c>
      <c r="Q113" s="25">
        <v>63.164</v>
      </c>
      <c r="R113" s="25">
        <v>28.802</v>
      </c>
      <c r="S113" s="25">
        <v>117.207</v>
      </c>
      <c r="T113" s="25">
        <v>30.843</v>
      </c>
      <c r="U113" s="25">
        <v>99.589</v>
      </c>
      <c r="V113" s="25">
        <v>30.694</v>
      </c>
      <c r="W113" s="25">
        <v>62.857</v>
      </c>
      <c r="X113" s="25">
        <v>28.633</v>
      </c>
      <c r="Y113" s="25">
        <v>117.62</v>
      </c>
      <c r="Z113" s="25">
        <v>30.716</v>
      </c>
      <c r="AA113" s="25">
        <v>99.989</v>
      </c>
      <c r="AB113" s="25">
        <v>30.719</v>
      </c>
      <c r="AC113" s="25">
        <v>63.232</v>
      </c>
      <c r="AD113" s="25">
        <v>28.951</v>
      </c>
      <c r="AE113" s="21">
        <f t="shared" ref="AE113:AF113" si="334">(M113+S113+Y113)/3</f>
        <v>117.4903333</v>
      </c>
      <c r="AF113" s="21">
        <f t="shared" si="334"/>
        <v>30.73366667</v>
      </c>
      <c r="AG113" s="21">
        <f t="shared" ref="AG113:AH113" si="335">(AA113+U113+O113)/3</f>
        <v>99.82766667</v>
      </c>
      <c r="AH113" s="21">
        <f t="shared" si="335"/>
        <v>30.68133333</v>
      </c>
      <c r="AI113" s="21">
        <f t="shared" ref="AI113:AJ113" si="336">(Q113+W113+AC113)/3</f>
        <v>63.08433333</v>
      </c>
      <c r="AJ113" s="21">
        <f t="shared" si="336"/>
        <v>28.79533333</v>
      </c>
    </row>
    <row r="114">
      <c r="A114" s="13" t="s">
        <v>19</v>
      </c>
      <c r="B114" s="13" t="s">
        <v>20</v>
      </c>
      <c r="C114" s="14">
        <v>45482.0</v>
      </c>
      <c r="D114" s="15" t="s">
        <v>21</v>
      </c>
      <c r="E114" s="16">
        <v>5.1</v>
      </c>
      <c r="F114" s="15" t="s">
        <v>27</v>
      </c>
      <c r="G114" s="17">
        <v>1.0</v>
      </c>
      <c r="H114" s="18" t="s">
        <v>26</v>
      </c>
      <c r="I114" s="19">
        <v>8.6497</v>
      </c>
      <c r="J114" s="25">
        <v>923.5811</v>
      </c>
      <c r="K114" s="25">
        <v>3.194</v>
      </c>
      <c r="L114" s="25">
        <v>0.037</v>
      </c>
      <c r="M114" s="25">
        <v>121.867</v>
      </c>
      <c r="N114" s="25">
        <v>39.596</v>
      </c>
      <c r="O114" s="25">
        <v>88.509</v>
      </c>
      <c r="P114" s="25">
        <v>41.872</v>
      </c>
      <c r="Q114" s="25">
        <v>49.854</v>
      </c>
      <c r="R114" s="25">
        <v>33.24</v>
      </c>
      <c r="S114" s="25">
        <v>122.506</v>
      </c>
      <c r="T114" s="25">
        <v>40.098</v>
      </c>
      <c r="U114" s="25">
        <v>89.128</v>
      </c>
      <c r="V114" s="25">
        <v>42.66</v>
      </c>
      <c r="W114" s="25">
        <v>50.537</v>
      </c>
      <c r="X114" s="25">
        <v>34.483</v>
      </c>
      <c r="Y114" s="25">
        <v>121.928</v>
      </c>
      <c r="Z114" s="25">
        <v>39.794</v>
      </c>
      <c r="AA114" s="25">
        <v>88.645</v>
      </c>
      <c r="AB114" s="25">
        <v>42.085</v>
      </c>
      <c r="AC114" s="25">
        <v>49.985</v>
      </c>
      <c r="AD114" s="25">
        <v>33.375</v>
      </c>
      <c r="AE114" s="21">
        <f t="shared" ref="AE114:AF114" si="337">(M114+S114+Y114)/3</f>
        <v>122.1003333</v>
      </c>
      <c r="AF114" s="21">
        <f t="shared" si="337"/>
        <v>39.82933333</v>
      </c>
      <c r="AG114" s="21">
        <f t="shared" ref="AG114:AH114" si="338">(AA114+U114+O114)/3</f>
        <v>88.76066667</v>
      </c>
      <c r="AH114" s="21">
        <f t="shared" si="338"/>
        <v>42.20566667</v>
      </c>
      <c r="AI114" s="21">
        <f t="shared" ref="AI114:AJ114" si="339">(Q114+W114+AC114)/3</f>
        <v>50.12533333</v>
      </c>
      <c r="AJ114" s="21">
        <f t="shared" si="339"/>
        <v>33.69933333</v>
      </c>
    </row>
    <row r="115">
      <c r="A115" s="13" t="s">
        <v>19</v>
      </c>
      <c r="B115" s="13" t="s">
        <v>20</v>
      </c>
      <c r="C115" s="14">
        <v>45482.0</v>
      </c>
      <c r="D115" s="15" t="s">
        <v>21</v>
      </c>
      <c r="E115" s="16">
        <v>5.2</v>
      </c>
      <c r="F115" s="15" t="s">
        <v>27</v>
      </c>
      <c r="G115" s="17">
        <v>1.0</v>
      </c>
      <c r="H115" s="18" t="s">
        <v>26</v>
      </c>
      <c r="I115" s="19">
        <v>9.1212</v>
      </c>
      <c r="J115" s="25">
        <v>804.0503</v>
      </c>
      <c r="K115" s="25">
        <v>3.511</v>
      </c>
      <c r="L115" s="25">
        <v>0.034</v>
      </c>
      <c r="M115" s="25">
        <v>120.978</v>
      </c>
      <c r="N115" s="25">
        <v>44.644</v>
      </c>
      <c r="O115" s="25">
        <v>90.712</v>
      </c>
      <c r="P115" s="25">
        <v>47.871</v>
      </c>
      <c r="Q115" s="25">
        <v>59.273</v>
      </c>
      <c r="R115" s="25">
        <v>42.953</v>
      </c>
      <c r="S115" s="25">
        <v>121.203</v>
      </c>
      <c r="T115" s="25">
        <v>45.026</v>
      </c>
      <c r="U115" s="25">
        <v>90.949</v>
      </c>
      <c r="V115" s="25">
        <v>48.306</v>
      </c>
      <c r="W115" s="25">
        <v>59.585</v>
      </c>
      <c r="X115" s="25">
        <v>43.61</v>
      </c>
      <c r="Y115" s="25">
        <v>120.003</v>
      </c>
      <c r="Z115" s="25">
        <v>44.352</v>
      </c>
      <c r="AA115" s="25">
        <v>89.485</v>
      </c>
      <c r="AB115" s="25">
        <v>47.08</v>
      </c>
      <c r="AC115" s="25">
        <v>58.021</v>
      </c>
      <c r="AD115" s="25">
        <v>41.683</v>
      </c>
      <c r="AE115" s="21">
        <f t="shared" ref="AE115:AF115" si="340">(M115+S115+Y115)/3</f>
        <v>120.728</v>
      </c>
      <c r="AF115" s="21">
        <f t="shared" si="340"/>
        <v>44.674</v>
      </c>
      <c r="AG115" s="21">
        <f t="shared" ref="AG115:AH115" si="341">(AA115+U115+O115)/3</f>
        <v>90.382</v>
      </c>
      <c r="AH115" s="21">
        <f t="shared" si="341"/>
        <v>47.75233333</v>
      </c>
      <c r="AI115" s="21">
        <f t="shared" ref="AI115:AJ115" si="342">(Q115+W115+AC115)/3</f>
        <v>58.95966667</v>
      </c>
      <c r="AJ115" s="21">
        <f t="shared" si="342"/>
        <v>42.74866667</v>
      </c>
    </row>
    <row r="116">
      <c r="A116" s="13" t="s">
        <v>19</v>
      </c>
      <c r="B116" s="13" t="s">
        <v>20</v>
      </c>
      <c r="C116" s="14">
        <v>45482.0</v>
      </c>
      <c r="D116" s="15" t="s">
        <v>21</v>
      </c>
      <c r="E116" s="16">
        <v>5.3</v>
      </c>
      <c r="F116" s="15" t="s">
        <v>27</v>
      </c>
      <c r="G116" s="17">
        <v>1.0</v>
      </c>
      <c r="H116" s="18" t="s">
        <v>26</v>
      </c>
      <c r="I116" s="19">
        <v>9.607</v>
      </c>
      <c r="J116" s="25">
        <v>990.3681</v>
      </c>
      <c r="K116" s="25">
        <v>3.701</v>
      </c>
      <c r="L116" s="25">
        <v>0.047</v>
      </c>
      <c r="M116" s="25">
        <v>134.134</v>
      </c>
      <c r="N116" s="25">
        <v>43.085</v>
      </c>
      <c r="O116" s="25">
        <v>100.546</v>
      </c>
      <c r="P116" s="25">
        <v>44.12</v>
      </c>
      <c r="Q116" s="25">
        <v>57.993</v>
      </c>
      <c r="R116" s="25">
        <v>38.004</v>
      </c>
      <c r="S116" s="25">
        <v>133.93</v>
      </c>
      <c r="T116" s="25">
        <v>42.749</v>
      </c>
      <c r="U116" s="25">
        <v>100.115</v>
      </c>
      <c r="V116" s="25">
        <v>43.512</v>
      </c>
      <c r="W116" s="25">
        <v>57.477</v>
      </c>
      <c r="X116" s="25">
        <v>37.227</v>
      </c>
      <c r="Y116" s="25">
        <v>134.688</v>
      </c>
      <c r="Z116" s="25">
        <v>42.932</v>
      </c>
      <c r="AA116" s="25">
        <v>101.034</v>
      </c>
      <c r="AB116" s="25">
        <v>44.051</v>
      </c>
      <c r="AC116" s="25">
        <v>58.344</v>
      </c>
      <c r="AD116" s="25">
        <v>38.015</v>
      </c>
      <c r="AE116" s="21">
        <f t="shared" ref="AE116:AF116" si="343">(M116+S116+Y116)/3</f>
        <v>134.2506667</v>
      </c>
      <c r="AF116" s="21">
        <f t="shared" si="343"/>
        <v>42.922</v>
      </c>
      <c r="AG116" s="21">
        <f t="shared" ref="AG116:AH116" si="344">(AA116+U116+O116)/3</f>
        <v>100.565</v>
      </c>
      <c r="AH116" s="21">
        <f t="shared" si="344"/>
        <v>43.89433333</v>
      </c>
      <c r="AI116" s="21">
        <f t="shared" ref="AI116:AJ116" si="345">(Q116+W116+AC116)/3</f>
        <v>57.938</v>
      </c>
      <c r="AJ116" s="21">
        <f t="shared" si="345"/>
        <v>37.74866667</v>
      </c>
    </row>
    <row r="117">
      <c r="A117" s="13" t="s">
        <v>19</v>
      </c>
      <c r="B117" s="13" t="s">
        <v>20</v>
      </c>
      <c r="C117" s="14">
        <v>45482.0</v>
      </c>
      <c r="D117" s="15" t="s">
        <v>21</v>
      </c>
      <c r="E117" s="16">
        <v>5.4</v>
      </c>
      <c r="F117" s="15" t="s">
        <v>27</v>
      </c>
      <c r="G117" s="17">
        <v>1.0</v>
      </c>
      <c r="H117" s="18" t="s">
        <v>26</v>
      </c>
      <c r="I117" s="19">
        <v>8.6735</v>
      </c>
      <c r="J117" s="25">
        <v>966.0186</v>
      </c>
      <c r="K117" s="25">
        <v>2.381</v>
      </c>
      <c r="L117" s="25">
        <v>0.027</v>
      </c>
      <c r="M117" s="25">
        <v>110.796</v>
      </c>
      <c r="N117" s="25">
        <v>39.297</v>
      </c>
      <c r="O117" s="25">
        <v>89.516</v>
      </c>
      <c r="P117" s="25">
        <v>41.478</v>
      </c>
      <c r="Q117" s="25">
        <v>66.456</v>
      </c>
      <c r="R117" s="25">
        <v>36.409</v>
      </c>
      <c r="S117" s="25">
        <v>110.502</v>
      </c>
      <c r="T117" s="25">
        <v>38.973</v>
      </c>
      <c r="U117" s="25">
        <v>89.238</v>
      </c>
      <c r="V117" s="25">
        <v>41.138</v>
      </c>
      <c r="W117" s="25">
        <v>66.255</v>
      </c>
      <c r="X117" s="25">
        <v>36.27</v>
      </c>
      <c r="Y117" s="25">
        <v>110.857</v>
      </c>
      <c r="Z117" s="25">
        <v>39.209</v>
      </c>
      <c r="AA117" s="25">
        <v>89.62</v>
      </c>
      <c r="AB117" s="25">
        <v>41.414</v>
      </c>
      <c r="AC117" s="25">
        <v>66.493</v>
      </c>
      <c r="AD117" s="25">
        <v>36.351</v>
      </c>
      <c r="AE117" s="21">
        <f t="shared" ref="AE117:AF117" si="346">(M117+S117+Y117)/3</f>
        <v>110.7183333</v>
      </c>
      <c r="AF117" s="21">
        <f t="shared" si="346"/>
        <v>39.15966667</v>
      </c>
      <c r="AG117" s="21">
        <f t="shared" ref="AG117:AH117" si="347">(AA117+U117+O117)/3</f>
        <v>89.458</v>
      </c>
      <c r="AH117" s="21">
        <f t="shared" si="347"/>
        <v>41.34333333</v>
      </c>
      <c r="AI117" s="21">
        <f t="shared" ref="AI117:AJ117" si="348">(Q117+W117+AC117)/3</f>
        <v>66.40133333</v>
      </c>
      <c r="AJ117" s="21">
        <f t="shared" si="348"/>
        <v>36.34333333</v>
      </c>
    </row>
    <row r="118">
      <c r="A118" s="13" t="s">
        <v>19</v>
      </c>
      <c r="B118" s="13" t="s">
        <v>20</v>
      </c>
      <c r="C118" s="14">
        <v>45482.0</v>
      </c>
      <c r="D118" s="15" t="s">
        <v>21</v>
      </c>
      <c r="E118" s="16">
        <v>6.1</v>
      </c>
      <c r="F118" s="15" t="s">
        <v>27</v>
      </c>
      <c r="G118" s="17">
        <v>1.0</v>
      </c>
      <c r="H118" s="18" t="s">
        <v>26</v>
      </c>
      <c r="I118" s="19">
        <v>8.4517</v>
      </c>
      <c r="J118" s="25">
        <v>1029.4328</v>
      </c>
      <c r="K118" s="25">
        <v>2.692</v>
      </c>
      <c r="L118" s="25">
        <v>0.018</v>
      </c>
      <c r="M118" s="25">
        <v>132.639</v>
      </c>
      <c r="N118" s="25">
        <v>39.793</v>
      </c>
      <c r="O118" s="25">
        <v>101.968</v>
      </c>
      <c r="P118" s="25">
        <v>41.88</v>
      </c>
      <c r="Q118" s="25">
        <v>55.078</v>
      </c>
      <c r="R118" s="25">
        <v>36.652</v>
      </c>
      <c r="S118" s="25">
        <v>132.93</v>
      </c>
      <c r="T118" s="25">
        <v>39.918</v>
      </c>
      <c r="U118" s="25">
        <v>102.335</v>
      </c>
      <c r="V118" s="25">
        <v>42.214</v>
      </c>
      <c r="W118" s="25">
        <v>55.511</v>
      </c>
      <c r="X118" s="25">
        <v>37.063</v>
      </c>
      <c r="Y118" s="25">
        <v>132.947</v>
      </c>
      <c r="Z118" s="25">
        <v>39.821</v>
      </c>
      <c r="AA118" s="25">
        <v>102.171</v>
      </c>
      <c r="AB118" s="25">
        <v>42.094</v>
      </c>
      <c r="AC118" s="25">
        <v>55.156</v>
      </c>
      <c r="AD118" s="25">
        <v>36.787</v>
      </c>
      <c r="AE118" s="21">
        <f t="shared" ref="AE118:AF118" si="349">(M118+S118+Y118)/3</f>
        <v>132.8386667</v>
      </c>
      <c r="AF118" s="21">
        <f t="shared" si="349"/>
        <v>39.844</v>
      </c>
      <c r="AG118" s="21">
        <f t="shared" ref="AG118:AH118" si="350">(AA118+U118+O118)/3</f>
        <v>102.158</v>
      </c>
      <c r="AH118" s="21">
        <f t="shared" si="350"/>
        <v>42.06266667</v>
      </c>
      <c r="AI118" s="21">
        <f t="shared" ref="AI118:AJ118" si="351">(Q118+W118+AC118)/3</f>
        <v>55.24833333</v>
      </c>
      <c r="AJ118" s="21">
        <f t="shared" si="351"/>
        <v>36.834</v>
      </c>
    </row>
    <row r="119">
      <c r="A119" s="13" t="s">
        <v>19</v>
      </c>
      <c r="B119" s="13" t="s">
        <v>20</v>
      </c>
      <c r="C119" s="14">
        <v>45482.0</v>
      </c>
      <c r="D119" s="15" t="s">
        <v>21</v>
      </c>
      <c r="E119" s="16">
        <v>6.2</v>
      </c>
      <c r="F119" s="15" t="s">
        <v>27</v>
      </c>
      <c r="G119" s="17">
        <v>1.0</v>
      </c>
      <c r="H119" s="18" t="s">
        <v>26</v>
      </c>
      <c r="I119" s="19">
        <v>7.6445</v>
      </c>
      <c r="J119" s="25">
        <v>1149.7674</v>
      </c>
      <c r="K119" s="25">
        <v>1.863</v>
      </c>
      <c r="L119" s="25">
        <v>0.005</v>
      </c>
      <c r="M119" s="25">
        <v>149.781</v>
      </c>
      <c r="N119" s="25">
        <v>34.581</v>
      </c>
      <c r="O119" s="25">
        <v>119.165</v>
      </c>
      <c r="P119" s="25">
        <v>37.97</v>
      </c>
      <c r="Q119" s="25">
        <v>61.381</v>
      </c>
      <c r="R119" s="25">
        <v>34.832</v>
      </c>
      <c r="S119" s="25">
        <v>149.559</v>
      </c>
      <c r="T119" s="25">
        <v>34.258</v>
      </c>
      <c r="U119" s="25">
        <v>116.789</v>
      </c>
      <c r="V119" s="25">
        <v>37.517</v>
      </c>
      <c r="W119" s="25">
        <v>60.824</v>
      </c>
      <c r="X119" s="25">
        <v>34.011</v>
      </c>
      <c r="Y119" s="25">
        <v>149.854</v>
      </c>
      <c r="Z119" s="25">
        <v>34.838</v>
      </c>
      <c r="AA119" s="25">
        <v>117.348</v>
      </c>
      <c r="AB119" s="25">
        <v>38.215</v>
      </c>
      <c r="AC119" s="25">
        <v>61.665</v>
      </c>
      <c r="AD119" s="25">
        <v>35.292</v>
      </c>
      <c r="AE119" s="21">
        <f t="shared" ref="AE119:AF119" si="352">(M119+S119+Y119)/3</f>
        <v>149.7313333</v>
      </c>
      <c r="AF119" s="21">
        <f t="shared" si="352"/>
        <v>34.559</v>
      </c>
      <c r="AG119" s="21">
        <f t="shared" ref="AG119:AH119" si="353">(AA119+U119+O119)/3</f>
        <v>117.7673333</v>
      </c>
      <c r="AH119" s="21">
        <f t="shared" si="353"/>
        <v>37.90066667</v>
      </c>
      <c r="AI119" s="21">
        <f t="shared" ref="AI119:AJ119" si="354">(Q119+W119+AC119)/3</f>
        <v>61.29</v>
      </c>
      <c r="AJ119" s="21">
        <f t="shared" si="354"/>
        <v>34.71166667</v>
      </c>
    </row>
    <row r="120">
      <c r="A120" s="13" t="s">
        <v>19</v>
      </c>
      <c r="B120" s="13" t="s">
        <v>20</v>
      </c>
      <c r="C120" s="14">
        <v>45482.0</v>
      </c>
      <c r="D120" s="15" t="s">
        <v>21</v>
      </c>
      <c r="E120" s="16">
        <v>6.3</v>
      </c>
      <c r="F120" s="15" t="s">
        <v>27</v>
      </c>
      <c r="G120" s="17">
        <v>1.0</v>
      </c>
      <c r="H120" s="18" t="s">
        <v>26</v>
      </c>
      <c r="I120" s="19">
        <v>8.1226</v>
      </c>
      <c r="J120" s="25">
        <v>954.0189</v>
      </c>
      <c r="K120" s="25">
        <v>2.433</v>
      </c>
      <c r="L120" s="25">
        <v>0.026</v>
      </c>
      <c r="M120" s="25">
        <v>138.976</v>
      </c>
      <c r="N120" s="25">
        <v>34.905</v>
      </c>
      <c r="O120" s="25">
        <v>110.188</v>
      </c>
      <c r="P120" s="25">
        <v>36.792</v>
      </c>
      <c r="Q120" s="25">
        <v>59.947</v>
      </c>
      <c r="R120" s="25">
        <v>34.421</v>
      </c>
      <c r="S120" s="25">
        <v>138.214</v>
      </c>
      <c r="T120" s="25">
        <v>34.888</v>
      </c>
      <c r="U120" s="25">
        <v>109.324</v>
      </c>
      <c r="V120" s="25">
        <v>36.363</v>
      </c>
      <c r="W120" s="25">
        <v>59.086</v>
      </c>
      <c r="X120" s="25">
        <v>33.552</v>
      </c>
      <c r="Y120" s="25">
        <v>138.865</v>
      </c>
      <c r="Z120" s="25">
        <v>34.919</v>
      </c>
      <c r="AA120" s="25">
        <v>110.152</v>
      </c>
      <c r="AB120" s="25">
        <v>36.765</v>
      </c>
      <c r="AC120" s="25">
        <v>59.997</v>
      </c>
      <c r="AD120" s="25">
        <v>34.513</v>
      </c>
      <c r="AE120" s="21">
        <f t="shared" ref="AE120:AF120" si="355">(M120+S120+Y120)/3</f>
        <v>138.685</v>
      </c>
      <c r="AF120" s="21">
        <f t="shared" si="355"/>
        <v>34.904</v>
      </c>
      <c r="AG120" s="21">
        <f t="shared" ref="AG120:AH120" si="356">(AA120+U120+O120)/3</f>
        <v>109.888</v>
      </c>
      <c r="AH120" s="21">
        <f t="shared" si="356"/>
        <v>36.64</v>
      </c>
      <c r="AI120" s="21">
        <f t="shared" ref="AI120:AJ120" si="357">(Q120+W120+AC120)/3</f>
        <v>59.67666667</v>
      </c>
      <c r="AJ120" s="21">
        <f t="shared" si="357"/>
        <v>34.162</v>
      </c>
    </row>
    <row r="121">
      <c r="A121" s="13" t="s">
        <v>19</v>
      </c>
      <c r="B121" s="13" t="s">
        <v>20</v>
      </c>
      <c r="C121" s="14">
        <v>45482.0</v>
      </c>
      <c r="D121" s="15" t="s">
        <v>21</v>
      </c>
      <c r="E121" s="16">
        <v>6.4</v>
      </c>
      <c r="F121" s="15" t="s">
        <v>27</v>
      </c>
      <c r="G121" s="17">
        <v>1.0</v>
      </c>
      <c r="H121" s="18" t="s">
        <v>26</v>
      </c>
      <c r="I121" s="19">
        <v>7.7438</v>
      </c>
      <c r="J121" s="25">
        <v>990.0727</v>
      </c>
      <c r="K121" s="25">
        <v>2.204</v>
      </c>
      <c r="L121" s="25">
        <v>0.025</v>
      </c>
      <c r="M121" s="25">
        <v>138.329</v>
      </c>
      <c r="N121" s="25">
        <v>36.13</v>
      </c>
      <c r="O121" s="25">
        <v>114.043</v>
      </c>
      <c r="P121" s="25">
        <v>36.948</v>
      </c>
      <c r="Q121" s="25">
        <v>61.835</v>
      </c>
      <c r="R121" s="25">
        <v>35.545</v>
      </c>
      <c r="S121" s="25">
        <v>137.854</v>
      </c>
      <c r="T121" s="25">
        <v>36.904</v>
      </c>
      <c r="U121" s="25">
        <v>113.875</v>
      </c>
      <c r="V121" s="25">
        <v>37.472</v>
      </c>
      <c r="W121" s="25">
        <v>62.166</v>
      </c>
      <c r="X121" s="25">
        <v>36.123</v>
      </c>
      <c r="Y121" s="25">
        <v>138.265</v>
      </c>
      <c r="Z121" s="25">
        <v>36.446</v>
      </c>
      <c r="AA121" s="25">
        <v>114.191</v>
      </c>
      <c r="AB121" s="25">
        <v>37.26</v>
      </c>
      <c r="AC121" s="25">
        <v>62.405</v>
      </c>
      <c r="AD121" s="25">
        <v>36.259</v>
      </c>
      <c r="AE121" s="21">
        <f t="shared" ref="AE121:AF121" si="358">(M121+S121+Y121)/3</f>
        <v>138.1493333</v>
      </c>
      <c r="AF121" s="21">
        <f t="shared" si="358"/>
        <v>36.49333333</v>
      </c>
      <c r="AG121" s="21">
        <f t="shared" ref="AG121:AH121" si="359">(AA121+U121+O121)/3</f>
        <v>114.0363333</v>
      </c>
      <c r="AH121" s="21">
        <f t="shared" si="359"/>
        <v>37.22666667</v>
      </c>
      <c r="AI121" s="21">
        <f t="shared" ref="AI121:AJ121" si="360">(Q121+W121+AC121)/3</f>
        <v>62.13533333</v>
      </c>
      <c r="AJ121" s="21">
        <f t="shared" si="360"/>
        <v>35.97566667</v>
      </c>
    </row>
    <row r="122">
      <c r="A122" s="13" t="s">
        <v>19</v>
      </c>
      <c r="B122" s="13" t="s">
        <v>20</v>
      </c>
      <c r="C122" s="14">
        <v>45482.0</v>
      </c>
      <c r="D122" s="15" t="s">
        <v>24</v>
      </c>
      <c r="E122" s="16">
        <v>4.1</v>
      </c>
      <c r="F122" s="15" t="s">
        <v>27</v>
      </c>
      <c r="G122" s="17">
        <v>1.0</v>
      </c>
      <c r="H122" s="18" t="s">
        <v>26</v>
      </c>
      <c r="I122" s="19">
        <v>11.2026</v>
      </c>
      <c r="J122" s="25">
        <v>807.2732</v>
      </c>
      <c r="K122" s="25">
        <v>7.225</v>
      </c>
      <c r="L122" s="25">
        <v>0.077</v>
      </c>
      <c r="M122" s="25">
        <v>155.31</v>
      </c>
      <c r="N122" s="25">
        <v>30.894</v>
      </c>
      <c r="O122" s="25">
        <v>123.733</v>
      </c>
      <c r="P122" s="25">
        <v>26.196</v>
      </c>
      <c r="Q122" s="25">
        <v>72.228</v>
      </c>
      <c r="R122" s="25">
        <v>31.806</v>
      </c>
      <c r="S122" s="25">
        <v>155.183</v>
      </c>
      <c r="T122" s="25">
        <v>30.673</v>
      </c>
      <c r="U122" s="25">
        <v>123.509</v>
      </c>
      <c r="V122" s="25">
        <v>26.048</v>
      </c>
      <c r="W122" s="25">
        <v>71.793</v>
      </c>
      <c r="X122" s="25">
        <v>31.184</v>
      </c>
      <c r="Y122" s="25">
        <v>155.006</v>
      </c>
      <c r="Z122" s="25">
        <v>30.943</v>
      </c>
      <c r="AA122" s="25">
        <v>123.141</v>
      </c>
      <c r="AB122" s="25">
        <v>25.513</v>
      </c>
      <c r="AC122" s="25">
        <v>71.256</v>
      </c>
      <c r="AD122" s="25">
        <v>30.446</v>
      </c>
      <c r="AE122" s="21">
        <f t="shared" ref="AE122:AF122" si="361">(M122+S122+Y122)/3</f>
        <v>155.1663333</v>
      </c>
      <c r="AF122" s="21">
        <f t="shared" si="361"/>
        <v>30.83666667</v>
      </c>
      <c r="AG122" s="21">
        <f t="shared" ref="AG122:AH122" si="362">(AA122+U122+O122)/3</f>
        <v>123.461</v>
      </c>
      <c r="AH122" s="21">
        <f t="shared" si="362"/>
        <v>25.919</v>
      </c>
      <c r="AI122" s="21">
        <f t="shared" ref="AI122:AJ122" si="363">(Q122+W122+AC122)/3</f>
        <v>71.759</v>
      </c>
      <c r="AJ122" s="21">
        <f t="shared" si="363"/>
        <v>31.14533333</v>
      </c>
    </row>
    <row r="123">
      <c r="A123" s="13" t="s">
        <v>19</v>
      </c>
      <c r="B123" s="13" t="s">
        <v>20</v>
      </c>
      <c r="C123" s="14">
        <v>45482.0</v>
      </c>
      <c r="D123" s="15" t="s">
        <v>24</v>
      </c>
      <c r="E123" s="16">
        <v>4.2</v>
      </c>
      <c r="F123" s="15" t="s">
        <v>27</v>
      </c>
      <c r="G123" s="17">
        <v>1.0</v>
      </c>
      <c r="H123" s="18" t="s">
        <v>26</v>
      </c>
      <c r="I123" s="19">
        <v>11.998</v>
      </c>
      <c r="J123" s="25">
        <v>723.056</v>
      </c>
      <c r="K123" s="25">
        <v>6.644</v>
      </c>
      <c r="L123" s="25">
        <v>0.019</v>
      </c>
      <c r="M123" s="25">
        <v>171.255</v>
      </c>
      <c r="N123" s="25">
        <v>29.917</v>
      </c>
      <c r="O123" s="25">
        <v>143.867</v>
      </c>
      <c r="P123" s="25">
        <v>22.303</v>
      </c>
      <c r="Q123" s="25">
        <v>94.991</v>
      </c>
      <c r="R123" s="25">
        <v>29.331</v>
      </c>
      <c r="S123" s="25">
        <v>171.238</v>
      </c>
      <c r="T123" s="25">
        <v>29.256</v>
      </c>
      <c r="U123" s="25">
        <v>143.864</v>
      </c>
      <c r="V123" s="25">
        <v>22.037</v>
      </c>
      <c r="W123" s="25">
        <v>94.809</v>
      </c>
      <c r="X123" s="25">
        <v>28.616</v>
      </c>
      <c r="Y123" s="25">
        <v>171.233</v>
      </c>
      <c r="Z123" s="25">
        <v>29.741</v>
      </c>
      <c r="AA123" s="25">
        <v>144.052</v>
      </c>
      <c r="AB123" s="25">
        <v>22.581</v>
      </c>
      <c r="AC123" s="25">
        <v>95.224</v>
      </c>
      <c r="AD123" s="25">
        <v>29.472</v>
      </c>
      <c r="AE123" s="21">
        <f t="shared" ref="AE123:AF123" si="364">(M123+S123+Y123)/3</f>
        <v>171.242</v>
      </c>
      <c r="AF123" s="21">
        <f t="shared" si="364"/>
        <v>29.638</v>
      </c>
      <c r="AG123" s="21">
        <f t="shared" ref="AG123:AH123" si="365">(AA123+U123+O123)/3</f>
        <v>143.9276667</v>
      </c>
      <c r="AH123" s="21">
        <f t="shared" si="365"/>
        <v>22.307</v>
      </c>
      <c r="AI123" s="21">
        <f t="shared" ref="AI123:AJ123" si="366">(Q123+W123+AC123)/3</f>
        <v>95.008</v>
      </c>
      <c r="AJ123" s="21">
        <f t="shared" si="366"/>
        <v>29.13966667</v>
      </c>
    </row>
    <row r="124">
      <c r="A124" s="13" t="s">
        <v>19</v>
      </c>
      <c r="B124" s="13" t="s">
        <v>20</v>
      </c>
      <c r="C124" s="14">
        <v>45482.0</v>
      </c>
      <c r="D124" s="15" t="s">
        <v>24</v>
      </c>
      <c r="E124" s="16">
        <v>4.3</v>
      </c>
      <c r="F124" s="15" t="s">
        <v>27</v>
      </c>
      <c r="G124" s="17">
        <v>1.0</v>
      </c>
      <c r="H124" s="18" t="s">
        <v>26</v>
      </c>
      <c r="I124" s="19">
        <v>12.3529</v>
      </c>
      <c r="J124" s="25">
        <v>814.0842</v>
      </c>
      <c r="K124" s="25">
        <v>6.571</v>
      </c>
      <c r="L124" s="25">
        <v>0.029</v>
      </c>
      <c r="M124" s="25">
        <v>155.308</v>
      </c>
      <c r="N124" s="25">
        <v>32.458</v>
      </c>
      <c r="O124" s="25">
        <v>118.59</v>
      </c>
      <c r="P124" s="25">
        <v>22.522</v>
      </c>
      <c r="Q124" s="25">
        <v>66.586</v>
      </c>
      <c r="R124" s="25">
        <v>25.986</v>
      </c>
      <c r="S124" s="25">
        <v>155.111</v>
      </c>
      <c r="T124" s="25">
        <v>32.907</v>
      </c>
      <c r="U124" s="25">
        <v>118.326</v>
      </c>
      <c r="V124" s="25">
        <v>22.148</v>
      </c>
      <c r="W124" s="25">
        <v>66.225</v>
      </c>
      <c r="X124" s="25">
        <v>25.298</v>
      </c>
      <c r="Y124" s="25">
        <v>155.068</v>
      </c>
      <c r="Z124" s="25">
        <v>32.845</v>
      </c>
      <c r="AA124" s="25">
        <v>118.174</v>
      </c>
      <c r="AB124" s="25">
        <v>21.761</v>
      </c>
      <c r="AC124" s="25">
        <v>65.964</v>
      </c>
      <c r="AD124" s="25">
        <v>24.777</v>
      </c>
      <c r="AE124" s="21">
        <f t="shared" ref="AE124:AF124" si="367">(M124+S124+Y124)/3</f>
        <v>155.1623333</v>
      </c>
      <c r="AF124" s="21">
        <f t="shared" si="367"/>
        <v>32.73666667</v>
      </c>
      <c r="AG124" s="21">
        <f t="shared" ref="AG124:AH124" si="368">(AA124+U124+O124)/3</f>
        <v>118.3633333</v>
      </c>
      <c r="AH124" s="21">
        <f t="shared" si="368"/>
        <v>22.14366667</v>
      </c>
      <c r="AI124" s="21">
        <f t="shared" ref="AI124:AJ124" si="369">(Q124+W124+AC124)/3</f>
        <v>66.25833333</v>
      </c>
      <c r="AJ124" s="21">
        <f t="shared" si="369"/>
        <v>25.35366667</v>
      </c>
    </row>
    <row r="125">
      <c r="A125" s="13" t="s">
        <v>19</v>
      </c>
      <c r="B125" s="13" t="s">
        <v>20</v>
      </c>
      <c r="C125" s="14">
        <v>45482.0</v>
      </c>
      <c r="D125" s="15" t="s">
        <v>24</v>
      </c>
      <c r="E125" s="16">
        <v>4.4</v>
      </c>
      <c r="F125" s="15" t="s">
        <v>27</v>
      </c>
      <c r="G125" s="17">
        <v>1.0</v>
      </c>
      <c r="H125" s="18" t="s">
        <v>26</v>
      </c>
      <c r="I125" s="19">
        <v>12.0233</v>
      </c>
      <c r="J125" s="25">
        <v>694.0641</v>
      </c>
      <c r="K125" s="25">
        <v>6.383</v>
      </c>
      <c r="L125" s="25">
        <v>0.042</v>
      </c>
      <c r="M125" s="25">
        <v>143.124</v>
      </c>
      <c r="N125" s="25">
        <v>17.2</v>
      </c>
      <c r="O125" s="25">
        <v>115.928</v>
      </c>
      <c r="P125" s="25">
        <v>21.222</v>
      </c>
      <c r="Q125" s="25">
        <v>73.004</v>
      </c>
      <c r="R125" s="25">
        <v>25.56</v>
      </c>
      <c r="S125" s="25">
        <v>143.574</v>
      </c>
      <c r="T125" s="25">
        <v>18.123</v>
      </c>
      <c r="U125" s="25">
        <v>116.551</v>
      </c>
      <c r="V125" s="25">
        <v>22.503</v>
      </c>
      <c r="W125" s="25">
        <v>73.769</v>
      </c>
      <c r="X125" s="25">
        <v>27.308</v>
      </c>
      <c r="Y125" s="25">
        <v>143.18</v>
      </c>
      <c r="Z125" s="25">
        <v>17.678</v>
      </c>
      <c r="AA125" s="25">
        <v>116.012</v>
      </c>
      <c r="AB125" s="25">
        <v>21.67</v>
      </c>
      <c r="AC125" s="25">
        <v>73.191</v>
      </c>
      <c r="AD125" s="25">
        <v>26.224</v>
      </c>
      <c r="AE125" s="21">
        <f t="shared" ref="AE125:AF125" si="370">(M125+S125+Y125)/3</f>
        <v>143.2926667</v>
      </c>
      <c r="AF125" s="21">
        <f t="shared" si="370"/>
        <v>17.667</v>
      </c>
      <c r="AG125" s="21">
        <f t="shared" ref="AG125:AH125" si="371">(AA125+U125+O125)/3</f>
        <v>116.1636667</v>
      </c>
      <c r="AH125" s="21">
        <f t="shared" si="371"/>
        <v>21.79833333</v>
      </c>
      <c r="AI125" s="21">
        <f t="shared" ref="AI125:AJ125" si="372">(Q125+W125+AC125)/3</f>
        <v>73.32133333</v>
      </c>
      <c r="AJ125" s="21">
        <f t="shared" si="372"/>
        <v>26.364</v>
      </c>
    </row>
    <row r="126">
      <c r="A126" s="13" t="s">
        <v>19</v>
      </c>
      <c r="B126" s="13" t="s">
        <v>20</v>
      </c>
      <c r="C126" s="14">
        <v>45482.0</v>
      </c>
      <c r="D126" s="15" t="s">
        <v>24</v>
      </c>
      <c r="E126" s="16">
        <v>5.1</v>
      </c>
      <c r="F126" s="15" t="s">
        <v>27</v>
      </c>
      <c r="G126" s="17">
        <v>1.0</v>
      </c>
      <c r="H126" s="18" t="s">
        <v>26</v>
      </c>
      <c r="I126" s="19">
        <v>9.4545</v>
      </c>
      <c r="J126" s="25">
        <v>812.0739</v>
      </c>
      <c r="K126" s="25">
        <v>5.322</v>
      </c>
      <c r="L126" s="25">
        <v>0.013</v>
      </c>
      <c r="M126" s="25">
        <v>162.374</v>
      </c>
      <c r="N126" s="25">
        <v>24.903</v>
      </c>
      <c r="O126" s="25">
        <v>139.895</v>
      </c>
      <c r="P126" s="25">
        <v>21.66</v>
      </c>
      <c r="Q126" s="25">
        <v>95.051</v>
      </c>
      <c r="R126" s="25">
        <v>26.395</v>
      </c>
      <c r="S126" s="25">
        <v>162.599</v>
      </c>
      <c r="T126" s="25">
        <v>25.025</v>
      </c>
      <c r="U126" s="25">
        <v>140.056</v>
      </c>
      <c r="V126" s="25">
        <v>21.948</v>
      </c>
      <c r="W126" s="25">
        <v>95.12</v>
      </c>
      <c r="X126" s="25">
        <v>26.848</v>
      </c>
      <c r="Y126" s="25">
        <v>162.275</v>
      </c>
      <c r="Z126" s="25">
        <v>24.897</v>
      </c>
      <c r="AA126" s="25">
        <v>139.591</v>
      </c>
      <c r="AB126" s="25">
        <v>21.025</v>
      </c>
      <c r="AC126" s="25">
        <v>94.444</v>
      </c>
      <c r="AD126" s="25">
        <v>25.555</v>
      </c>
      <c r="AE126" s="21">
        <f t="shared" ref="AE126:AF126" si="373">(M126+S126+Y126)/3</f>
        <v>162.416</v>
      </c>
      <c r="AF126" s="21">
        <f t="shared" si="373"/>
        <v>24.94166667</v>
      </c>
      <c r="AG126" s="21">
        <f t="shared" ref="AG126:AH126" si="374">(AA126+U126+O126)/3</f>
        <v>139.8473333</v>
      </c>
      <c r="AH126" s="21">
        <f t="shared" si="374"/>
        <v>21.54433333</v>
      </c>
      <c r="AI126" s="21">
        <f t="shared" ref="AI126:AJ126" si="375">(Q126+W126+AC126)/3</f>
        <v>94.87166667</v>
      </c>
      <c r="AJ126" s="21">
        <f t="shared" si="375"/>
        <v>26.266</v>
      </c>
    </row>
    <row r="127">
      <c r="A127" s="13" t="s">
        <v>19</v>
      </c>
      <c r="B127" s="13" t="s">
        <v>20</v>
      </c>
      <c r="C127" s="14">
        <v>45482.0</v>
      </c>
      <c r="D127" s="15" t="s">
        <v>24</v>
      </c>
      <c r="E127" s="16">
        <v>5.2</v>
      </c>
      <c r="F127" s="15" t="s">
        <v>27</v>
      </c>
      <c r="G127" s="17">
        <v>1.0</v>
      </c>
      <c r="H127" s="18" t="s">
        <v>26</v>
      </c>
      <c r="I127" s="19">
        <v>8.6177</v>
      </c>
      <c r="J127" s="25">
        <v>897.1806</v>
      </c>
      <c r="K127" s="25">
        <v>3.66</v>
      </c>
      <c r="L127" s="25">
        <v>0.017</v>
      </c>
      <c r="M127" s="25">
        <v>142.926</v>
      </c>
      <c r="N127" s="25">
        <v>20.334</v>
      </c>
      <c r="O127" s="25">
        <v>123.102</v>
      </c>
      <c r="P127" s="25">
        <v>22.539</v>
      </c>
      <c r="Q127" s="25">
        <v>73.993</v>
      </c>
      <c r="R127" s="25">
        <v>25.212</v>
      </c>
      <c r="S127" s="25">
        <v>143.187</v>
      </c>
      <c r="T127" s="25">
        <v>19.667</v>
      </c>
      <c r="U127" s="25">
        <v>123.212</v>
      </c>
      <c r="V127" s="25">
        <v>22.201</v>
      </c>
      <c r="W127" s="25">
        <v>73.862</v>
      </c>
      <c r="X127" s="25">
        <v>25.187</v>
      </c>
      <c r="Y127" s="25">
        <v>143.187</v>
      </c>
      <c r="Z127" s="25">
        <v>19.678</v>
      </c>
      <c r="AA127" s="25">
        <v>123.202</v>
      </c>
      <c r="AB127" s="25">
        <v>22.156</v>
      </c>
      <c r="AC127" s="25">
        <v>73.85</v>
      </c>
      <c r="AD127" s="25">
        <v>25.095</v>
      </c>
      <c r="AE127" s="21">
        <f t="shared" ref="AE127:AF127" si="376">(M127+S127+Y127)/3</f>
        <v>143.1</v>
      </c>
      <c r="AF127" s="21">
        <f t="shared" si="376"/>
        <v>19.893</v>
      </c>
      <c r="AG127" s="21">
        <f t="shared" ref="AG127:AH127" si="377">(AA127+U127+O127)/3</f>
        <v>123.172</v>
      </c>
      <c r="AH127" s="21">
        <f t="shared" si="377"/>
        <v>22.29866667</v>
      </c>
      <c r="AI127" s="21">
        <f t="shared" ref="AI127:AJ127" si="378">(Q127+W127+AC127)/3</f>
        <v>73.90166667</v>
      </c>
      <c r="AJ127" s="21">
        <f t="shared" si="378"/>
        <v>25.16466667</v>
      </c>
    </row>
    <row r="128">
      <c r="A128" s="13" t="s">
        <v>19</v>
      </c>
      <c r="B128" s="13" t="s">
        <v>20</v>
      </c>
      <c r="C128" s="14">
        <v>45482.0</v>
      </c>
      <c r="D128" s="15" t="s">
        <v>24</v>
      </c>
      <c r="E128" s="16">
        <v>5.3</v>
      </c>
      <c r="F128" s="15" t="s">
        <v>27</v>
      </c>
      <c r="G128" s="17">
        <v>1.0</v>
      </c>
      <c r="H128" s="18" t="s">
        <v>26</v>
      </c>
      <c r="I128" s="19">
        <v>9.0098</v>
      </c>
      <c r="J128" s="25">
        <v>808.6544</v>
      </c>
      <c r="K128" s="25">
        <v>3.839</v>
      </c>
      <c r="L128" s="25">
        <v>0.022</v>
      </c>
      <c r="M128" s="25">
        <v>157.925</v>
      </c>
      <c r="N128" s="25">
        <v>19.846</v>
      </c>
      <c r="O128" s="25">
        <v>138.354</v>
      </c>
      <c r="P128" s="25">
        <v>22.071</v>
      </c>
      <c r="Q128" s="25">
        <v>96.42</v>
      </c>
      <c r="R128" s="25">
        <v>24.935</v>
      </c>
      <c r="S128" s="25">
        <v>157.978</v>
      </c>
      <c r="T128" s="25">
        <v>19.76</v>
      </c>
      <c r="U128" s="25">
        <v>138.443</v>
      </c>
      <c r="V128" s="25">
        <v>22.103</v>
      </c>
      <c r="W128" s="25">
        <v>96.543</v>
      </c>
      <c r="X128" s="25">
        <v>25.154</v>
      </c>
      <c r="Y128" s="25">
        <v>157.932</v>
      </c>
      <c r="Z128" s="25">
        <v>19.842</v>
      </c>
      <c r="AA128" s="25">
        <v>138.291</v>
      </c>
      <c r="AB128" s="25">
        <v>22.138</v>
      </c>
      <c r="AC128" s="25">
        <v>96.176</v>
      </c>
      <c r="AD128" s="25">
        <v>24.939</v>
      </c>
      <c r="AE128" s="21">
        <f t="shared" ref="AE128:AF128" si="379">(M128+S128+Y128)/3</f>
        <v>157.945</v>
      </c>
      <c r="AF128" s="21">
        <f t="shared" si="379"/>
        <v>19.816</v>
      </c>
      <c r="AG128" s="21">
        <f t="shared" ref="AG128:AH128" si="380">(AA128+U128+O128)/3</f>
        <v>138.3626667</v>
      </c>
      <c r="AH128" s="21">
        <f t="shared" si="380"/>
        <v>22.104</v>
      </c>
      <c r="AI128" s="21">
        <f t="shared" ref="AI128:AJ128" si="381">(Q128+W128+AC128)/3</f>
        <v>96.37966667</v>
      </c>
      <c r="AJ128" s="21">
        <f t="shared" si="381"/>
        <v>25.00933333</v>
      </c>
    </row>
    <row r="129">
      <c r="A129" s="13" t="s">
        <v>19</v>
      </c>
      <c r="B129" s="13" t="s">
        <v>20</v>
      </c>
      <c r="C129" s="14">
        <v>45482.0</v>
      </c>
      <c r="D129" s="15" t="s">
        <v>24</v>
      </c>
      <c r="E129" s="16">
        <v>5.4</v>
      </c>
      <c r="F129" s="15" t="s">
        <v>27</v>
      </c>
      <c r="G129" s="17">
        <v>1.0</v>
      </c>
      <c r="H129" s="18" t="s">
        <v>26</v>
      </c>
      <c r="I129" s="19">
        <v>9.2022</v>
      </c>
      <c r="J129" s="25">
        <v>830.2602</v>
      </c>
      <c r="K129" s="25">
        <v>4.017</v>
      </c>
      <c r="L129" s="25">
        <v>0.015</v>
      </c>
      <c r="M129" s="25">
        <v>128.196</v>
      </c>
      <c r="N129" s="25">
        <v>22.043</v>
      </c>
      <c r="O129" s="25">
        <v>110.034</v>
      </c>
      <c r="P129" s="25">
        <v>26.829</v>
      </c>
      <c r="Q129" s="25">
        <v>71.738</v>
      </c>
      <c r="R129" s="25">
        <v>32.978</v>
      </c>
      <c r="S129" s="25">
        <v>128.302</v>
      </c>
      <c r="T129" s="25">
        <v>22.351</v>
      </c>
      <c r="U129" s="25">
        <v>110.137</v>
      </c>
      <c r="V129" s="25">
        <v>27.206</v>
      </c>
      <c r="W129" s="25">
        <v>71.927</v>
      </c>
      <c r="X129" s="25">
        <v>33.649</v>
      </c>
      <c r="Y129" s="25">
        <v>127.771</v>
      </c>
      <c r="Z129" s="25">
        <v>21.728</v>
      </c>
      <c r="AA129" s="25">
        <v>109.438</v>
      </c>
      <c r="AB129" s="25">
        <v>26.312</v>
      </c>
      <c r="AC129" s="25">
        <v>70.827</v>
      </c>
      <c r="AD129" s="25">
        <v>31.912</v>
      </c>
      <c r="AE129" s="21">
        <f t="shared" ref="AE129:AF129" si="382">(M129+S129+Y129)/3</f>
        <v>128.0896667</v>
      </c>
      <c r="AF129" s="21">
        <f t="shared" si="382"/>
        <v>22.04066667</v>
      </c>
      <c r="AG129" s="21">
        <f t="shared" ref="AG129:AH129" si="383">(AA129+U129+O129)/3</f>
        <v>109.8696667</v>
      </c>
      <c r="AH129" s="21">
        <f t="shared" si="383"/>
        <v>26.78233333</v>
      </c>
      <c r="AI129" s="21">
        <f t="shared" ref="AI129:AJ129" si="384">(Q129+W129+AC129)/3</f>
        <v>71.49733333</v>
      </c>
      <c r="AJ129" s="21">
        <f t="shared" si="384"/>
        <v>32.84633333</v>
      </c>
    </row>
    <row r="130">
      <c r="A130" s="13" t="s">
        <v>19</v>
      </c>
      <c r="B130" s="13" t="s">
        <v>20</v>
      </c>
      <c r="C130" s="14">
        <v>45482.0</v>
      </c>
      <c r="D130" s="15" t="s">
        <v>24</v>
      </c>
      <c r="E130" s="16">
        <v>6.1</v>
      </c>
      <c r="F130" s="15" t="s">
        <v>27</v>
      </c>
      <c r="G130" s="17">
        <v>1.0</v>
      </c>
      <c r="H130" s="18" t="s">
        <v>26</v>
      </c>
      <c r="I130" s="19">
        <v>11.0545</v>
      </c>
      <c r="J130" s="25">
        <v>846.0479</v>
      </c>
      <c r="K130" s="25">
        <v>5.497</v>
      </c>
      <c r="L130" s="25">
        <v>0.014</v>
      </c>
      <c r="M130" s="25">
        <v>151.432</v>
      </c>
      <c r="N130" s="25">
        <v>19.372</v>
      </c>
      <c r="O130" s="25">
        <v>130.439</v>
      </c>
      <c r="P130" s="25">
        <v>20.544</v>
      </c>
      <c r="Q130" s="25">
        <v>90.474</v>
      </c>
      <c r="R130" s="25">
        <v>28.553</v>
      </c>
      <c r="S130" s="25">
        <v>151.409</v>
      </c>
      <c r="T130" s="25">
        <v>19.832</v>
      </c>
      <c r="U130" s="25">
        <v>130.466</v>
      </c>
      <c r="V130" s="25">
        <v>20.858</v>
      </c>
      <c r="W130" s="25">
        <v>90.539</v>
      </c>
      <c r="X130" s="25">
        <v>28.848</v>
      </c>
      <c r="Y130" s="25">
        <v>151.423</v>
      </c>
      <c r="Z130" s="25">
        <v>20.013</v>
      </c>
      <c r="AA130" s="25">
        <v>130.405</v>
      </c>
      <c r="AB130" s="25">
        <v>20.581</v>
      </c>
      <c r="AC130" s="25">
        <v>90.357</v>
      </c>
      <c r="AD130" s="25">
        <v>28.595</v>
      </c>
      <c r="AE130" s="21">
        <f t="shared" ref="AE130:AF130" si="385">(M130+S130+Y130)/3</f>
        <v>151.4213333</v>
      </c>
      <c r="AF130" s="21">
        <f t="shared" si="385"/>
        <v>19.739</v>
      </c>
      <c r="AG130" s="21">
        <f t="shared" ref="AG130:AH130" si="386">(AA130+U130+O130)/3</f>
        <v>130.4366667</v>
      </c>
      <c r="AH130" s="21">
        <f t="shared" si="386"/>
        <v>20.661</v>
      </c>
      <c r="AI130" s="21">
        <f t="shared" ref="AI130:AJ130" si="387">(Q130+W130+AC130)/3</f>
        <v>90.45666667</v>
      </c>
      <c r="AJ130" s="21">
        <f t="shared" si="387"/>
        <v>28.66533333</v>
      </c>
    </row>
    <row r="131">
      <c r="A131" s="13" t="s">
        <v>19</v>
      </c>
      <c r="B131" s="13" t="s">
        <v>20</v>
      </c>
      <c r="C131" s="14">
        <v>45482.0</v>
      </c>
      <c r="D131" s="15" t="s">
        <v>24</v>
      </c>
      <c r="E131" s="16">
        <v>6.2</v>
      </c>
      <c r="F131" s="15" t="s">
        <v>27</v>
      </c>
      <c r="G131" s="17">
        <v>1.0</v>
      </c>
      <c r="H131" s="18" t="s">
        <v>26</v>
      </c>
      <c r="I131" s="19">
        <v>10.5511</v>
      </c>
      <c r="J131" s="25">
        <v>841.0494</v>
      </c>
      <c r="K131" s="25">
        <v>5.65</v>
      </c>
      <c r="L131" s="25">
        <v>0.029</v>
      </c>
      <c r="M131" s="25">
        <v>159.475</v>
      </c>
      <c r="N131" s="25">
        <v>21.849</v>
      </c>
      <c r="O131" s="25">
        <v>133.76</v>
      </c>
      <c r="P131" s="25">
        <v>21.091</v>
      </c>
      <c r="Q131" s="25">
        <v>85.901</v>
      </c>
      <c r="R131" s="25">
        <v>29.048</v>
      </c>
      <c r="S131" s="25">
        <v>159.484</v>
      </c>
      <c r="T131" s="25">
        <v>21.13</v>
      </c>
      <c r="U131" s="25">
        <v>133.719</v>
      </c>
      <c r="V131" s="25">
        <v>20.961</v>
      </c>
      <c r="W131" s="25">
        <v>85.807</v>
      </c>
      <c r="X131" s="25">
        <v>28.914</v>
      </c>
      <c r="Y131" s="25">
        <v>159.496</v>
      </c>
      <c r="Z131" s="25">
        <v>20.978</v>
      </c>
      <c r="AA131" s="25">
        <v>133.76</v>
      </c>
      <c r="AB131" s="25">
        <v>21.049</v>
      </c>
      <c r="AC131" s="25">
        <v>85.863</v>
      </c>
      <c r="AD131" s="25">
        <v>29.037</v>
      </c>
      <c r="AE131" s="21">
        <f t="shared" ref="AE131:AF131" si="388">(M131+S131+Y131)/3</f>
        <v>159.485</v>
      </c>
      <c r="AF131" s="21">
        <f t="shared" si="388"/>
        <v>21.319</v>
      </c>
      <c r="AG131" s="21">
        <f t="shared" ref="AG131:AH131" si="389">(AA131+U131+O131)/3</f>
        <v>133.7463333</v>
      </c>
      <c r="AH131" s="21">
        <f t="shared" si="389"/>
        <v>21.03366667</v>
      </c>
      <c r="AI131" s="21">
        <f t="shared" ref="AI131:AJ131" si="390">(Q131+W131+AC131)/3</f>
        <v>85.857</v>
      </c>
      <c r="AJ131" s="21">
        <f t="shared" si="390"/>
        <v>28.99966667</v>
      </c>
    </row>
    <row r="132">
      <c r="A132" s="13" t="s">
        <v>19</v>
      </c>
      <c r="B132" s="13" t="s">
        <v>20</v>
      </c>
      <c r="C132" s="14">
        <v>45482.0</v>
      </c>
      <c r="D132" s="15" t="s">
        <v>24</v>
      </c>
      <c r="E132" s="16">
        <v>6.3</v>
      </c>
      <c r="F132" s="15" t="s">
        <v>27</v>
      </c>
      <c r="G132" s="17">
        <v>1.0</v>
      </c>
      <c r="H132" s="18" t="s">
        <v>26</v>
      </c>
      <c r="I132" s="19">
        <v>10.5282</v>
      </c>
      <c r="J132" s="25">
        <v>735.6766</v>
      </c>
      <c r="K132" s="25">
        <v>6.03</v>
      </c>
      <c r="L132" s="25">
        <v>0.014</v>
      </c>
      <c r="M132" s="25">
        <v>174.794</v>
      </c>
      <c r="N132" s="25">
        <v>24.327</v>
      </c>
      <c r="O132" s="25">
        <v>147.156</v>
      </c>
      <c r="P132" s="25">
        <v>18.68</v>
      </c>
      <c r="Q132" s="25">
        <v>95.118</v>
      </c>
      <c r="R132" s="25">
        <v>24.171</v>
      </c>
      <c r="S132" s="25">
        <v>174.883</v>
      </c>
      <c r="T132" s="25">
        <v>24.402</v>
      </c>
      <c r="U132" s="25">
        <v>147.305</v>
      </c>
      <c r="V132" s="25">
        <v>18.578</v>
      </c>
      <c r="W132" s="25">
        <v>95.364</v>
      </c>
      <c r="X132" s="25">
        <v>24.298</v>
      </c>
      <c r="Y132" s="25">
        <v>175.081</v>
      </c>
      <c r="Z132" s="25">
        <v>24.239</v>
      </c>
      <c r="AA132" s="25">
        <v>147.396</v>
      </c>
      <c r="AB132" s="25">
        <v>18.357</v>
      </c>
      <c r="AC132" s="25">
        <v>95.271</v>
      </c>
      <c r="AD132" s="25">
        <v>24.211</v>
      </c>
      <c r="AE132" s="21">
        <f t="shared" ref="AE132:AF132" si="391">(M132+S132+Y132)/3</f>
        <v>174.9193333</v>
      </c>
      <c r="AF132" s="21">
        <f t="shared" si="391"/>
        <v>24.32266667</v>
      </c>
      <c r="AG132" s="21">
        <f t="shared" ref="AG132:AH132" si="392">(AA132+U132+O132)/3</f>
        <v>147.2856667</v>
      </c>
      <c r="AH132" s="21">
        <f t="shared" si="392"/>
        <v>18.53833333</v>
      </c>
      <c r="AI132" s="21">
        <f t="shared" ref="AI132:AJ132" si="393">(Q132+W132+AC132)/3</f>
        <v>95.251</v>
      </c>
      <c r="AJ132" s="21">
        <f t="shared" si="393"/>
        <v>24.22666667</v>
      </c>
    </row>
    <row r="133">
      <c r="A133" s="13" t="s">
        <v>19</v>
      </c>
      <c r="B133" s="13" t="s">
        <v>20</v>
      </c>
      <c r="C133" s="14">
        <v>45482.0</v>
      </c>
      <c r="D133" s="15" t="s">
        <v>24</v>
      </c>
      <c r="E133" s="16">
        <v>6.4</v>
      </c>
      <c r="F133" s="15" t="s">
        <v>27</v>
      </c>
      <c r="G133" s="17">
        <v>1.0</v>
      </c>
      <c r="H133" s="18" t="s">
        <v>26</v>
      </c>
      <c r="I133" s="19">
        <v>10.0715</v>
      </c>
      <c r="J133" s="25">
        <v>822.0024</v>
      </c>
      <c r="K133" s="25">
        <v>5.155</v>
      </c>
      <c r="L133" s="25">
        <v>0.014</v>
      </c>
      <c r="M133" s="25">
        <v>150.019</v>
      </c>
      <c r="N133" s="25">
        <v>21.826</v>
      </c>
      <c r="O133" s="25">
        <v>128.845</v>
      </c>
      <c r="P133" s="25">
        <v>25.702</v>
      </c>
      <c r="Q133" s="25">
        <v>94.181</v>
      </c>
      <c r="R133" s="25">
        <v>36.195</v>
      </c>
      <c r="S133" s="25">
        <v>150.064</v>
      </c>
      <c r="T133" s="25">
        <v>21.978</v>
      </c>
      <c r="U133" s="25">
        <v>128.963</v>
      </c>
      <c r="V133" s="25">
        <v>25.871</v>
      </c>
      <c r="W133" s="25">
        <v>94.452</v>
      </c>
      <c r="X133" s="25">
        <v>36.461</v>
      </c>
      <c r="Y133" s="25">
        <v>150.134</v>
      </c>
      <c r="Z133" s="25">
        <v>22.174</v>
      </c>
      <c r="AA133" s="25">
        <v>128.918</v>
      </c>
      <c r="AB133" s="25">
        <v>26.089</v>
      </c>
      <c r="AC133" s="25">
        <v>94.25</v>
      </c>
      <c r="AD133" s="25">
        <v>36.632</v>
      </c>
      <c r="AE133" s="21">
        <f t="shared" ref="AE133:AF133" si="394">(M133+S133+Y133)/3</f>
        <v>150.0723333</v>
      </c>
      <c r="AF133" s="21">
        <f t="shared" si="394"/>
        <v>21.99266667</v>
      </c>
      <c r="AG133" s="21">
        <f t="shared" ref="AG133:AH133" si="395">(AA133+U133+O133)/3</f>
        <v>128.9086667</v>
      </c>
      <c r="AH133" s="21">
        <f t="shared" si="395"/>
        <v>25.88733333</v>
      </c>
      <c r="AI133" s="21">
        <f t="shared" ref="AI133:AJ133" si="396">(Q133+W133+AC133)/3</f>
        <v>94.29433333</v>
      </c>
      <c r="AJ133" s="21">
        <f t="shared" si="396"/>
        <v>36.42933333</v>
      </c>
    </row>
    <row r="134">
      <c r="A134" s="13" t="s">
        <v>19</v>
      </c>
      <c r="B134" s="13" t="s">
        <v>20</v>
      </c>
      <c r="C134" s="14">
        <v>45482.0</v>
      </c>
      <c r="D134" s="15" t="s">
        <v>25</v>
      </c>
      <c r="E134" s="16">
        <v>4.1</v>
      </c>
      <c r="F134" s="15" t="s">
        <v>27</v>
      </c>
      <c r="G134" s="17">
        <v>1.0</v>
      </c>
      <c r="H134" s="18" t="s">
        <v>26</v>
      </c>
      <c r="I134" s="19">
        <v>11.1894</v>
      </c>
      <c r="J134" s="25">
        <v>738.3901</v>
      </c>
      <c r="K134" s="25">
        <v>6.371</v>
      </c>
      <c r="L134" s="25">
        <v>0.031</v>
      </c>
      <c r="M134" s="25">
        <v>127.84</v>
      </c>
      <c r="N134" s="25">
        <v>33.26</v>
      </c>
      <c r="O134" s="25">
        <v>110.345</v>
      </c>
      <c r="P134" s="25">
        <v>35.699</v>
      </c>
      <c r="Q134" s="25">
        <v>62.075</v>
      </c>
      <c r="R134" s="25">
        <v>34.588</v>
      </c>
      <c r="S134" s="25">
        <v>127.481</v>
      </c>
      <c r="T134" s="25">
        <v>33.107</v>
      </c>
      <c r="U134" s="25">
        <v>109.864</v>
      </c>
      <c r="V134" s="25">
        <v>35.344</v>
      </c>
      <c r="W134" s="25">
        <v>61.585</v>
      </c>
      <c r="X134" s="25">
        <v>34.058</v>
      </c>
      <c r="Y134" s="25">
        <v>127.688</v>
      </c>
      <c r="Z134" s="25">
        <v>33.225</v>
      </c>
      <c r="AA134" s="25">
        <v>110.092</v>
      </c>
      <c r="AB134" s="25">
        <v>35.553</v>
      </c>
      <c r="AC134" s="25">
        <v>61.889</v>
      </c>
      <c r="AD134" s="25">
        <v>34.452</v>
      </c>
      <c r="AE134" s="21">
        <f t="shared" ref="AE134:AF134" si="397">(M134+S134+Y134)/3</f>
        <v>127.6696667</v>
      </c>
      <c r="AF134" s="21">
        <f t="shared" si="397"/>
        <v>33.19733333</v>
      </c>
      <c r="AG134" s="21">
        <f t="shared" ref="AG134:AH134" si="398">(AA134+U134+O134)/3</f>
        <v>110.1003333</v>
      </c>
      <c r="AH134" s="21">
        <f t="shared" si="398"/>
        <v>35.532</v>
      </c>
      <c r="AI134" s="21">
        <f t="shared" ref="AI134:AJ134" si="399">(Q134+W134+AC134)/3</f>
        <v>61.84966667</v>
      </c>
      <c r="AJ134" s="21">
        <f t="shared" si="399"/>
        <v>34.366</v>
      </c>
    </row>
    <row r="135">
      <c r="A135" s="13" t="s">
        <v>19</v>
      </c>
      <c r="B135" s="13" t="s">
        <v>20</v>
      </c>
      <c r="C135" s="14">
        <v>45482.0</v>
      </c>
      <c r="D135" s="15" t="s">
        <v>25</v>
      </c>
      <c r="E135" s="16">
        <v>4.2</v>
      </c>
      <c r="F135" s="15" t="s">
        <v>27</v>
      </c>
      <c r="G135" s="17">
        <v>1.0</v>
      </c>
      <c r="H135" s="18" t="s">
        <v>26</v>
      </c>
      <c r="I135" s="19">
        <v>9.7954</v>
      </c>
      <c r="J135" s="25">
        <v>834.0216</v>
      </c>
      <c r="K135" s="25">
        <v>4.709</v>
      </c>
      <c r="L135" s="25">
        <v>0.028</v>
      </c>
      <c r="M135" s="25">
        <v>135.368</v>
      </c>
      <c r="N135" s="25">
        <v>40.013</v>
      </c>
      <c r="O135" s="25">
        <v>118.642</v>
      </c>
      <c r="P135" s="25">
        <v>43.523</v>
      </c>
      <c r="Q135" s="25">
        <v>73.007</v>
      </c>
      <c r="R135" s="25">
        <v>43.201</v>
      </c>
      <c r="S135" s="25">
        <v>136.014</v>
      </c>
      <c r="T135" s="25">
        <v>40.387</v>
      </c>
      <c r="U135" s="25">
        <v>119.381</v>
      </c>
      <c r="V135" s="25">
        <v>44.095</v>
      </c>
      <c r="W135" s="25">
        <v>73.996</v>
      </c>
      <c r="X135" s="25">
        <v>44.35</v>
      </c>
      <c r="Y135" s="25">
        <v>135.576</v>
      </c>
      <c r="Z135" s="25">
        <v>39.958</v>
      </c>
      <c r="AA135" s="25">
        <v>118.722</v>
      </c>
      <c r="AB135" s="25">
        <v>43.563</v>
      </c>
      <c r="AC135" s="25">
        <v>72.906</v>
      </c>
      <c r="AD135" s="25">
        <v>43.251</v>
      </c>
      <c r="AE135" s="21">
        <f t="shared" ref="AE135:AF135" si="400">(M135+S135+Y135)/3</f>
        <v>135.6526667</v>
      </c>
      <c r="AF135" s="21">
        <f t="shared" si="400"/>
        <v>40.11933333</v>
      </c>
      <c r="AG135" s="21">
        <f t="shared" ref="AG135:AH135" si="401">(AA135+U135+O135)/3</f>
        <v>118.915</v>
      </c>
      <c r="AH135" s="21">
        <f t="shared" si="401"/>
        <v>43.727</v>
      </c>
      <c r="AI135" s="21">
        <f t="shared" ref="AI135:AJ135" si="402">(Q135+W135+AC135)/3</f>
        <v>73.303</v>
      </c>
      <c r="AJ135" s="21">
        <f t="shared" si="402"/>
        <v>43.60066667</v>
      </c>
    </row>
    <row r="136">
      <c r="A136" s="13" t="s">
        <v>19</v>
      </c>
      <c r="B136" s="13" t="s">
        <v>20</v>
      </c>
      <c r="C136" s="14">
        <v>45482.0</v>
      </c>
      <c r="D136" s="15" t="s">
        <v>25</v>
      </c>
      <c r="E136" s="16">
        <v>4.3</v>
      </c>
      <c r="F136" s="15" t="s">
        <v>27</v>
      </c>
      <c r="G136" s="17">
        <v>1.0</v>
      </c>
      <c r="H136" s="18" t="s">
        <v>26</v>
      </c>
      <c r="I136" s="19">
        <v>11.5657</v>
      </c>
      <c r="J136" s="25">
        <v>884.9339</v>
      </c>
      <c r="K136" s="25">
        <v>6.579</v>
      </c>
      <c r="L136" s="25">
        <v>0.012</v>
      </c>
      <c r="M136" s="25">
        <v>142.893</v>
      </c>
      <c r="N136" s="25">
        <v>41.081</v>
      </c>
      <c r="O136" s="25">
        <v>120.965</v>
      </c>
      <c r="P136" s="25">
        <v>46.549</v>
      </c>
      <c r="Q136" s="25">
        <v>76.854</v>
      </c>
      <c r="R136" s="25">
        <v>43.711</v>
      </c>
      <c r="S136" s="25">
        <v>142.636</v>
      </c>
      <c r="T136" s="25">
        <v>41.038</v>
      </c>
      <c r="U136" s="25">
        <v>120.607</v>
      </c>
      <c r="V136" s="25">
        <v>46.363</v>
      </c>
      <c r="W136" s="25">
        <v>76.422</v>
      </c>
      <c r="X136" s="25">
        <v>43.291</v>
      </c>
      <c r="Y136" s="25">
        <v>142.564</v>
      </c>
      <c r="Z136" s="25">
        <v>40.934</v>
      </c>
      <c r="AA136" s="25">
        <v>120.596</v>
      </c>
      <c r="AB136" s="25">
        <v>46.252</v>
      </c>
      <c r="AC136" s="25">
        <v>76.567</v>
      </c>
      <c r="AD136" s="25">
        <v>43.316</v>
      </c>
      <c r="AE136" s="21">
        <f t="shared" ref="AE136:AF136" si="403">(M136+S136+Y136)/3</f>
        <v>142.6976667</v>
      </c>
      <c r="AF136" s="21">
        <f t="shared" si="403"/>
        <v>41.01766667</v>
      </c>
      <c r="AG136" s="21">
        <f t="shared" ref="AG136:AH136" si="404">(AA136+U136+O136)/3</f>
        <v>120.7226667</v>
      </c>
      <c r="AH136" s="21">
        <f t="shared" si="404"/>
        <v>46.388</v>
      </c>
      <c r="AI136" s="21">
        <f t="shared" ref="AI136:AJ136" si="405">(Q136+W136+AC136)/3</f>
        <v>76.61433333</v>
      </c>
      <c r="AJ136" s="21">
        <f t="shared" si="405"/>
        <v>43.43933333</v>
      </c>
    </row>
    <row r="137">
      <c r="A137" s="13" t="s">
        <v>19</v>
      </c>
      <c r="B137" s="13" t="s">
        <v>20</v>
      </c>
      <c r="C137" s="14">
        <v>45482.0</v>
      </c>
      <c r="D137" s="15" t="s">
        <v>25</v>
      </c>
      <c r="E137" s="16">
        <v>4.4</v>
      </c>
      <c r="F137" s="15" t="s">
        <v>27</v>
      </c>
      <c r="G137" s="17">
        <v>1.0</v>
      </c>
      <c r="H137" s="18" t="s">
        <v>26</v>
      </c>
      <c r="I137" s="19">
        <v>10.4824</v>
      </c>
      <c r="J137" s="25">
        <v>666.1081</v>
      </c>
      <c r="K137" s="25">
        <v>5.445</v>
      </c>
      <c r="L137" s="25">
        <v>0.036</v>
      </c>
      <c r="M137" s="25">
        <v>152.493</v>
      </c>
      <c r="N137" s="25">
        <v>29.06</v>
      </c>
      <c r="O137" s="25">
        <v>136.346</v>
      </c>
      <c r="P137" s="25">
        <v>29.785</v>
      </c>
      <c r="Q137" s="25">
        <v>93.208</v>
      </c>
      <c r="R137" s="25">
        <v>29.16</v>
      </c>
      <c r="S137" s="25">
        <v>152.056</v>
      </c>
      <c r="T137" s="25">
        <v>29.418</v>
      </c>
      <c r="U137" s="25">
        <v>135.906</v>
      </c>
      <c r="V137" s="25">
        <v>29.921</v>
      </c>
      <c r="W137" s="25">
        <v>92.8889</v>
      </c>
      <c r="X137" s="25">
        <v>28.775</v>
      </c>
      <c r="Y137" s="25">
        <v>152.419</v>
      </c>
      <c r="Z137" s="25">
        <v>29.05</v>
      </c>
      <c r="AA137" s="25">
        <v>136.366</v>
      </c>
      <c r="AB137" s="25">
        <v>29.753</v>
      </c>
      <c r="AC137" s="25">
        <v>93.508</v>
      </c>
      <c r="AD137" s="25">
        <v>29.196</v>
      </c>
      <c r="AE137" s="21">
        <f t="shared" ref="AE137:AF137" si="406">(M137+S137+Y137)/3</f>
        <v>152.3226667</v>
      </c>
      <c r="AF137" s="21">
        <f t="shared" si="406"/>
        <v>29.176</v>
      </c>
      <c r="AG137" s="21">
        <f t="shared" ref="AG137:AH137" si="407">(AA137+U137+O137)/3</f>
        <v>136.206</v>
      </c>
      <c r="AH137" s="21">
        <f t="shared" si="407"/>
        <v>29.81966667</v>
      </c>
      <c r="AI137" s="21">
        <f t="shared" ref="AI137:AJ137" si="408">(Q137+W137+AC137)/3</f>
        <v>93.20163333</v>
      </c>
      <c r="AJ137" s="21">
        <f t="shared" si="408"/>
        <v>29.04366667</v>
      </c>
    </row>
    <row r="138">
      <c r="A138" s="13" t="s">
        <v>19</v>
      </c>
      <c r="B138" s="13" t="s">
        <v>20</v>
      </c>
      <c r="C138" s="14">
        <v>45482.0</v>
      </c>
      <c r="D138" s="15" t="s">
        <v>25</v>
      </c>
      <c r="E138" s="16">
        <v>5.1</v>
      </c>
      <c r="F138" s="15" t="s">
        <v>27</v>
      </c>
      <c r="G138" s="17">
        <v>1.0</v>
      </c>
      <c r="H138" s="18" t="s">
        <v>26</v>
      </c>
      <c r="I138" s="19">
        <v>9.0623</v>
      </c>
      <c r="J138" s="25">
        <v>912.7102</v>
      </c>
      <c r="K138" s="25">
        <v>4.003</v>
      </c>
      <c r="L138" s="25">
        <v>0.018</v>
      </c>
      <c r="M138" s="25">
        <v>138.267</v>
      </c>
      <c r="N138" s="25">
        <v>35.22</v>
      </c>
      <c r="O138" s="25">
        <v>114.637</v>
      </c>
      <c r="P138" s="25">
        <v>38.796</v>
      </c>
      <c r="Q138" s="25">
        <v>58.444</v>
      </c>
      <c r="R138" s="25">
        <v>36.128</v>
      </c>
      <c r="S138" s="25">
        <v>138.803</v>
      </c>
      <c r="T138" s="25">
        <v>35.475</v>
      </c>
      <c r="U138" s="25">
        <v>115.357</v>
      </c>
      <c r="V138" s="25">
        <v>39.303</v>
      </c>
      <c r="W138" s="25">
        <v>59.341</v>
      </c>
      <c r="X138" s="25">
        <v>37.176</v>
      </c>
      <c r="Y138" s="25">
        <v>138.362</v>
      </c>
      <c r="Z138" s="25">
        <v>35.328</v>
      </c>
      <c r="AA138" s="25">
        <v>114.758</v>
      </c>
      <c r="AB138" s="25">
        <v>38.96</v>
      </c>
      <c r="AC138" s="25">
        <v>58.596</v>
      </c>
      <c r="AD138" s="25">
        <v>36.424</v>
      </c>
      <c r="AE138" s="21">
        <f t="shared" ref="AE138:AF138" si="409">(M138+S138+Y138)/3</f>
        <v>138.4773333</v>
      </c>
      <c r="AF138" s="21">
        <f t="shared" si="409"/>
        <v>35.341</v>
      </c>
      <c r="AG138" s="21">
        <f t="shared" ref="AG138:AH138" si="410">(AA138+U138+O138)/3</f>
        <v>114.9173333</v>
      </c>
      <c r="AH138" s="21">
        <f t="shared" si="410"/>
        <v>39.01966667</v>
      </c>
      <c r="AI138" s="21">
        <f t="shared" ref="AI138:AJ138" si="411">(Q138+W138+AC138)/3</f>
        <v>58.79366667</v>
      </c>
      <c r="AJ138" s="21">
        <f t="shared" si="411"/>
        <v>36.576</v>
      </c>
    </row>
    <row r="139">
      <c r="A139" s="13" t="s">
        <v>19</v>
      </c>
      <c r="B139" s="13" t="s">
        <v>20</v>
      </c>
      <c r="C139" s="14">
        <v>45482.0</v>
      </c>
      <c r="D139" s="15" t="s">
        <v>25</v>
      </c>
      <c r="E139" s="16">
        <v>5.2</v>
      </c>
      <c r="F139" s="15" t="s">
        <v>27</v>
      </c>
      <c r="G139" s="17">
        <v>1.0</v>
      </c>
      <c r="H139" s="18" t="s">
        <v>26</v>
      </c>
      <c r="I139" s="19">
        <v>8.82107</v>
      </c>
      <c r="J139" s="25">
        <v>872.0</v>
      </c>
      <c r="K139" s="25">
        <v>3.561</v>
      </c>
      <c r="L139" s="25">
        <v>0.052</v>
      </c>
      <c r="M139" s="25">
        <v>136.157</v>
      </c>
      <c r="N139" s="25">
        <v>43.453</v>
      </c>
      <c r="O139" s="25">
        <v>117.55</v>
      </c>
      <c r="P139" s="25">
        <v>45.771</v>
      </c>
      <c r="Q139" s="25">
        <v>66.246</v>
      </c>
      <c r="R139" s="25">
        <v>41.234</v>
      </c>
      <c r="S139" s="25">
        <v>136.486</v>
      </c>
      <c r="T139" s="25">
        <v>43.263</v>
      </c>
      <c r="U139" s="25">
        <v>118.027</v>
      </c>
      <c r="V139" s="25">
        <v>45.65</v>
      </c>
      <c r="W139" s="25">
        <v>66.766</v>
      </c>
      <c r="X139" s="25">
        <v>41.173</v>
      </c>
      <c r="Y139" s="25">
        <v>136.531</v>
      </c>
      <c r="Z139" s="25">
        <v>43.361</v>
      </c>
      <c r="AA139" s="25">
        <v>118.144</v>
      </c>
      <c r="AB139" s="25">
        <v>45.788</v>
      </c>
      <c r="AC139" s="25">
        <v>67.027</v>
      </c>
      <c r="AD139" s="25">
        <v>41.525</v>
      </c>
      <c r="AE139" s="21">
        <f t="shared" ref="AE139:AF139" si="412">(M139+S139+Y139)/3</f>
        <v>136.3913333</v>
      </c>
      <c r="AF139" s="21">
        <f t="shared" si="412"/>
        <v>43.359</v>
      </c>
      <c r="AG139" s="21">
        <f t="shared" ref="AG139:AH139" si="413">(AA139+U139+O139)/3</f>
        <v>117.907</v>
      </c>
      <c r="AH139" s="21">
        <f t="shared" si="413"/>
        <v>45.73633333</v>
      </c>
      <c r="AI139" s="21">
        <f t="shared" ref="AI139:AJ139" si="414">(Q139+W139+AC139)/3</f>
        <v>66.67966667</v>
      </c>
      <c r="AJ139" s="21">
        <f t="shared" si="414"/>
        <v>41.31066667</v>
      </c>
    </row>
    <row r="140">
      <c r="A140" s="13" t="s">
        <v>19</v>
      </c>
      <c r="B140" s="13" t="s">
        <v>20</v>
      </c>
      <c r="C140" s="14">
        <v>45482.0</v>
      </c>
      <c r="D140" s="15" t="s">
        <v>25</v>
      </c>
      <c r="E140" s="16">
        <v>5.3</v>
      </c>
      <c r="F140" s="15" t="s">
        <v>27</v>
      </c>
      <c r="G140" s="17">
        <v>1.0</v>
      </c>
      <c r="H140" s="18" t="s">
        <v>26</v>
      </c>
      <c r="I140" s="19">
        <v>9.2964</v>
      </c>
      <c r="J140" s="25">
        <v>790.4588</v>
      </c>
      <c r="K140" s="25">
        <v>3.579</v>
      </c>
      <c r="L140" s="25">
        <v>0.013</v>
      </c>
      <c r="M140" s="25">
        <v>117.855</v>
      </c>
      <c r="N140" s="25">
        <v>33.461</v>
      </c>
      <c r="O140" s="25">
        <v>102.912</v>
      </c>
      <c r="P140" s="25">
        <v>37.418</v>
      </c>
      <c r="Q140" s="25">
        <v>70.356</v>
      </c>
      <c r="R140" s="25">
        <v>38.941</v>
      </c>
      <c r="S140" s="25">
        <v>118.099</v>
      </c>
      <c r="T140" s="25">
        <v>33.775</v>
      </c>
      <c r="U140" s="25">
        <v>103.249</v>
      </c>
      <c r="V140" s="25">
        <v>37.78</v>
      </c>
      <c r="W140" s="25">
        <v>70.824</v>
      </c>
      <c r="X140" s="25">
        <v>39.528</v>
      </c>
      <c r="Y140" s="25">
        <v>118.374</v>
      </c>
      <c r="Z140" s="25">
        <v>33.789</v>
      </c>
      <c r="AA140" s="25">
        <v>103.613</v>
      </c>
      <c r="AB140" s="25">
        <v>37.866</v>
      </c>
      <c r="AC140" s="25">
        <v>71.259</v>
      </c>
      <c r="AD140" s="25">
        <v>39.663</v>
      </c>
      <c r="AE140" s="21">
        <f t="shared" ref="AE140:AF140" si="415">(M140+S140+Y140)/3</f>
        <v>118.1093333</v>
      </c>
      <c r="AF140" s="21">
        <f t="shared" si="415"/>
        <v>33.675</v>
      </c>
      <c r="AG140" s="21">
        <f t="shared" ref="AG140:AH140" si="416">(AA140+U140+O140)/3</f>
        <v>103.258</v>
      </c>
      <c r="AH140" s="21">
        <f t="shared" si="416"/>
        <v>37.688</v>
      </c>
      <c r="AI140" s="21">
        <f t="shared" ref="AI140:AJ140" si="417">(Q140+W140+AC140)/3</f>
        <v>70.813</v>
      </c>
      <c r="AJ140" s="21">
        <f t="shared" si="417"/>
        <v>39.37733333</v>
      </c>
    </row>
    <row r="141">
      <c r="A141" s="13" t="s">
        <v>19</v>
      </c>
      <c r="B141" s="13" t="s">
        <v>20</v>
      </c>
      <c r="C141" s="14">
        <v>45482.0</v>
      </c>
      <c r="D141" s="15" t="s">
        <v>25</v>
      </c>
      <c r="E141" s="16">
        <v>5.4</v>
      </c>
      <c r="F141" s="15" t="s">
        <v>27</v>
      </c>
      <c r="G141" s="17">
        <v>1.0</v>
      </c>
      <c r="H141" s="18" t="s">
        <v>26</v>
      </c>
      <c r="I141" s="19">
        <v>9.8956</v>
      </c>
      <c r="J141" s="25">
        <v>897.5723</v>
      </c>
      <c r="K141" s="25">
        <v>3.693</v>
      </c>
      <c r="L141" s="25">
        <v>0.032</v>
      </c>
      <c r="M141" s="25">
        <v>122.387</v>
      </c>
      <c r="N141" s="25">
        <v>32.709</v>
      </c>
      <c r="O141" s="25">
        <v>103.985</v>
      </c>
      <c r="P141" s="25">
        <v>33.958</v>
      </c>
      <c r="Q141" s="25">
        <v>65.486</v>
      </c>
      <c r="R141" s="25">
        <v>29.293</v>
      </c>
      <c r="S141" s="25">
        <v>122.184</v>
      </c>
      <c r="T141" s="25">
        <v>32.503</v>
      </c>
      <c r="U141" s="25">
        <v>103.817</v>
      </c>
      <c r="V141" s="25">
        <v>33.684</v>
      </c>
      <c r="W141" s="25">
        <v>65.379</v>
      </c>
      <c r="X141" s="25">
        <v>28.848</v>
      </c>
      <c r="Y141" s="25">
        <v>122.515</v>
      </c>
      <c r="Z141" s="25">
        <v>32.93</v>
      </c>
      <c r="AA141" s="25">
        <v>104.168</v>
      </c>
      <c r="AB141" s="25">
        <v>34.228</v>
      </c>
      <c r="AC141" s="25">
        <v>65.767</v>
      </c>
      <c r="AD141" s="25">
        <v>29.823</v>
      </c>
      <c r="AE141" s="21">
        <f t="shared" ref="AE141:AF141" si="418">(M141+S141+Y141)/3</f>
        <v>122.362</v>
      </c>
      <c r="AF141" s="21">
        <f t="shared" si="418"/>
        <v>32.714</v>
      </c>
      <c r="AG141" s="21">
        <f t="shared" ref="AG141:AH141" si="419">(AA141+U141+O141)/3</f>
        <v>103.99</v>
      </c>
      <c r="AH141" s="21">
        <f t="shared" si="419"/>
        <v>33.95666667</v>
      </c>
      <c r="AI141" s="21">
        <f t="shared" ref="AI141:AJ141" si="420">(Q141+W141+AC141)/3</f>
        <v>65.544</v>
      </c>
      <c r="AJ141" s="21">
        <f t="shared" si="420"/>
        <v>29.32133333</v>
      </c>
    </row>
    <row r="142">
      <c r="A142" s="13" t="s">
        <v>19</v>
      </c>
      <c r="B142" s="13" t="s">
        <v>20</v>
      </c>
      <c r="C142" s="14">
        <v>45482.0</v>
      </c>
      <c r="D142" s="15" t="s">
        <v>25</v>
      </c>
      <c r="E142" s="16">
        <v>6.1</v>
      </c>
      <c r="F142" s="15" t="s">
        <v>27</v>
      </c>
      <c r="G142" s="17">
        <v>1.0</v>
      </c>
      <c r="H142" s="18" t="s">
        <v>26</v>
      </c>
      <c r="I142" s="19">
        <v>9.5666</v>
      </c>
      <c r="J142" s="25">
        <v>795.0056</v>
      </c>
      <c r="K142" s="25">
        <v>5.228</v>
      </c>
      <c r="L142" s="25">
        <v>0.012</v>
      </c>
      <c r="M142" s="25">
        <v>144.754</v>
      </c>
      <c r="N142" s="25">
        <v>39.231</v>
      </c>
      <c r="O142" s="25">
        <v>123.321</v>
      </c>
      <c r="P142" s="25">
        <v>42.884</v>
      </c>
      <c r="Q142" s="25">
        <v>74.748</v>
      </c>
      <c r="R142" s="25">
        <v>42.11</v>
      </c>
      <c r="S142" s="25">
        <v>144.32</v>
      </c>
      <c r="T142" s="25">
        <v>39.133</v>
      </c>
      <c r="U142" s="25">
        <v>122.818</v>
      </c>
      <c r="V142" s="25">
        <v>42.612</v>
      </c>
      <c r="W142" s="25">
        <v>74.216</v>
      </c>
      <c r="X142" s="25">
        <v>41.659</v>
      </c>
      <c r="Y142" s="25">
        <v>144.669</v>
      </c>
      <c r="Z142" s="25">
        <v>39.224</v>
      </c>
      <c r="AA142" s="25">
        <v>123.231</v>
      </c>
      <c r="AB142" s="25">
        <v>42.831</v>
      </c>
      <c r="AC142" s="25">
        <v>74.643</v>
      </c>
      <c r="AD142" s="25">
        <v>41.999</v>
      </c>
      <c r="AE142" s="21">
        <f t="shared" ref="AE142:AF142" si="421">(M142+S142+Y142)/3</f>
        <v>144.581</v>
      </c>
      <c r="AF142" s="21">
        <f t="shared" si="421"/>
        <v>39.196</v>
      </c>
      <c r="AG142" s="21">
        <f t="shared" ref="AG142:AH142" si="422">(AA142+U142+O142)/3</f>
        <v>123.1233333</v>
      </c>
      <c r="AH142" s="21">
        <f t="shared" si="422"/>
        <v>42.77566667</v>
      </c>
      <c r="AI142" s="21">
        <f t="shared" ref="AI142:AJ142" si="423">(Q142+W142+AC142)/3</f>
        <v>74.53566667</v>
      </c>
      <c r="AJ142" s="21">
        <f t="shared" si="423"/>
        <v>41.92266667</v>
      </c>
    </row>
    <row r="143">
      <c r="A143" s="13" t="s">
        <v>19</v>
      </c>
      <c r="B143" s="13" t="s">
        <v>20</v>
      </c>
      <c r="C143" s="14">
        <v>45482.0</v>
      </c>
      <c r="D143" s="15" t="s">
        <v>25</v>
      </c>
      <c r="E143" s="16">
        <v>6.2</v>
      </c>
      <c r="F143" s="15" t="s">
        <v>27</v>
      </c>
      <c r="G143" s="17">
        <v>1.0</v>
      </c>
      <c r="H143" s="18" t="s">
        <v>26</v>
      </c>
      <c r="I143" s="19">
        <v>13.4401</v>
      </c>
      <c r="J143" s="25">
        <v>742.1893</v>
      </c>
      <c r="K143" s="25">
        <v>6.83</v>
      </c>
      <c r="L143" s="25">
        <v>0.092</v>
      </c>
      <c r="M143" s="25">
        <v>139.008</v>
      </c>
      <c r="N143" s="25">
        <v>38.996</v>
      </c>
      <c r="O143" s="25">
        <v>120.319</v>
      </c>
      <c r="P143" s="25">
        <v>42.969</v>
      </c>
      <c r="Q143" s="25">
        <v>64.564</v>
      </c>
      <c r="R143" s="25">
        <v>42.401</v>
      </c>
      <c r="S143" s="25">
        <v>139.291</v>
      </c>
      <c r="T143" s="25">
        <v>39.24</v>
      </c>
      <c r="U143" s="25">
        <v>120.726</v>
      </c>
      <c r="V143" s="25">
        <v>43.298</v>
      </c>
      <c r="W143" s="25">
        <v>65.386</v>
      </c>
      <c r="X143" s="25">
        <v>43.405</v>
      </c>
      <c r="Y143" s="25">
        <v>139.126</v>
      </c>
      <c r="Z143" s="25">
        <v>39.027</v>
      </c>
      <c r="AA143" s="25">
        <v>120.487</v>
      </c>
      <c r="AB143" s="25">
        <v>42.949</v>
      </c>
      <c r="AC143" s="25">
        <v>64.962</v>
      </c>
      <c r="AD143" s="25">
        <v>42.927</v>
      </c>
      <c r="AE143" s="21">
        <f t="shared" ref="AE143:AF143" si="424">(M143+S143+Y143)/3</f>
        <v>139.1416667</v>
      </c>
      <c r="AF143" s="21">
        <f t="shared" si="424"/>
        <v>39.08766667</v>
      </c>
      <c r="AG143" s="21">
        <f t="shared" ref="AG143:AH143" si="425">(AA143+U143+O143)/3</f>
        <v>120.5106667</v>
      </c>
      <c r="AH143" s="21">
        <f t="shared" si="425"/>
        <v>43.072</v>
      </c>
      <c r="AI143" s="21">
        <f t="shared" ref="AI143:AJ143" si="426">(Q143+W143+AC143)/3</f>
        <v>64.97066667</v>
      </c>
      <c r="AJ143" s="21">
        <f t="shared" si="426"/>
        <v>42.911</v>
      </c>
    </row>
    <row r="144">
      <c r="A144" s="13" t="s">
        <v>19</v>
      </c>
      <c r="B144" s="13" t="s">
        <v>20</v>
      </c>
      <c r="C144" s="14">
        <v>45482.0</v>
      </c>
      <c r="D144" s="15" t="s">
        <v>25</v>
      </c>
      <c r="E144" s="16">
        <v>6.3</v>
      </c>
      <c r="F144" s="15" t="s">
        <v>27</v>
      </c>
      <c r="G144" s="17">
        <v>1.0</v>
      </c>
      <c r="H144" s="18" t="s">
        <v>26</v>
      </c>
      <c r="I144" s="16">
        <v>11.991</v>
      </c>
      <c r="J144" s="25">
        <v>747.6022</v>
      </c>
      <c r="K144" s="25">
        <v>5.976</v>
      </c>
      <c r="L144" s="25">
        <v>0.023</v>
      </c>
      <c r="M144" s="25">
        <v>145.171</v>
      </c>
      <c r="N144" s="25">
        <v>39.56</v>
      </c>
      <c r="O144" s="25">
        <v>122.664</v>
      </c>
      <c r="P144" s="25">
        <v>43.057</v>
      </c>
      <c r="Q144" s="25">
        <v>73.771</v>
      </c>
      <c r="R144" s="25">
        <v>43.248</v>
      </c>
      <c r="S144" s="25">
        <v>145.125</v>
      </c>
      <c r="T144" s="25">
        <v>39.594</v>
      </c>
      <c r="U144" s="25">
        <v>122.62</v>
      </c>
      <c r="V144" s="25">
        <v>43.082</v>
      </c>
      <c r="W144" s="25">
        <v>73.746</v>
      </c>
      <c r="X144" s="25">
        <v>43.264</v>
      </c>
      <c r="Y144" s="25">
        <v>145.19</v>
      </c>
      <c r="Z144" s="25">
        <v>39.733</v>
      </c>
      <c r="AA144" s="25">
        <v>122.727</v>
      </c>
      <c r="AB144" s="25">
        <v>43.231</v>
      </c>
      <c r="AC144" s="25">
        <v>73.968</v>
      </c>
      <c r="AD144" s="25">
        <v>43.603</v>
      </c>
      <c r="AE144" s="21">
        <f t="shared" ref="AE144:AF144" si="427">(M144+S144+Y144)/3</f>
        <v>145.162</v>
      </c>
      <c r="AF144" s="21">
        <f t="shared" si="427"/>
        <v>39.629</v>
      </c>
      <c r="AG144" s="21">
        <f t="shared" ref="AG144:AH144" si="428">(AA144+U144+O144)/3</f>
        <v>122.6703333</v>
      </c>
      <c r="AH144" s="21">
        <f t="shared" si="428"/>
        <v>43.12333333</v>
      </c>
      <c r="AI144" s="21">
        <f t="shared" ref="AI144:AJ144" si="429">(Q144+W144+AC144)/3</f>
        <v>73.82833333</v>
      </c>
      <c r="AJ144" s="21">
        <f t="shared" si="429"/>
        <v>43.37166667</v>
      </c>
    </row>
    <row r="145">
      <c r="A145" s="13" t="s">
        <v>19</v>
      </c>
      <c r="B145" s="13" t="s">
        <v>20</v>
      </c>
      <c r="C145" s="14">
        <v>45482.0</v>
      </c>
      <c r="D145" s="15" t="s">
        <v>25</v>
      </c>
      <c r="E145" s="16">
        <v>6.4</v>
      </c>
      <c r="F145" s="15" t="s">
        <v>27</v>
      </c>
      <c r="G145" s="17">
        <v>1.0</v>
      </c>
      <c r="H145" s="18" t="s">
        <v>26</v>
      </c>
      <c r="I145" s="19">
        <v>13.1361</v>
      </c>
      <c r="J145" s="25">
        <v>676.5665</v>
      </c>
      <c r="K145" s="25">
        <v>6.188</v>
      </c>
      <c r="L145" s="25">
        <v>0.028</v>
      </c>
      <c r="M145" s="25">
        <v>145.156</v>
      </c>
      <c r="N145" s="25">
        <v>29.569</v>
      </c>
      <c r="O145" s="25">
        <v>128.284</v>
      </c>
      <c r="P145" s="25">
        <v>31.373</v>
      </c>
      <c r="Q145" s="25">
        <v>86.013</v>
      </c>
      <c r="R145" s="25">
        <v>32.109</v>
      </c>
      <c r="S145" s="25">
        <v>145.299</v>
      </c>
      <c r="T145" s="25">
        <v>29.71</v>
      </c>
      <c r="U145" s="25">
        <v>128.414</v>
      </c>
      <c r="V145" s="25">
        <v>31.619</v>
      </c>
      <c r="W145" s="25">
        <v>86.141</v>
      </c>
      <c r="X145" s="25">
        <v>32.631</v>
      </c>
      <c r="Y145" s="25">
        <v>145.725</v>
      </c>
      <c r="Z145" s="25">
        <v>29.601</v>
      </c>
      <c r="AA145" s="25">
        <v>128.799</v>
      </c>
      <c r="AB145" s="25">
        <v>31.682</v>
      </c>
      <c r="AC145" s="25">
        <v>86.405</v>
      </c>
      <c r="AD145" s="25">
        <v>32.861</v>
      </c>
      <c r="AE145" s="21">
        <f t="shared" ref="AE145:AF145" si="430">(M145+S145+Y145)/3</f>
        <v>145.3933333</v>
      </c>
      <c r="AF145" s="21">
        <f t="shared" si="430"/>
        <v>29.62666667</v>
      </c>
      <c r="AG145" s="21">
        <f t="shared" ref="AG145:AH145" si="431">(AA145+U145+O145)/3</f>
        <v>128.499</v>
      </c>
      <c r="AH145" s="21">
        <f t="shared" si="431"/>
        <v>31.558</v>
      </c>
      <c r="AI145" s="21">
        <f t="shared" ref="AI145:AJ145" si="432">(Q145+W145+AC145)/3</f>
        <v>86.18633333</v>
      </c>
      <c r="AJ145" s="21">
        <f t="shared" si="432"/>
        <v>32.53366667</v>
      </c>
    </row>
    <row r="146">
      <c r="A146" s="13" t="s">
        <v>19</v>
      </c>
      <c r="B146" s="13" t="s">
        <v>20</v>
      </c>
      <c r="C146" s="14">
        <v>45482.0</v>
      </c>
      <c r="D146" s="15" t="s">
        <v>21</v>
      </c>
      <c r="E146" s="16">
        <v>7.1</v>
      </c>
      <c r="F146" s="15" t="s">
        <v>22</v>
      </c>
      <c r="G146" s="17">
        <v>2.0</v>
      </c>
      <c r="H146" s="18" t="s">
        <v>23</v>
      </c>
      <c r="I146" s="19">
        <v>9.8175</v>
      </c>
      <c r="J146" s="20">
        <v>616.2828</v>
      </c>
      <c r="K146" s="20">
        <v>3.897</v>
      </c>
      <c r="L146" s="20">
        <v>0.033</v>
      </c>
      <c r="M146" s="20">
        <v>95.44</v>
      </c>
      <c r="N146" s="20">
        <v>28.19</v>
      </c>
      <c r="O146" s="20">
        <v>77.965</v>
      </c>
      <c r="P146" s="20">
        <v>28.867</v>
      </c>
      <c r="Q146" s="20">
        <v>57.728</v>
      </c>
      <c r="R146" s="27">
        <v>25.47</v>
      </c>
      <c r="S146" s="27">
        <v>95.421</v>
      </c>
      <c r="T146" s="24">
        <v>28.55</v>
      </c>
      <c r="U146" s="24">
        <v>78.093</v>
      </c>
      <c r="V146" s="24">
        <v>29.249</v>
      </c>
      <c r="W146" s="24">
        <v>58.019</v>
      </c>
      <c r="X146" s="24">
        <v>25.929</v>
      </c>
      <c r="Y146" s="24">
        <v>95.507</v>
      </c>
      <c r="Z146" s="24">
        <v>28.604</v>
      </c>
      <c r="AA146" s="24">
        <v>78.289</v>
      </c>
      <c r="AB146" s="24">
        <v>29.367</v>
      </c>
      <c r="AC146" s="24">
        <v>59.408</v>
      </c>
      <c r="AD146" s="24">
        <v>26.282</v>
      </c>
      <c r="AE146" s="21">
        <f t="shared" ref="AE146:AF146" si="433">(M146+S146+Y146)/3</f>
        <v>95.456</v>
      </c>
      <c r="AF146" s="21">
        <f t="shared" si="433"/>
        <v>28.448</v>
      </c>
      <c r="AG146" s="21">
        <f t="shared" ref="AG146:AH146" si="434">(AA146+U146+O146)/3</f>
        <v>78.11566667</v>
      </c>
      <c r="AH146" s="21">
        <f t="shared" si="434"/>
        <v>29.161</v>
      </c>
      <c r="AI146" s="21">
        <f t="shared" ref="AI146:AJ146" si="435">(Q146+W146+AC146)/3</f>
        <v>58.385</v>
      </c>
      <c r="AJ146" s="21">
        <f t="shared" si="435"/>
        <v>25.89366667</v>
      </c>
    </row>
    <row r="147">
      <c r="A147" s="13" t="s">
        <v>19</v>
      </c>
      <c r="B147" s="13" t="s">
        <v>20</v>
      </c>
      <c r="C147" s="14">
        <v>45482.0</v>
      </c>
      <c r="D147" s="15" t="s">
        <v>21</v>
      </c>
      <c r="E147" s="16">
        <v>7.2</v>
      </c>
      <c r="F147" s="15" t="s">
        <v>22</v>
      </c>
      <c r="G147" s="17">
        <v>2.0</v>
      </c>
      <c r="H147" s="18" t="s">
        <v>23</v>
      </c>
      <c r="I147" s="19">
        <v>10.6301</v>
      </c>
      <c r="J147" s="20">
        <v>790.3063</v>
      </c>
      <c r="K147" s="20">
        <v>2.102</v>
      </c>
      <c r="L147" s="20">
        <v>0.021</v>
      </c>
      <c r="M147" s="20">
        <v>129.723</v>
      </c>
      <c r="N147" s="20">
        <v>31.19</v>
      </c>
      <c r="O147" s="20">
        <v>116.66</v>
      </c>
      <c r="P147" s="20">
        <v>35.621</v>
      </c>
      <c r="Q147" s="20">
        <v>93.113</v>
      </c>
      <c r="R147" s="27">
        <v>39.113</v>
      </c>
      <c r="S147" s="27">
        <v>128.887</v>
      </c>
      <c r="T147" s="24">
        <v>30.534</v>
      </c>
      <c r="U147" s="24">
        <v>115.612</v>
      </c>
      <c r="V147" s="24">
        <v>34.615</v>
      </c>
      <c r="W147" s="24">
        <v>91.885</v>
      </c>
      <c r="X147" s="24">
        <v>38.498</v>
      </c>
      <c r="Y147" s="24">
        <v>129.536</v>
      </c>
      <c r="Z147" s="24">
        <v>31.151</v>
      </c>
      <c r="AA147" s="24">
        <v>116.421</v>
      </c>
      <c r="AB147" s="24">
        <v>35.509</v>
      </c>
      <c r="AC147" s="24">
        <v>2.789</v>
      </c>
      <c r="AD147" s="24">
        <v>39.617</v>
      </c>
      <c r="AE147" s="21">
        <f t="shared" ref="AE147:AF147" si="436">(M147+S147+Y147)/3</f>
        <v>129.382</v>
      </c>
      <c r="AF147" s="21">
        <f t="shared" si="436"/>
        <v>30.95833333</v>
      </c>
      <c r="AG147" s="21">
        <f t="shared" ref="AG147:AH147" si="437">(AA147+U147+O147)/3</f>
        <v>116.231</v>
      </c>
      <c r="AH147" s="21">
        <f t="shared" si="437"/>
        <v>35.24833333</v>
      </c>
      <c r="AI147" s="21">
        <f t="shared" ref="AI147:AJ147" si="438">(Q147+W147+AC147)/3</f>
        <v>62.59566667</v>
      </c>
      <c r="AJ147" s="21">
        <f t="shared" si="438"/>
        <v>39.076</v>
      </c>
    </row>
    <row r="148">
      <c r="A148" s="13" t="s">
        <v>19</v>
      </c>
      <c r="B148" s="13" t="s">
        <v>20</v>
      </c>
      <c r="C148" s="14">
        <v>45482.0</v>
      </c>
      <c r="D148" s="15" t="s">
        <v>21</v>
      </c>
      <c r="E148" s="16">
        <v>7.3</v>
      </c>
      <c r="F148" s="15" t="s">
        <v>22</v>
      </c>
      <c r="G148" s="17">
        <v>2.0</v>
      </c>
      <c r="H148" s="18" t="s">
        <v>23</v>
      </c>
      <c r="I148" s="19">
        <v>12.3532</v>
      </c>
      <c r="J148" s="20">
        <v>666.2432</v>
      </c>
      <c r="K148" s="20">
        <v>5.279</v>
      </c>
      <c r="L148" s="20">
        <v>0.002</v>
      </c>
      <c r="M148" s="20">
        <v>154.372</v>
      </c>
      <c r="N148" s="20">
        <v>34.901</v>
      </c>
      <c r="O148" s="20">
        <v>140.048</v>
      </c>
      <c r="P148" s="20">
        <v>35.106</v>
      </c>
      <c r="Q148" s="20">
        <v>115.841</v>
      </c>
      <c r="R148" s="27">
        <v>34.841</v>
      </c>
      <c r="S148" s="27">
        <v>153.889</v>
      </c>
      <c r="T148" s="24">
        <v>34.944</v>
      </c>
      <c r="U148" s="24">
        <v>139.542</v>
      </c>
      <c r="V148" s="24">
        <v>35.03</v>
      </c>
      <c r="W148" s="24">
        <v>115.318</v>
      </c>
      <c r="X148" s="24">
        <v>34.393</v>
      </c>
      <c r="Y148" s="24">
        <v>154.266</v>
      </c>
      <c r="Z148" s="24">
        <v>34.828</v>
      </c>
      <c r="AA148" s="24">
        <v>139.895</v>
      </c>
      <c r="AB148" s="24">
        <v>34.967</v>
      </c>
      <c r="AC148" s="24">
        <v>115.541</v>
      </c>
      <c r="AD148" s="24">
        <v>34.297</v>
      </c>
      <c r="AE148" s="21">
        <f t="shared" ref="AE148:AF148" si="439">(M148+S148+Y148)/3</f>
        <v>154.1756667</v>
      </c>
      <c r="AF148" s="21">
        <f t="shared" si="439"/>
        <v>34.891</v>
      </c>
      <c r="AG148" s="21">
        <f t="shared" ref="AG148:AH148" si="440">(AA148+U148+O148)/3</f>
        <v>139.8283333</v>
      </c>
      <c r="AH148" s="21">
        <f t="shared" si="440"/>
        <v>35.03433333</v>
      </c>
      <c r="AI148" s="21">
        <f t="shared" ref="AI148:AJ148" si="441">(Q148+W148+AC148)/3</f>
        <v>115.5666667</v>
      </c>
      <c r="AJ148" s="21">
        <f t="shared" si="441"/>
        <v>34.51033333</v>
      </c>
    </row>
    <row r="149">
      <c r="A149" s="13" t="s">
        <v>19</v>
      </c>
      <c r="B149" s="13" t="s">
        <v>20</v>
      </c>
      <c r="C149" s="14">
        <v>45482.0</v>
      </c>
      <c r="D149" s="15" t="s">
        <v>21</v>
      </c>
      <c r="E149" s="16">
        <v>7.4</v>
      </c>
      <c r="F149" s="15" t="s">
        <v>22</v>
      </c>
      <c r="G149" s="17">
        <v>2.0</v>
      </c>
      <c r="H149" s="18" t="s">
        <v>23</v>
      </c>
      <c r="I149" s="19">
        <v>10.6068</v>
      </c>
      <c r="J149" s="20">
        <v>642.1121</v>
      </c>
      <c r="K149" s="20">
        <v>4.74</v>
      </c>
      <c r="L149" s="20">
        <v>0.02</v>
      </c>
      <c r="M149" s="20">
        <v>111.197</v>
      </c>
      <c r="N149" s="20">
        <v>35.35</v>
      </c>
      <c r="O149" s="20">
        <v>93.046</v>
      </c>
      <c r="P149" s="20">
        <v>34.709</v>
      </c>
      <c r="Q149" s="20">
        <v>64.716</v>
      </c>
      <c r="R149" s="20">
        <v>30.496</v>
      </c>
      <c r="S149" s="20">
        <v>111.345</v>
      </c>
      <c r="T149" s="24">
        <v>35.659</v>
      </c>
      <c r="U149" s="24">
        <v>94.177</v>
      </c>
      <c r="V149" s="24">
        <v>35.089</v>
      </c>
      <c r="W149" s="24">
        <v>65.047</v>
      </c>
      <c r="X149" s="24">
        <v>31.083</v>
      </c>
      <c r="Y149" s="24">
        <v>111.335</v>
      </c>
      <c r="Z149" s="24">
        <v>35.726</v>
      </c>
      <c r="AA149" s="24">
        <v>94.13</v>
      </c>
      <c r="AB149" s="24">
        <v>35.148</v>
      </c>
      <c r="AC149" s="24">
        <v>64.984</v>
      </c>
      <c r="AD149" s="24">
        <v>31.242</v>
      </c>
      <c r="AE149" s="21">
        <f t="shared" ref="AE149:AF149" si="442">(M149+S149+Y149)/3</f>
        <v>111.2923333</v>
      </c>
      <c r="AF149" s="21">
        <f t="shared" si="442"/>
        <v>35.57833333</v>
      </c>
      <c r="AG149" s="21">
        <f t="shared" ref="AG149:AH149" si="443">(AA149+U149+O149)/3</f>
        <v>93.78433333</v>
      </c>
      <c r="AH149" s="21">
        <f t="shared" si="443"/>
        <v>34.982</v>
      </c>
      <c r="AI149" s="21">
        <f t="shared" ref="AI149:AJ149" si="444">(Q149+W149+AC149)/3</f>
        <v>64.91566667</v>
      </c>
      <c r="AJ149" s="21">
        <f t="shared" si="444"/>
        <v>30.94033333</v>
      </c>
    </row>
    <row r="150">
      <c r="A150" s="13" t="s">
        <v>19</v>
      </c>
      <c r="B150" s="13" t="s">
        <v>20</v>
      </c>
      <c r="C150" s="14">
        <v>45482.0</v>
      </c>
      <c r="D150" s="15" t="s">
        <v>21</v>
      </c>
      <c r="E150" s="16">
        <v>8.1</v>
      </c>
      <c r="F150" s="15" t="s">
        <v>22</v>
      </c>
      <c r="G150" s="17">
        <v>2.0</v>
      </c>
      <c r="H150" s="18" t="s">
        <v>23</v>
      </c>
      <c r="I150" s="19">
        <v>11.2639</v>
      </c>
      <c r="J150" s="20">
        <v>640.5</v>
      </c>
      <c r="K150" s="20">
        <v>4.446</v>
      </c>
      <c r="L150" s="20">
        <v>0.014</v>
      </c>
      <c r="M150" s="20">
        <v>139.95</v>
      </c>
      <c r="N150" s="20">
        <v>29.598</v>
      </c>
      <c r="O150" s="20">
        <v>119.228</v>
      </c>
      <c r="P150" s="20">
        <v>30.962</v>
      </c>
      <c r="Q150" s="20">
        <v>88.426</v>
      </c>
      <c r="R150" s="27">
        <v>32.232</v>
      </c>
      <c r="S150" s="27">
        <v>139.709</v>
      </c>
      <c r="T150" s="24">
        <v>29.977</v>
      </c>
      <c r="U150" s="24">
        <v>118.956</v>
      </c>
      <c r="V150" s="24">
        <v>31.231</v>
      </c>
      <c r="W150" s="24">
        <v>88.181</v>
      </c>
      <c r="X150" s="24">
        <v>32.31</v>
      </c>
      <c r="Y150" s="24">
        <v>139.768</v>
      </c>
      <c r="Z150" s="24">
        <v>29.497</v>
      </c>
      <c r="AA150" s="24">
        <v>118.921</v>
      </c>
      <c r="AB150" s="24">
        <v>30.757</v>
      </c>
      <c r="AC150" s="24">
        <v>87.966</v>
      </c>
      <c r="AD150" s="24">
        <v>31.817</v>
      </c>
      <c r="AE150" s="21">
        <f t="shared" ref="AE150:AF150" si="445">(M150+S150+Y150)/3</f>
        <v>139.809</v>
      </c>
      <c r="AF150" s="21">
        <f t="shared" si="445"/>
        <v>29.69066667</v>
      </c>
      <c r="AG150" s="21">
        <f t="shared" ref="AG150:AH150" si="446">(AA150+U150+O150)/3</f>
        <v>119.035</v>
      </c>
      <c r="AH150" s="21">
        <f t="shared" si="446"/>
        <v>30.98333333</v>
      </c>
      <c r="AI150" s="21">
        <f t="shared" ref="AI150:AJ150" si="447">(Q150+W150+AC150)/3</f>
        <v>88.191</v>
      </c>
      <c r="AJ150" s="21">
        <f t="shared" si="447"/>
        <v>32.11966667</v>
      </c>
    </row>
    <row r="151">
      <c r="A151" s="13" t="s">
        <v>19</v>
      </c>
      <c r="B151" s="13" t="s">
        <v>20</v>
      </c>
      <c r="C151" s="14">
        <v>45482.0</v>
      </c>
      <c r="D151" s="15" t="s">
        <v>21</v>
      </c>
      <c r="E151" s="16">
        <v>8.2</v>
      </c>
      <c r="F151" s="15" t="s">
        <v>22</v>
      </c>
      <c r="G151" s="17">
        <v>2.0</v>
      </c>
      <c r="H151" s="18" t="s">
        <v>23</v>
      </c>
      <c r="I151" s="19">
        <v>10.9064</v>
      </c>
      <c r="J151" s="20">
        <v>633.0071</v>
      </c>
      <c r="K151" s="20">
        <v>4.083</v>
      </c>
      <c r="L151" s="20">
        <v>0.012</v>
      </c>
      <c r="M151" s="20">
        <v>130.032</v>
      </c>
      <c r="N151" s="20">
        <v>34.203</v>
      </c>
      <c r="O151" s="20">
        <v>107.237</v>
      </c>
      <c r="P151" s="20">
        <v>36.721</v>
      </c>
      <c r="Q151" s="20">
        <v>69.167</v>
      </c>
      <c r="R151" s="27">
        <v>34.293</v>
      </c>
      <c r="S151" s="27">
        <v>130.003</v>
      </c>
      <c r="T151" s="24">
        <v>34.32</v>
      </c>
      <c r="U151" s="24">
        <v>107.207</v>
      </c>
      <c r="V151" s="24">
        <v>36.838</v>
      </c>
      <c r="W151" s="24">
        <v>69.217</v>
      </c>
      <c r="X151" s="24">
        <v>34.497</v>
      </c>
      <c r="Y151" s="24">
        <v>129.626</v>
      </c>
      <c r="Z151" s="24">
        <v>33.955</v>
      </c>
      <c r="AA151" s="24">
        <v>106.686</v>
      </c>
      <c r="AB151" s="24">
        <v>36.326</v>
      </c>
      <c r="AC151" s="24">
        <v>68.512</v>
      </c>
      <c r="AD151" s="24">
        <v>33.597</v>
      </c>
      <c r="AE151" s="21">
        <f t="shared" ref="AE151:AF151" si="448">(M151+S151+Y151)/3</f>
        <v>129.887</v>
      </c>
      <c r="AF151" s="21">
        <f t="shared" si="448"/>
        <v>34.15933333</v>
      </c>
      <c r="AG151" s="21">
        <f t="shared" ref="AG151:AH151" si="449">(AA151+U151+O151)/3</f>
        <v>107.0433333</v>
      </c>
      <c r="AH151" s="21">
        <f t="shared" si="449"/>
        <v>36.62833333</v>
      </c>
      <c r="AI151" s="21">
        <f t="shared" ref="AI151:AJ151" si="450">(Q151+W151+AC151)/3</f>
        <v>68.96533333</v>
      </c>
      <c r="AJ151" s="21">
        <f t="shared" si="450"/>
        <v>34.129</v>
      </c>
    </row>
    <row r="152">
      <c r="A152" s="13" t="s">
        <v>19</v>
      </c>
      <c r="B152" s="13" t="s">
        <v>20</v>
      </c>
      <c r="C152" s="14">
        <v>45482.0</v>
      </c>
      <c r="D152" s="15" t="s">
        <v>21</v>
      </c>
      <c r="E152" s="16">
        <v>8.3</v>
      </c>
      <c r="F152" s="15" t="s">
        <v>22</v>
      </c>
      <c r="G152" s="17">
        <v>2.0</v>
      </c>
      <c r="H152" s="18" t="s">
        <v>23</v>
      </c>
      <c r="I152" s="19">
        <v>10.9303</v>
      </c>
      <c r="J152" s="20">
        <v>654.6877</v>
      </c>
      <c r="K152" s="20">
        <v>5.104</v>
      </c>
      <c r="L152" s="20">
        <v>0.027</v>
      </c>
      <c r="M152" s="20">
        <v>134.653</v>
      </c>
      <c r="N152" s="20">
        <v>32.414</v>
      </c>
      <c r="O152" s="20">
        <v>115.963</v>
      </c>
      <c r="P152" s="20">
        <v>33.195</v>
      </c>
      <c r="Q152" s="20">
        <v>89.178</v>
      </c>
      <c r="R152" s="27">
        <v>34.087</v>
      </c>
      <c r="S152" s="27">
        <v>134.844</v>
      </c>
      <c r="T152" s="24">
        <v>32.01</v>
      </c>
      <c r="U152" s="24">
        <v>116.108</v>
      </c>
      <c r="V152" s="24">
        <v>32.909</v>
      </c>
      <c r="W152" s="24">
        <v>89.328</v>
      </c>
      <c r="X152" s="24">
        <v>33.902</v>
      </c>
      <c r="Y152" s="24">
        <v>134.792</v>
      </c>
      <c r="Z152" s="24">
        <v>31.88</v>
      </c>
      <c r="AA152" s="24">
        <v>115.986</v>
      </c>
      <c r="AB152" s="24">
        <v>32.727</v>
      </c>
      <c r="AC152" s="24">
        <v>89.097</v>
      </c>
      <c r="AD152" s="24">
        <v>33.585</v>
      </c>
      <c r="AE152" s="21">
        <f t="shared" ref="AE152:AF152" si="451">(M152+S152+Y152)/3</f>
        <v>134.763</v>
      </c>
      <c r="AF152" s="21">
        <f t="shared" si="451"/>
        <v>32.10133333</v>
      </c>
      <c r="AG152" s="21">
        <f t="shared" ref="AG152:AH152" si="452">(AA152+U152+O152)/3</f>
        <v>116.019</v>
      </c>
      <c r="AH152" s="21">
        <f t="shared" si="452"/>
        <v>32.94366667</v>
      </c>
      <c r="AI152" s="21">
        <f t="shared" ref="AI152:AJ152" si="453">(Q152+W152+AC152)/3</f>
        <v>89.201</v>
      </c>
      <c r="AJ152" s="21">
        <f t="shared" si="453"/>
        <v>33.858</v>
      </c>
    </row>
    <row r="153">
      <c r="A153" s="13" t="s">
        <v>19</v>
      </c>
      <c r="B153" s="13" t="s">
        <v>20</v>
      </c>
      <c r="C153" s="14">
        <v>45482.0</v>
      </c>
      <c r="D153" s="15" t="s">
        <v>21</v>
      </c>
      <c r="E153" s="16">
        <v>8.4</v>
      </c>
      <c r="F153" s="15" t="s">
        <v>22</v>
      </c>
      <c r="G153" s="17">
        <v>2.0</v>
      </c>
      <c r="H153" s="18" t="s">
        <v>23</v>
      </c>
      <c r="I153" s="19">
        <v>9.6701</v>
      </c>
      <c r="J153" s="20">
        <v>633.0871</v>
      </c>
      <c r="K153" s="20">
        <v>4.131</v>
      </c>
      <c r="L153" s="20">
        <v>0.017</v>
      </c>
      <c r="M153" s="20">
        <v>129.435</v>
      </c>
      <c r="N153" s="20">
        <v>33.339</v>
      </c>
      <c r="O153" s="20">
        <v>105.555</v>
      </c>
      <c r="P153" s="20">
        <v>34.751</v>
      </c>
      <c r="Q153" s="20">
        <v>66.422</v>
      </c>
      <c r="R153" s="20">
        <v>34.515</v>
      </c>
      <c r="S153" s="20">
        <v>129.453</v>
      </c>
      <c r="T153" s="24">
        <v>33.744</v>
      </c>
      <c r="U153" s="24">
        <v>105.747</v>
      </c>
      <c r="V153" s="24">
        <v>35.183</v>
      </c>
      <c r="W153" s="24">
        <v>66.964</v>
      </c>
      <c r="X153" s="24">
        <v>35.309</v>
      </c>
      <c r="Y153" s="24">
        <v>129.225</v>
      </c>
      <c r="Z153" s="24">
        <v>33.427</v>
      </c>
      <c r="AA153" s="24">
        <v>105.368</v>
      </c>
      <c r="AB153" s="24">
        <v>34.721</v>
      </c>
      <c r="AC153" s="24">
        <v>66.32</v>
      </c>
      <c r="AD153" s="24">
        <v>34.45</v>
      </c>
      <c r="AE153" s="21">
        <f t="shared" ref="AE153:AF153" si="454">(M153+S153+Y153)/3</f>
        <v>129.371</v>
      </c>
      <c r="AF153" s="21">
        <f t="shared" si="454"/>
        <v>33.50333333</v>
      </c>
      <c r="AG153" s="21">
        <f t="shared" ref="AG153:AH153" si="455">(AA153+U153+O153)/3</f>
        <v>105.5566667</v>
      </c>
      <c r="AH153" s="21">
        <f t="shared" si="455"/>
        <v>34.885</v>
      </c>
      <c r="AI153" s="21">
        <f t="shared" ref="AI153:AJ153" si="456">(Q153+W153+AC153)/3</f>
        <v>66.56866667</v>
      </c>
      <c r="AJ153" s="21">
        <f t="shared" si="456"/>
        <v>34.758</v>
      </c>
    </row>
    <row r="154">
      <c r="A154" s="13" t="s">
        <v>19</v>
      </c>
      <c r="B154" s="13" t="s">
        <v>20</v>
      </c>
      <c r="C154" s="14">
        <v>45482.0</v>
      </c>
      <c r="D154" s="15" t="s">
        <v>21</v>
      </c>
      <c r="E154" s="16">
        <v>9.1</v>
      </c>
      <c r="F154" s="15" t="s">
        <v>22</v>
      </c>
      <c r="G154" s="17">
        <v>2.0</v>
      </c>
      <c r="H154" s="18" t="s">
        <v>23</v>
      </c>
      <c r="I154" s="19">
        <v>10.5488</v>
      </c>
      <c r="J154" s="20">
        <v>730.1753</v>
      </c>
      <c r="K154" s="20">
        <v>3.96</v>
      </c>
      <c r="L154" s="20">
        <v>0.013</v>
      </c>
      <c r="M154" s="20">
        <v>138.967</v>
      </c>
      <c r="N154" s="20">
        <v>21.198</v>
      </c>
      <c r="O154" s="20">
        <v>117.502</v>
      </c>
      <c r="P154" s="20">
        <v>24.103</v>
      </c>
      <c r="Q154" s="20">
        <v>82.96</v>
      </c>
      <c r="R154" s="27">
        <v>29.921</v>
      </c>
      <c r="S154" s="27">
        <v>138.81</v>
      </c>
      <c r="T154" s="24">
        <v>21.485</v>
      </c>
      <c r="U154" s="24">
        <v>117.388</v>
      </c>
      <c r="V154" s="24">
        <v>24.268</v>
      </c>
      <c r="W154" s="24">
        <v>82.991</v>
      </c>
      <c r="X154" s="24">
        <v>29.97</v>
      </c>
      <c r="Y154" s="24">
        <v>139.04</v>
      </c>
      <c r="Z154" s="24">
        <v>21.065</v>
      </c>
      <c r="AA154" s="24">
        <v>117.545</v>
      </c>
      <c r="AB154" s="24">
        <v>24.098</v>
      </c>
      <c r="AC154" s="24">
        <v>82.892</v>
      </c>
      <c r="AD154" s="24">
        <v>29.931</v>
      </c>
      <c r="AE154" s="21">
        <f t="shared" ref="AE154:AF154" si="457">(M154+S154+Y154)/3</f>
        <v>138.939</v>
      </c>
      <c r="AF154" s="21">
        <f t="shared" si="457"/>
        <v>21.24933333</v>
      </c>
      <c r="AG154" s="21">
        <f t="shared" ref="AG154:AH154" si="458">(AA154+U154+O154)/3</f>
        <v>117.4783333</v>
      </c>
      <c r="AH154" s="21">
        <f t="shared" si="458"/>
        <v>24.15633333</v>
      </c>
      <c r="AI154" s="21">
        <f t="shared" ref="AI154:AJ154" si="459">(Q154+W154+AC154)/3</f>
        <v>82.94766667</v>
      </c>
      <c r="AJ154" s="21">
        <f t="shared" si="459"/>
        <v>29.94066667</v>
      </c>
    </row>
    <row r="155">
      <c r="A155" s="13" t="s">
        <v>19</v>
      </c>
      <c r="B155" s="13" t="s">
        <v>20</v>
      </c>
      <c r="C155" s="14">
        <v>45482.0</v>
      </c>
      <c r="D155" s="15" t="s">
        <v>21</v>
      </c>
      <c r="E155" s="16">
        <v>9.2</v>
      </c>
      <c r="F155" s="15" t="s">
        <v>22</v>
      </c>
      <c r="G155" s="17">
        <v>2.0</v>
      </c>
      <c r="H155" s="18" t="s">
        <v>23</v>
      </c>
      <c r="I155" s="19">
        <v>9.2571</v>
      </c>
      <c r="J155" s="20">
        <v>721.6637</v>
      </c>
      <c r="K155" s="20">
        <v>3.118</v>
      </c>
      <c r="L155" s="20">
        <v>0.016</v>
      </c>
      <c r="M155" s="20">
        <v>185.033</v>
      </c>
      <c r="N155" s="20">
        <v>37.137</v>
      </c>
      <c r="O155" s="20">
        <v>170.742</v>
      </c>
      <c r="P155" s="20">
        <v>38.207</v>
      </c>
      <c r="Q155" s="20">
        <v>113.727</v>
      </c>
      <c r="R155" s="27">
        <v>42.381</v>
      </c>
      <c r="S155" s="27">
        <v>185.214</v>
      </c>
      <c r="T155" s="24">
        <v>36.698</v>
      </c>
      <c r="U155" s="24">
        <v>170.895</v>
      </c>
      <c r="V155" s="24">
        <v>37.942</v>
      </c>
      <c r="W155" s="24">
        <v>113.637</v>
      </c>
      <c r="X155" s="24">
        <v>42.078</v>
      </c>
      <c r="Y155" s="24">
        <v>184.822</v>
      </c>
      <c r="Z155" s="24">
        <v>37.091</v>
      </c>
      <c r="AA155" s="24">
        <v>170.598</v>
      </c>
      <c r="AB155" s="24">
        <v>38.204</v>
      </c>
      <c r="AC155" s="24">
        <v>113.598</v>
      </c>
      <c r="AD155" s="24">
        <v>42.27</v>
      </c>
      <c r="AE155" s="21">
        <f t="shared" ref="AE155:AF155" si="460">(M155+S155+Y155)/3</f>
        <v>185.023</v>
      </c>
      <c r="AF155" s="21">
        <f t="shared" si="460"/>
        <v>36.97533333</v>
      </c>
      <c r="AG155" s="21">
        <f t="shared" ref="AG155:AH155" si="461">(AA155+U155+O155)/3</f>
        <v>170.745</v>
      </c>
      <c r="AH155" s="21">
        <f t="shared" si="461"/>
        <v>38.11766667</v>
      </c>
      <c r="AI155" s="21">
        <f t="shared" ref="AI155:AJ155" si="462">(Q155+W155+AC155)/3</f>
        <v>113.654</v>
      </c>
      <c r="AJ155" s="21">
        <f t="shared" si="462"/>
        <v>42.243</v>
      </c>
    </row>
    <row r="156">
      <c r="A156" s="13" t="s">
        <v>19</v>
      </c>
      <c r="B156" s="13" t="s">
        <v>20</v>
      </c>
      <c r="C156" s="14">
        <v>45482.0</v>
      </c>
      <c r="D156" s="15" t="s">
        <v>21</v>
      </c>
      <c r="E156" s="16">
        <v>9.3</v>
      </c>
      <c r="F156" s="15" t="s">
        <v>22</v>
      </c>
      <c r="G156" s="17">
        <v>2.0</v>
      </c>
      <c r="H156" s="18" t="s">
        <v>23</v>
      </c>
      <c r="I156" s="19">
        <v>10.818</v>
      </c>
      <c r="J156" s="20">
        <v>792.0101</v>
      </c>
      <c r="K156" s="20">
        <v>3.724</v>
      </c>
      <c r="L156" s="20">
        <v>0.03</v>
      </c>
      <c r="M156" s="20">
        <v>146.4</v>
      </c>
      <c r="N156" s="20">
        <v>25.667</v>
      </c>
      <c r="O156" s="20">
        <v>121.336</v>
      </c>
      <c r="P156" s="20">
        <v>27.468</v>
      </c>
      <c r="Q156" s="20">
        <v>83.528</v>
      </c>
      <c r="R156" s="27">
        <v>32.347</v>
      </c>
      <c r="S156" s="27">
        <v>146.825</v>
      </c>
      <c r="T156" s="24">
        <v>25.426</v>
      </c>
      <c r="U156" s="24">
        <v>121.827</v>
      </c>
      <c r="V156" s="24">
        <v>27.567</v>
      </c>
      <c r="W156" s="24">
        <v>84.039</v>
      </c>
      <c r="X156" s="24">
        <v>32.789</v>
      </c>
      <c r="Y156" s="24">
        <v>147.038</v>
      </c>
      <c r="Z156" s="24">
        <v>25.327</v>
      </c>
      <c r="AA156" s="24">
        <v>121.891</v>
      </c>
      <c r="AB156" s="24">
        <v>27.602</v>
      </c>
      <c r="AC156" s="24">
        <v>83.939</v>
      </c>
      <c r="AD156" s="24">
        <v>32.93</v>
      </c>
      <c r="AE156" s="21">
        <f t="shared" ref="AE156:AF156" si="463">(M156+S156+Y156)/3</f>
        <v>146.7543333</v>
      </c>
      <c r="AF156" s="21">
        <f t="shared" si="463"/>
        <v>25.47333333</v>
      </c>
      <c r="AG156" s="21">
        <f t="shared" ref="AG156:AH156" si="464">(AA156+U156+O156)/3</f>
        <v>121.6846667</v>
      </c>
      <c r="AH156" s="21">
        <f t="shared" si="464"/>
        <v>27.54566667</v>
      </c>
      <c r="AI156" s="21">
        <f t="shared" ref="AI156:AJ156" si="465">(Q156+W156+AC156)/3</f>
        <v>83.83533333</v>
      </c>
      <c r="AJ156" s="21">
        <f t="shared" si="465"/>
        <v>32.68866667</v>
      </c>
    </row>
    <row r="157">
      <c r="A157" s="13" t="s">
        <v>19</v>
      </c>
      <c r="B157" s="13" t="s">
        <v>20</v>
      </c>
      <c r="C157" s="14">
        <v>45482.0</v>
      </c>
      <c r="D157" s="15" t="s">
        <v>21</v>
      </c>
      <c r="E157" s="16">
        <v>9.4</v>
      </c>
      <c r="F157" s="15" t="s">
        <v>22</v>
      </c>
      <c r="G157" s="17">
        <v>2.0</v>
      </c>
      <c r="H157" s="18" t="s">
        <v>23</v>
      </c>
      <c r="I157" s="19">
        <v>9.9925</v>
      </c>
      <c r="J157" s="20">
        <v>772.0104</v>
      </c>
      <c r="K157" s="20">
        <v>3.683</v>
      </c>
      <c r="L157" s="20">
        <v>0.016</v>
      </c>
      <c r="M157" s="20">
        <v>131.196</v>
      </c>
      <c r="N157" s="20">
        <v>22.002</v>
      </c>
      <c r="O157" s="20">
        <v>105.843</v>
      </c>
      <c r="P157" s="20">
        <v>23.34</v>
      </c>
      <c r="Q157" s="20">
        <v>65.52</v>
      </c>
      <c r="R157" s="20">
        <v>25.937</v>
      </c>
      <c r="S157" s="20">
        <v>131.31</v>
      </c>
      <c r="T157" s="24">
        <v>21.759</v>
      </c>
      <c r="U157" s="24">
        <v>105.847</v>
      </c>
      <c r="V157" s="24">
        <v>23.194</v>
      </c>
      <c r="W157" s="24">
        <v>65.342</v>
      </c>
      <c r="X157" s="24">
        <v>25.757</v>
      </c>
      <c r="Y157" s="24">
        <v>131.435</v>
      </c>
      <c r="Z157" s="24">
        <v>21.446</v>
      </c>
      <c r="AA157" s="24">
        <v>105.904</v>
      </c>
      <c r="AB157" s="24">
        <v>22.908</v>
      </c>
      <c r="AC157" s="24">
        <v>65.296</v>
      </c>
      <c r="AD157" s="24">
        <v>25.537</v>
      </c>
      <c r="AE157" s="21">
        <f t="shared" ref="AE157:AF157" si="466">(M157+S157+Y157)/3</f>
        <v>131.3136667</v>
      </c>
      <c r="AF157" s="21">
        <f t="shared" si="466"/>
        <v>21.73566667</v>
      </c>
      <c r="AG157" s="21">
        <f t="shared" ref="AG157:AH157" si="467">(AA157+U157+O157)/3</f>
        <v>105.8646667</v>
      </c>
      <c r="AH157" s="21">
        <f t="shared" si="467"/>
        <v>23.14733333</v>
      </c>
      <c r="AI157" s="21">
        <f t="shared" ref="AI157:AJ157" si="468">(Q157+W157+AC157)/3</f>
        <v>65.386</v>
      </c>
      <c r="AJ157" s="21">
        <f t="shared" si="468"/>
        <v>25.74366667</v>
      </c>
    </row>
    <row r="158">
      <c r="A158" s="13" t="s">
        <v>19</v>
      </c>
      <c r="B158" s="13" t="s">
        <v>20</v>
      </c>
      <c r="C158" s="14">
        <v>45482.0</v>
      </c>
      <c r="D158" s="15" t="s">
        <v>24</v>
      </c>
      <c r="E158" s="16">
        <v>7.1</v>
      </c>
      <c r="F158" s="15" t="s">
        <v>22</v>
      </c>
      <c r="G158" s="17">
        <v>2.0</v>
      </c>
      <c r="H158" s="18" t="s">
        <v>23</v>
      </c>
      <c r="I158" s="19">
        <v>10.1434</v>
      </c>
      <c r="J158" s="20">
        <v>776.0928</v>
      </c>
      <c r="K158" s="20">
        <v>4.96</v>
      </c>
      <c r="L158" s="20">
        <v>0.005</v>
      </c>
      <c r="M158" s="20">
        <v>145.025</v>
      </c>
      <c r="N158" s="20">
        <v>17.886</v>
      </c>
      <c r="O158" s="20">
        <v>122.378</v>
      </c>
      <c r="P158" s="20">
        <v>21.321</v>
      </c>
      <c r="Q158" s="20">
        <v>86.638</v>
      </c>
      <c r="R158" s="27">
        <v>27.257</v>
      </c>
      <c r="S158" s="27">
        <v>145.106</v>
      </c>
      <c r="T158" s="24">
        <v>17.738</v>
      </c>
      <c r="U158" s="24">
        <v>122.505</v>
      </c>
      <c r="V158" s="24">
        <v>21.255</v>
      </c>
      <c r="W158" s="24">
        <v>86.822</v>
      </c>
      <c r="X158" s="24">
        <v>27.36</v>
      </c>
      <c r="Y158" s="24">
        <v>145.053</v>
      </c>
      <c r="Z158" s="24">
        <v>17.281</v>
      </c>
      <c r="AA158" s="24">
        <v>122.32</v>
      </c>
      <c r="AB158" s="24">
        <v>20.835</v>
      </c>
      <c r="AC158" s="24">
        <v>86.407</v>
      </c>
      <c r="AD158" s="24">
        <v>26.81</v>
      </c>
      <c r="AE158" s="21">
        <f t="shared" ref="AE158:AF158" si="469">(M158+S158+Y158)/3</f>
        <v>145.0613333</v>
      </c>
      <c r="AF158" s="21">
        <f t="shared" si="469"/>
        <v>17.635</v>
      </c>
      <c r="AG158" s="21">
        <f t="shared" ref="AG158:AH158" si="470">(AA158+U158+O158)/3</f>
        <v>122.401</v>
      </c>
      <c r="AH158" s="21">
        <f t="shared" si="470"/>
        <v>21.137</v>
      </c>
      <c r="AI158" s="21">
        <f t="shared" ref="AI158:AJ158" si="471">(Q158+W158+AC158)/3</f>
        <v>86.62233333</v>
      </c>
      <c r="AJ158" s="21">
        <f t="shared" si="471"/>
        <v>27.14233333</v>
      </c>
    </row>
    <row r="159">
      <c r="A159" s="13" t="s">
        <v>19</v>
      </c>
      <c r="B159" s="13" t="s">
        <v>20</v>
      </c>
      <c r="C159" s="14">
        <v>45482.0</v>
      </c>
      <c r="D159" s="15" t="s">
        <v>24</v>
      </c>
      <c r="E159" s="16">
        <v>7.2</v>
      </c>
      <c r="F159" s="15" t="s">
        <v>22</v>
      </c>
      <c r="G159" s="17">
        <v>2.0</v>
      </c>
      <c r="H159" s="18" t="s">
        <v>23</v>
      </c>
      <c r="I159" s="19">
        <v>10.521</v>
      </c>
      <c r="J159" s="20">
        <v>728.0247</v>
      </c>
      <c r="K159" s="20">
        <v>5.007</v>
      </c>
      <c r="L159" s="20">
        <v>0.01</v>
      </c>
      <c r="M159" s="20">
        <v>155.708</v>
      </c>
      <c r="N159" s="20">
        <v>22.77</v>
      </c>
      <c r="O159" s="20">
        <v>128.961</v>
      </c>
      <c r="P159" s="20">
        <v>24.256</v>
      </c>
      <c r="Q159" s="20">
        <v>92.745</v>
      </c>
      <c r="R159" s="27">
        <v>27.765</v>
      </c>
      <c r="S159" s="27">
        <v>156.28</v>
      </c>
      <c r="T159" s="24">
        <v>21.945</v>
      </c>
      <c r="U159" s="24">
        <v>129.433</v>
      </c>
      <c r="V159" s="24">
        <v>23.969</v>
      </c>
      <c r="W159" s="24">
        <v>93.002</v>
      </c>
      <c r="X159" s="24">
        <v>27.925</v>
      </c>
      <c r="Y159" s="24">
        <v>156.421</v>
      </c>
      <c r="Z159" s="24">
        <v>22.035</v>
      </c>
      <c r="AA159" s="24">
        <v>129.645</v>
      </c>
      <c r="AB159" s="24">
        <v>24.202</v>
      </c>
      <c r="AC159" s="24">
        <v>93.273</v>
      </c>
      <c r="AD159" s="24">
        <v>28.297</v>
      </c>
      <c r="AE159" s="21">
        <f t="shared" ref="AE159:AF159" si="472">(M159+S159+Y159)/3</f>
        <v>156.1363333</v>
      </c>
      <c r="AF159" s="21">
        <f t="shared" si="472"/>
        <v>22.25</v>
      </c>
      <c r="AG159" s="21">
        <f t="shared" ref="AG159:AH159" si="473">(AA159+U159+O159)/3</f>
        <v>129.3463333</v>
      </c>
      <c r="AH159" s="21">
        <f t="shared" si="473"/>
        <v>24.14233333</v>
      </c>
      <c r="AI159" s="21">
        <f t="shared" ref="AI159:AJ159" si="474">(Q159+W159+AC159)/3</f>
        <v>93.00666667</v>
      </c>
      <c r="AJ159" s="21">
        <f t="shared" si="474"/>
        <v>27.99566667</v>
      </c>
    </row>
    <row r="160">
      <c r="A160" s="13" t="s">
        <v>19</v>
      </c>
      <c r="B160" s="13" t="s">
        <v>20</v>
      </c>
      <c r="C160" s="14">
        <v>45482.0</v>
      </c>
      <c r="D160" s="15" t="s">
        <v>24</v>
      </c>
      <c r="E160" s="16">
        <v>7.3</v>
      </c>
      <c r="F160" s="15" t="s">
        <v>22</v>
      </c>
      <c r="G160" s="17">
        <v>2.0</v>
      </c>
      <c r="H160" s="18" t="s">
        <v>23</v>
      </c>
      <c r="I160" s="19">
        <v>11.3725</v>
      </c>
      <c r="J160" s="20">
        <v>658.6835</v>
      </c>
      <c r="K160" s="20">
        <v>6.588</v>
      </c>
      <c r="L160" s="20">
        <v>0.029</v>
      </c>
      <c r="M160" s="20">
        <v>156.893</v>
      </c>
      <c r="N160" s="20">
        <v>20.377</v>
      </c>
      <c r="O160" s="20">
        <v>130.165</v>
      </c>
      <c r="P160" s="20">
        <v>22.226</v>
      </c>
      <c r="Q160" s="20">
        <v>93.857</v>
      </c>
      <c r="R160" s="27">
        <v>25.774</v>
      </c>
      <c r="S160" s="27">
        <v>157.176</v>
      </c>
      <c r="T160" s="24">
        <v>20.075</v>
      </c>
      <c r="U160" s="24">
        <v>130.324</v>
      </c>
      <c r="V160" s="24">
        <v>22.208</v>
      </c>
      <c r="W160" s="24">
        <v>93.815</v>
      </c>
      <c r="X160" s="24">
        <v>25.707</v>
      </c>
      <c r="Y160" s="24">
        <v>156.863</v>
      </c>
      <c r="Z160" s="24">
        <v>19.221</v>
      </c>
      <c r="AA160" s="24">
        <v>129.83</v>
      </c>
      <c r="AB160" s="24">
        <v>21.048</v>
      </c>
      <c r="AC160" s="24">
        <v>93.067</v>
      </c>
      <c r="AD160" s="24">
        <v>24.164</v>
      </c>
      <c r="AE160" s="21">
        <f t="shared" ref="AE160:AF160" si="475">(M160+S160+Y160)/3</f>
        <v>156.9773333</v>
      </c>
      <c r="AF160" s="21">
        <f t="shared" si="475"/>
        <v>19.891</v>
      </c>
      <c r="AG160" s="21">
        <f t="shared" ref="AG160:AH160" si="476">(AA160+U160+O160)/3</f>
        <v>130.1063333</v>
      </c>
      <c r="AH160" s="21">
        <f t="shared" si="476"/>
        <v>21.82733333</v>
      </c>
      <c r="AI160" s="21">
        <f t="shared" ref="AI160:AJ160" si="477">(Q160+W160+AC160)/3</f>
        <v>93.57966667</v>
      </c>
      <c r="AJ160" s="21">
        <f t="shared" si="477"/>
        <v>25.215</v>
      </c>
    </row>
    <row r="161">
      <c r="A161" s="13" t="s">
        <v>19</v>
      </c>
      <c r="B161" s="13" t="s">
        <v>20</v>
      </c>
      <c r="C161" s="14">
        <v>45482.0</v>
      </c>
      <c r="D161" s="15" t="s">
        <v>24</v>
      </c>
      <c r="E161" s="16">
        <v>7.4</v>
      </c>
      <c r="F161" s="15" t="s">
        <v>22</v>
      </c>
      <c r="G161" s="17">
        <v>2.0</v>
      </c>
      <c r="H161" s="18" t="s">
        <v>23</v>
      </c>
      <c r="I161" s="19">
        <v>9.6943</v>
      </c>
      <c r="J161" s="20">
        <v>728.6179</v>
      </c>
      <c r="K161" s="20">
        <v>5.044</v>
      </c>
      <c r="L161" s="20">
        <v>0.028</v>
      </c>
      <c r="M161" s="20">
        <v>133.339</v>
      </c>
      <c r="N161" s="20">
        <v>17.099</v>
      </c>
      <c r="O161" s="20">
        <v>105.668</v>
      </c>
      <c r="P161" s="20">
        <v>20.933</v>
      </c>
      <c r="Q161" s="20">
        <v>70.51</v>
      </c>
      <c r="R161" s="20">
        <v>24.541</v>
      </c>
      <c r="S161" s="20">
        <v>133.155</v>
      </c>
      <c r="T161" s="24">
        <v>17.123</v>
      </c>
      <c r="U161" s="24">
        <v>105.51</v>
      </c>
      <c r="V161" s="24">
        <v>20.8</v>
      </c>
      <c r="W161" s="24">
        <v>70.416</v>
      </c>
      <c r="X161" s="24">
        <v>24.276</v>
      </c>
      <c r="Y161" s="24">
        <v>133.169</v>
      </c>
      <c r="Z161" s="24">
        <v>16.83</v>
      </c>
      <c r="AA161" s="24">
        <v>105.515</v>
      </c>
      <c r="AB161" s="24">
        <v>20.499</v>
      </c>
      <c r="AC161" s="24">
        <v>70.407</v>
      </c>
      <c r="AD161" s="24">
        <v>23.982</v>
      </c>
      <c r="AE161" s="21">
        <f t="shared" ref="AE161:AF161" si="478">(M161+S161+Y161)/3</f>
        <v>133.221</v>
      </c>
      <c r="AF161" s="21">
        <f t="shared" si="478"/>
        <v>17.01733333</v>
      </c>
      <c r="AG161" s="21">
        <f t="shared" ref="AG161:AH161" si="479">(AA161+U161+O161)/3</f>
        <v>105.5643333</v>
      </c>
      <c r="AH161" s="21">
        <f t="shared" si="479"/>
        <v>20.744</v>
      </c>
      <c r="AI161" s="21">
        <f t="shared" ref="AI161:AJ161" si="480">(Q161+W161+AC161)/3</f>
        <v>70.44433333</v>
      </c>
      <c r="AJ161" s="21">
        <f t="shared" si="480"/>
        <v>24.26633333</v>
      </c>
    </row>
    <row r="162">
      <c r="A162" s="13" t="s">
        <v>19</v>
      </c>
      <c r="B162" s="13" t="s">
        <v>20</v>
      </c>
      <c r="C162" s="14">
        <v>45482.0</v>
      </c>
      <c r="D162" s="15" t="s">
        <v>24</v>
      </c>
      <c r="E162" s="16">
        <v>8.1</v>
      </c>
      <c r="F162" s="15" t="s">
        <v>22</v>
      </c>
      <c r="G162" s="17">
        <v>2.0</v>
      </c>
      <c r="H162" s="18" t="s">
        <v>23</v>
      </c>
      <c r="I162" s="19">
        <v>9.1151</v>
      </c>
      <c r="J162" s="20">
        <v>780.3102</v>
      </c>
      <c r="K162" s="20">
        <v>3.635</v>
      </c>
      <c r="L162" s="20">
        <v>0.011</v>
      </c>
      <c r="M162" s="20">
        <v>140.137</v>
      </c>
      <c r="N162" s="20">
        <v>26.779</v>
      </c>
      <c r="O162" s="20">
        <v>118.93</v>
      </c>
      <c r="P162" s="20">
        <v>30.053</v>
      </c>
      <c r="Q162" s="20">
        <v>84.183</v>
      </c>
      <c r="R162" s="27">
        <v>38.133</v>
      </c>
      <c r="S162" s="27">
        <v>140.757</v>
      </c>
      <c r="T162" s="24">
        <v>26.787</v>
      </c>
      <c r="U162" s="24">
        <v>119.657</v>
      </c>
      <c r="V162" s="24">
        <v>30.539</v>
      </c>
      <c r="W162" s="24">
        <v>85.04</v>
      </c>
      <c r="X162" s="24">
        <v>39.351</v>
      </c>
      <c r="Y162" s="24">
        <v>140.235</v>
      </c>
      <c r="Z162" s="24">
        <v>26.486</v>
      </c>
      <c r="AA162" s="24">
        <v>118.981</v>
      </c>
      <c r="AB162" s="24">
        <v>29.844</v>
      </c>
      <c r="AC162" s="24">
        <v>84.159</v>
      </c>
      <c r="AD162" s="24">
        <v>38.153</v>
      </c>
      <c r="AE162" s="21">
        <f t="shared" ref="AE162:AF162" si="481">(M162+S162+Y162)/3</f>
        <v>140.3763333</v>
      </c>
      <c r="AF162" s="21">
        <f t="shared" si="481"/>
        <v>26.684</v>
      </c>
      <c r="AG162" s="21">
        <f t="shared" ref="AG162:AH162" si="482">(AA162+U162+O162)/3</f>
        <v>119.1893333</v>
      </c>
      <c r="AH162" s="21">
        <f t="shared" si="482"/>
        <v>30.14533333</v>
      </c>
      <c r="AI162" s="21">
        <f t="shared" ref="AI162:AJ162" si="483">(Q162+W162+AC162)/3</f>
        <v>84.46066667</v>
      </c>
      <c r="AJ162" s="21">
        <f t="shared" si="483"/>
        <v>38.54566667</v>
      </c>
    </row>
    <row r="163">
      <c r="A163" s="13" t="s">
        <v>19</v>
      </c>
      <c r="B163" s="13" t="s">
        <v>20</v>
      </c>
      <c r="C163" s="14">
        <v>45482.0</v>
      </c>
      <c r="D163" s="15" t="s">
        <v>24</v>
      </c>
      <c r="E163" s="16">
        <v>8.2</v>
      </c>
      <c r="F163" s="15" t="s">
        <v>22</v>
      </c>
      <c r="G163" s="17">
        <v>2.0</v>
      </c>
      <c r="H163" s="18" t="s">
        <v>23</v>
      </c>
      <c r="I163" s="19">
        <v>9.9838</v>
      </c>
      <c r="J163" s="20">
        <v>690.0464</v>
      </c>
      <c r="K163" s="20">
        <v>4.353</v>
      </c>
      <c r="L163" s="20">
        <v>0.019</v>
      </c>
      <c r="M163" s="20">
        <v>143.297</v>
      </c>
      <c r="N163" s="20">
        <v>20.788</v>
      </c>
      <c r="O163" s="20">
        <v>120.769</v>
      </c>
      <c r="P163" s="20">
        <v>24.605</v>
      </c>
      <c r="Q163" s="20">
        <v>83.473</v>
      </c>
      <c r="R163" s="20">
        <v>34.776</v>
      </c>
      <c r="S163" s="20">
        <v>143.432</v>
      </c>
      <c r="T163" s="24">
        <v>20.692</v>
      </c>
      <c r="U163" s="24">
        <v>120.894</v>
      </c>
      <c r="V163" s="24">
        <v>24.617</v>
      </c>
      <c r="W163" s="24">
        <v>83.545</v>
      </c>
      <c r="X163" s="24">
        <v>34.781</v>
      </c>
      <c r="Y163" s="24">
        <v>143.31</v>
      </c>
      <c r="Z163" s="24">
        <v>20.617</v>
      </c>
      <c r="AA163" s="24">
        <v>120.717</v>
      </c>
      <c r="AB163" s="24">
        <v>24.428</v>
      </c>
      <c r="AC163" s="24">
        <v>83.295</v>
      </c>
      <c r="AD163" s="24">
        <v>34.53</v>
      </c>
      <c r="AE163" s="21">
        <f t="shared" ref="AE163:AF163" si="484">(M163+S163+Y163)/3</f>
        <v>143.3463333</v>
      </c>
      <c r="AF163" s="21">
        <f t="shared" si="484"/>
        <v>20.699</v>
      </c>
      <c r="AG163" s="21">
        <f t="shared" ref="AG163:AH163" si="485">(AA163+U163+O163)/3</f>
        <v>120.7933333</v>
      </c>
      <c r="AH163" s="21">
        <f t="shared" si="485"/>
        <v>24.55</v>
      </c>
      <c r="AI163" s="21">
        <f t="shared" ref="AI163:AJ163" si="486">(Q163+W163+AC163)/3</f>
        <v>83.43766667</v>
      </c>
      <c r="AJ163" s="21">
        <f t="shared" si="486"/>
        <v>34.69566667</v>
      </c>
    </row>
    <row r="164">
      <c r="A164" s="13" t="s">
        <v>19</v>
      </c>
      <c r="B164" s="13" t="s">
        <v>20</v>
      </c>
      <c r="C164" s="14">
        <v>45482.0</v>
      </c>
      <c r="D164" s="15" t="s">
        <v>24</v>
      </c>
      <c r="E164" s="16">
        <v>8.3</v>
      </c>
      <c r="F164" s="15" t="s">
        <v>22</v>
      </c>
      <c r="G164" s="17">
        <v>2.0</v>
      </c>
      <c r="H164" s="18" t="s">
        <v>23</v>
      </c>
      <c r="I164" s="19">
        <v>9.3884</v>
      </c>
      <c r="J164" s="20">
        <v>866.4525</v>
      </c>
      <c r="K164" s="20">
        <v>2.894</v>
      </c>
      <c r="L164" s="20">
        <v>0.035</v>
      </c>
      <c r="M164" s="20">
        <v>186.301</v>
      </c>
      <c r="N164" s="20">
        <v>32.992</v>
      </c>
      <c r="O164" s="20">
        <v>156.876</v>
      </c>
      <c r="P164" s="20">
        <v>33.401</v>
      </c>
      <c r="Q164" s="20">
        <v>97.384</v>
      </c>
      <c r="R164" s="27">
        <v>38.895</v>
      </c>
      <c r="S164" s="27">
        <v>186.616</v>
      </c>
      <c r="T164" s="24">
        <v>32.876</v>
      </c>
      <c r="U164" s="24">
        <v>157.162</v>
      </c>
      <c r="V164" s="24">
        <v>33.541</v>
      </c>
      <c r="W164" s="24">
        <v>97.609</v>
      </c>
      <c r="X164" s="24">
        <v>39.245</v>
      </c>
      <c r="Y164" s="24">
        <v>186.899</v>
      </c>
      <c r="Z164" s="24">
        <v>32.599</v>
      </c>
      <c r="AA164" s="24">
        <v>157.507</v>
      </c>
      <c r="AB164" s="24">
        <v>33.422</v>
      </c>
      <c r="AC164" s="24">
        <v>98.052</v>
      </c>
      <c r="AD164" s="24">
        <v>39.568</v>
      </c>
      <c r="AE164" s="21">
        <f t="shared" ref="AE164:AF164" si="487">(M164+S164+Y164)/3</f>
        <v>186.6053333</v>
      </c>
      <c r="AF164" s="21">
        <f t="shared" si="487"/>
        <v>32.82233333</v>
      </c>
      <c r="AG164" s="21">
        <f t="shared" ref="AG164:AH164" si="488">(AA164+U164+O164)/3</f>
        <v>157.1816667</v>
      </c>
      <c r="AH164" s="21">
        <f t="shared" si="488"/>
        <v>33.45466667</v>
      </c>
      <c r="AI164" s="21">
        <f t="shared" ref="AI164:AJ164" si="489">(Q164+W164+AC164)/3</f>
        <v>97.68166667</v>
      </c>
      <c r="AJ164" s="21">
        <f t="shared" si="489"/>
        <v>39.236</v>
      </c>
    </row>
    <row r="165">
      <c r="A165" s="13" t="s">
        <v>19</v>
      </c>
      <c r="B165" s="13" t="s">
        <v>20</v>
      </c>
      <c r="C165" s="14">
        <v>45482.0</v>
      </c>
      <c r="D165" s="15" t="s">
        <v>24</v>
      </c>
      <c r="E165" s="16">
        <v>8.4</v>
      </c>
      <c r="F165" s="15" t="s">
        <v>22</v>
      </c>
      <c r="G165" s="17">
        <v>2.0</v>
      </c>
      <c r="H165" s="18" t="s">
        <v>23</v>
      </c>
      <c r="I165" s="19">
        <v>10.609</v>
      </c>
      <c r="J165" s="20">
        <v>710.138</v>
      </c>
      <c r="K165" s="20">
        <v>5.439</v>
      </c>
      <c r="L165" s="20">
        <v>0.067</v>
      </c>
      <c r="M165" s="25">
        <v>145.058</v>
      </c>
      <c r="N165" s="25">
        <v>16.558</v>
      </c>
      <c r="O165" s="25">
        <v>123.171</v>
      </c>
      <c r="P165" s="25">
        <v>20.481</v>
      </c>
      <c r="Q165" s="25">
        <v>91.288</v>
      </c>
      <c r="R165" s="25">
        <v>28.762</v>
      </c>
      <c r="S165" s="20">
        <v>144.985</v>
      </c>
      <c r="T165" s="24">
        <v>16.405</v>
      </c>
      <c r="U165" s="24">
        <v>123.173</v>
      </c>
      <c r="V165" s="24">
        <v>20.26</v>
      </c>
      <c r="W165" s="24">
        <v>91.299</v>
      </c>
      <c r="X165" s="24">
        <v>28.63</v>
      </c>
      <c r="Y165" s="24">
        <v>144.595</v>
      </c>
      <c r="Z165" s="24">
        <v>17.268</v>
      </c>
      <c r="AA165" s="24">
        <v>122.632</v>
      </c>
      <c r="AB165" s="24">
        <v>20.605</v>
      </c>
      <c r="AC165" s="24">
        <v>90.644</v>
      </c>
      <c r="AD165" s="24">
        <v>28.252</v>
      </c>
      <c r="AE165" s="21">
        <f t="shared" ref="AE165:AF165" si="490">(M165+S165+Y165)/3</f>
        <v>144.8793333</v>
      </c>
      <c r="AF165" s="21">
        <f t="shared" si="490"/>
        <v>16.74366667</v>
      </c>
      <c r="AG165" s="21">
        <f t="shared" ref="AG165:AH165" si="491">(AA165+U165+O165)/3</f>
        <v>122.992</v>
      </c>
      <c r="AH165" s="21">
        <f t="shared" si="491"/>
        <v>20.44866667</v>
      </c>
      <c r="AI165" s="21">
        <f t="shared" ref="AI165:AJ165" si="492">(Q165+W165+AC165)/3</f>
        <v>91.077</v>
      </c>
      <c r="AJ165" s="21">
        <f t="shared" si="492"/>
        <v>28.548</v>
      </c>
    </row>
    <row r="166">
      <c r="A166" s="13" t="s">
        <v>19</v>
      </c>
      <c r="B166" s="13" t="s">
        <v>20</v>
      </c>
      <c r="C166" s="14">
        <v>45482.0</v>
      </c>
      <c r="D166" s="15" t="s">
        <v>24</v>
      </c>
      <c r="E166" s="16">
        <v>9.1</v>
      </c>
      <c r="F166" s="15" t="s">
        <v>22</v>
      </c>
      <c r="G166" s="17">
        <v>2.0</v>
      </c>
      <c r="H166" s="18" t="s">
        <v>23</v>
      </c>
      <c r="I166" s="19">
        <v>9.5504</v>
      </c>
      <c r="J166" s="20">
        <v>734.0109</v>
      </c>
      <c r="K166" s="20">
        <v>4.357</v>
      </c>
      <c r="L166" s="20">
        <v>0.015</v>
      </c>
      <c r="M166" s="20">
        <v>143.508</v>
      </c>
      <c r="N166" s="20">
        <v>25.598</v>
      </c>
      <c r="O166" s="20">
        <v>124.683</v>
      </c>
      <c r="P166" s="20">
        <v>27.597</v>
      </c>
      <c r="Q166" s="20">
        <v>83.4</v>
      </c>
      <c r="R166" s="27">
        <v>35.736</v>
      </c>
      <c r="S166" s="27">
        <v>143.303</v>
      </c>
      <c r="T166" s="24">
        <v>25.165</v>
      </c>
      <c r="U166" s="24">
        <v>124.385</v>
      </c>
      <c r="V166" s="24">
        <v>27.045</v>
      </c>
      <c r="W166" s="24">
        <v>82.89</v>
      </c>
      <c r="X166" s="24">
        <v>34.923</v>
      </c>
      <c r="Y166" s="24">
        <v>143.644</v>
      </c>
      <c r="Z166" s="24">
        <v>25.732</v>
      </c>
      <c r="AA166" s="24">
        <v>124.806</v>
      </c>
      <c r="AB166" s="24">
        <v>27.868</v>
      </c>
      <c r="AC166" s="24">
        <v>83.548</v>
      </c>
      <c r="AD166" s="24">
        <v>36.359</v>
      </c>
      <c r="AE166" s="21">
        <f t="shared" ref="AE166:AF166" si="493">(M166+S166+Y166)/3</f>
        <v>143.485</v>
      </c>
      <c r="AF166" s="21">
        <f t="shared" si="493"/>
        <v>25.49833333</v>
      </c>
      <c r="AG166" s="21">
        <f t="shared" ref="AG166:AH166" si="494">(AA166+U166+O166)/3</f>
        <v>124.6246667</v>
      </c>
      <c r="AH166" s="21">
        <f t="shared" si="494"/>
        <v>27.50333333</v>
      </c>
      <c r="AI166" s="21">
        <f t="shared" ref="AI166:AJ166" si="495">(Q166+W166+AC166)/3</f>
        <v>83.27933333</v>
      </c>
      <c r="AJ166" s="21">
        <f t="shared" si="495"/>
        <v>35.67266667</v>
      </c>
    </row>
    <row r="167">
      <c r="A167" s="13" t="s">
        <v>19</v>
      </c>
      <c r="B167" s="13" t="s">
        <v>20</v>
      </c>
      <c r="C167" s="14">
        <v>45482.0</v>
      </c>
      <c r="D167" s="15" t="s">
        <v>24</v>
      </c>
      <c r="E167" s="16">
        <v>9.2</v>
      </c>
      <c r="F167" s="15" t="s">
        <v>22</v>
      </c>
      <c r="G167" s="17">
        <v>2.0</v>
      </c>
      <c r="H167" s="18" t="s">
        <v>23</v>
      </c>
      <c r="I167" s="19">
        <v>9.6617</v>
      </c>
      <c r="J167" s="20">
        <v>590.0513</v>
      </c>
      <c r="K167" s="20">
        <v>4.117</v>
      </c>
      <c r="L167" s="20">
        <v>0.019</v>
      </c>
      <c r="M167" s="20">
        <v>147.594</v>
      </c>
      <c r="N167" s="20">
        <v>18.197</v>
      </c>
      <c r="O167" s="20">
        <v>125.395</v>
      </c>
      <c r="P167" s="20">
        <v>19.789</v>
      </c>
      <c r="Q167" s="20">
        <v>81.516</v>
      </c>
      <c r="R167" s="27">
        <v>28.948</v>
      </c>
      <c r="S167" s="27">
        <v>147.568</v>
      </c>
      <c r="T167" s="24">
        <v>17.723</v>
      </c>
      <c r="U167" s="24">
        <v>125.209</v>
      </c>
      <c r="V167" s="24">
        <v>19.274</v>
      </c>
      <c r="W167" s="24">
        <v>81.006</v>
      </c>
      <c r="X167" s="24">
        <v>28.282</v>
      </c>
      <c r="Y167" s="24">
        <v>147.681</v>
      </c>
      <c r="Z167" s="24">
        <v>18.044</v>
      </c>
      <c r="AA167" s="24">
        <v>125.465</v>
      </c>
      <c r="AB167" s="24">
        <v>19.72</v>
      </c>
      <c r="AC167" s="24">
        <v>81.522</v>
      </c>
      <c r="AD167" s="24">
        <v>28.875</v>
      </c>
      <c r="AE167" s="21">
        <f t="shared" ref="AE167:AF167" si="496">(M167+S167+Y167)/3</f>
        <v>147.6143333</v>
      </c>
      <c r="AF167" s="21">
        <f t="shared" si="496"/>
        <v>17.988</v>
      </c>
      <c r="AG167" s="21">
        <f t="shared" ref="AG167:AH167" si="497">(AA167+U167+O167)/3</f>
        <v>125.3563333</v>
      </c>
      <c r="AH167" s="21">
        <f t="shared" si="497"/>
        <v>19.59433333</v>
      </c>
      <c r="AI167" s="21">
        <f t="shared" ref="AI167:AJ167" si="498">(Q167+W167+AC167)/3</f>
        <v>81.348</v>
      </c>
      <c r="AJ167" s="21">
        <f t="shared" si="498"/>
        <v>28.70166667</v>
      </c>
    </row>
    <row r="168">
      <c r="A168" s="13" t="s">
        <v>19</v>
      </c>
      <c r="B168" s="13" t="s">
        <v>20</v>
      </c>
      <c r="C168" s="14">
        <v>45482.0</v>
      </c>
      <c r="D168" s="15" t="s">
        <v>24</v>
      </c>
      <c r="E168" s="16">
        <v>9.3</v>
      </c>
      <c r="F168" s="15" t="s">
        <v>22</v>
      </c>
      <c r="G168" s="17">
        <v>2.0</v>
      </c>
      <c r="H168" s="18" t="s">
        <v>23</v>
      </c>
      <c r="I168" s="19">
        <v>8.8432</v>
      </c>
      <c r="J168" s="20">
        <v>511.5352</v>
      </c>
      <c r="K168" s="20">
        <v>3.316</v>
      </c>
      <c r="L168" s="20">
        <v>0.049</v>
      </c>
      <c r="M168" s="20">
        <v>144.695</v>
      </c>
      <c r="N168" s="20">
        <v>17.801</v>
      </c>
      <c r="O168" s="20">
        <v>122.95</v>
      </c>
      <c r="P168" s="20">
        <v>18.896</v>
      </c>
      <c r="Q168" s="20">
        <v>76.9</v>
      </c>
      <c r="R168" s="27">
        <v>25.303</v>
      </c>
      <c r="S168" s="27">
        <v>145.224</v>
      </c>
      <c r="T168" s="24">
        <v>16.015</v>
      </c>
      <c r="U168" s="24">
        <v>123.322</v>
      </c>
      <c r="V168" s="24">
        <v>17.799</v>
      </c>
      <c r="W168" s="24">
        <v>76.962</v>
      </c>
      <c r="X168" s="24">
        <v>25.189</v>
      </c>
      <c r="Y168" s="24">
        <v>145.107</v>
      </c>
      <c r="Z168" s="24">
        <v>15.494</v>
      </c>
      <c r="AA168" s="24">
        <v>122.973</v>
      </c>
      <c r="AB168" s="24">
        <v>17.126</v>
      </c>
      <c r="AC168" s="24">
        <v>76.154</v>
      </c>
      <c r="AD168" s="24">
        <v>24.021</v>
      </c>
      <c r="AE168" s="21">
        <f t="shared" ref="AE168:AF168" si="499">(M168+S168+Y168)/3</f>
        <v>145.0086667</v>
      </c>
      <c r="AF168" s="21">
        <f t="shared" si="499"/>
        <v>16.43666667</v>
      </c>
      <c r="AG168" s="21">
        <f t="shared" ref="AG168:AH168" si="500">(AA168+U168+O168)/3</f>
        <v>123.0816667</v>
      </c>
      <c r="AH168" s="21">
        <f t="shared" si="500"/>
        <v>17.94033333</v>
      </c>
      <c r="AI168" s="21">
        <f t="shared" ref="AI168:AJ168" si="501">(Q168+W168+AC168)/3</f>
        <v>76.672</v>
      </c>
      <c r="AJ168" s="21">
        <f t="shared" si="501"/>
        <v>24.83766667</v>
      </c>
    </row>
    <row r="169">
      <c r="A169" s="13" t="s">
        <v>19</v>
      </c>
      <c r="B169" s="13" t="s">
        <v>20</v>
      </c>
      <c r="C169" s="14">
        <v>45482.0</v>
      </c>
      <c r="D169" s="15" t="s">
        <v>24</v>
      </c>
      <c r="E169" s="16">
        <v>9.4</v>
      </c>
      <c r="F169" s="15" t="s">
        <v>22</v>
      </c>
      <c r="G169" s="17">
        <v>2.0</v>
      </c>
      <c r="H169" s="18" t="s">
        <v>23</v>
      </c>
      <c r="I169" s="19">
        <v>9.2683</v>
      </c>
      <c r="J169" s="20">
        <v>702.0456</v>
      </c>
      <c r="K169" s="20">
        <v>4.226</v>
      </c>
      <c r="L169" s="20">
        <v>0.017</v>
      </c>
      <c r="M169" s="20">
        <v>137.393</v>
      </c>
      <c r="N169" s="20">
        <v>25.259</v>
      </c>
      <c r="O169" s="20">
        <v>115.379</v>
      </c>
      <c r="P169" s="20">
        <v>28.041</v>
      </c>
      <c r="Q169" s="20">
        <v>77.039</v>
      </c>
      <c r="R169" s="20">
        <v>26.045</v>
      </c>
      <c r="S169" s="20">
        <v>137.041</v>
      </c>
      <c r="T169" s="24">
        <v>25.033</v>
      </c>
      <c r="U169" s="24">
        <v>114.926</v>
      </c>
      <c r="V169" s="24">
        <v>27.614</v>
      </c>
      <c r="W169" s="24">
        <v>76.399</v>
      </c>
      <c r="X169" s="24">
        <v>35.349</v>
      </c>
      <c r="Y169" s="24">
        <v>136.977</v>
      </c>
      <c r="Z169" s="24">
        <v>25.059</v>
      </c>
      <c r="AA169" s="24">
        <v>114.82</v>
      </c>
      <c r="AB169" s="24">
        <v>27.555</v>
      </c>
      <c r="AC169" s="24">
        <v>76.215</v>
      </c>
      <c r="AD169" s="24">
        <v>34.966</v>
      </c>
      <c r="AE169" s="21">
        <f t="shared" ref="AE169:AF169" si="502">(M169+S169+Y169)/3</f>
        <v>137.137</v>
      </c>
      <c r="AF169" s="21">
        <f t="shared" si="502"/>
        <v>25.117</v>
      </c>
      <c r="AG169" s="21">
        <f t="shared" ref="AG169:AH169" si="503">(AA169+U169+O169)/3</f>
        <v>115.0416667</v>
      </c>
      <c r="AH169" s="21">
        <f t="shared" si="503"/>
        <v>27.73666667</v>
      </c>
      <c r="AI169" s="21">
        <f t="shared" ref="AI169:AJ169" si="504">(Q169+W169+AC169)/3</f>
        <v>76.551</v>
      </c>
      <c r="AJ169" s="21">
        <f t="shared" si="504"/>
        <v>32.12</v>
      </c>
    </row>
    <row r="170">
      <c r="A170" s="13" t="s">
        <v>19</v>
      </c>
      <c r="B170" s="13" t="s">
        <v>20</v>
      </c>
      <c r="C170" s="14">
        <v>45482.0</v>
      </c>
      <c r="D170" s="15" t="s">
        <v>25</v>
      </c>
      <c r="E170" s="16">
        <v>7.1</v>
      </c>
      <c r="F170" s="15" t="s">
        <v>22</v>
      </c>
      <c r="G170" s="17">
        <v>2.0</v>
      </c>
      <c r="H170" s="18" t="s">
        <v>23</v>
      </c>
      <c r="I170" s="19">
        <v>12.9245</v>
      </c>
      <c r="J170" s="20">
        <v>645.0</v>
      </c>
      <c r="K170" s="20">
        <v>7.468</v>
      </c>
      <c r="L170" s="20">
        <v>0.068</v>
      </c>
      <c r="M170" s="20">
        <v>153.564</v>
      </c>
      <c r="N170" s="20">
        <v>30.611</v>
      </c>
      <c r="O170" s="20">
        <v>139.773</v>
      </c>
      <c r="P170" s="20">
        <v>31.138</v>
      </c>
      <c r="Q170" s="20">
        <v>93.152</v>
      </c>
      <c r="R170" s="27">
        <v>32.374</v>
      </c>
      <c r="S170" s="27">
        <v>153.306</v>
      </c>
      <c r="T170" s="24">
        <v>29.933</v>
      </c>
      <c r="U170" s="24">
        <v>139.377</v>
      </c>
      <c r="V170" s="24">
        <v>30.39</v>
      </c>
      <c r="W170" s="24">
        <v>92.404</v>
      </c>
      <c r="X170" s="24">
        <v>31.242</v>
      </c>
      <c r="Y170" s="24">
        <v>153.134</v>
      </c>
      <c r="Z170" s="24">
        <v>30.19</v>
      </c>
      <c r="AA170" s="24">
        <v>139.213</v>
      </c>
      <c r="AB170" s="24">
        <v>30.579</v>
      </c>
      <c r="AC170" s="24">
        <v>92.207</v>
      </c>
      <c r="AD170" s="24">
        <v>31.136</v>
      </c>
      <c r="AE170" s="21">
        <f t="shared" ref="AE170:AF170" si="505">(M170+S170+Y170)/3</f>
        <v>153.3346667</v>
      </c>
      <c r="AF170" s="21">
        <f t="shared" si="505"/>
        <v>30.24466667</v>
      </c>
      <c r="AG170" s="21">
        <f t="shared" ref="AG170:AH170" si="506">(AA170+U170+O170)/3</f>
        <v>139.4543333</v>
      </c>
      <c r="AH170" s="21">
        <f t="shared" si="506"/>
        <v>30.70233333</v>
      </c>
      <c r="AI170" s="21">
        <f t="shared" ref="AI170:AJ170" si="507">(Q170+W170+AC170)/3</f>
        <v>92.58766667</v>
      </c>
      <c r="AJ170" s="21">
        <f t="shared" si="507"/>
        <v>31.584</v>
      </c>
    </row>
    <row r="171">
      <c r="A171" s="42" t="s">
        <v>19</v>
      </c>
      <c r="B171" s="42" t="s">
        <v>20</v>
      </c>
      <c r="C171" s="43">
        <v>45482.0</v>
      </c>
      <c r="D171" s="44" t="s">
        <v>25</v>
      </c>
      <c r="E171" s="45">
        <v>7.2</v>
      </c>
      <c r="F171" s="44" t="s">
        <v>22</v>
      </c>
      <c r="G171" s="46">
        <v>2.0</v>
      </c>
      <c r="H171" s="18" t="s">
        <v>23</v>
      </c>
      <c r="I171" s="47">
        <v>10.1345</v>
      </c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  <c r="AA171" s="48"/>
      <c r="AB171" s="48"/>
      <c r="AC171" s="48"/>
      <c r="AD171" s="48"/>
      <c r="AE171" s="48">
        <f t="shared" ref="AE171:AF171" si="508">(M171+S171+Y171)/3</f>
        <v>0</v>
      </c>
      <c r="AF171" s="48">
        <f t="shared" si="508"/>
        <v>0</v>
      </c>
      <c r="AG171" s="48">
        <f t="shared" ref="AG171:AH171" si="509">(AA171+U171+O171)/3</f>
        <v>0</v>
      </c>
      <c r="AH171" s="48">
        <f t="shared" si="509"/>
        <v>0</v>
      </c>
      <c r="AI171" s="48">
        <f t="shared" ref="AI171:AJ171" si="510">(Q171+W171+AC171)/3</f>
        <v>0</v>
      </c>
      <c r="AJ171" s="48">
        <f t="shared" si="510"/>
        <v>0</v>
      </c>
      <c r="AK171" s="49"/>
    </row>
    <row r="172">
      <c r="A172" s="13" t="s">
        <v>19</v>
      </c>
      <c r="B172" s="13" t="s">
        <v>20</v>
      </c>
      <c r="C172" s="14">
        <v>45482.0</v>
      </c>
      <c r="D172" s="15" t="s">
        <v>25</v>
      </c>
      <c r="E172" s="16">
        <v>7.3</v>
      </c>
      <c r="F172" s="15" t="s">
        <v>22</v>
      </c>
      <c r="G172" s="17">
        <v>2.0</v>
      </c>
      <c r="H172" s="18" t="s">
        <v>23</v>
      </c>
      <c r="I172" s="19">
        <v>10.5755</v>
      </c>
      <c r="J172" s="27">
        <v>649.7494</v>
      </c>
      <c r="K172" s="27">
        <v>6.03</v>
      </c>
      <c r="L172" s="27">
        <v>0.038</v>
      </c>
      <c r="M172" s="27">
        <v>134.718</v>
      </c>
      <c r="N172" s="27">
        <v>33.579</v>
      </c>
      <c r="O172" s="27">
        <v>123.497</v>
      </c>
      <c r="P172" s="27">
        <v>34.044</v>
      </c>
      <c r="Q172" s="27">
        <v>82.976</v>
      </c>
      <c r="R172" s="27">
        <v>32.336</v>
      </c>
      <c r="S172" s="27">
        <v>134.735</v>
      </c>
      <c r="T172" s="24">
        <v>33.456</v>
      </c>
      <c r="U172" s="24">
        <v>123.57</v>
      </c>
      <c r="V172" s="24">
        <v>33.916</v>
      </c>
      <c r="W172" s="24">
        <v>83.152</v>
      </c>
      <c r="X172" s="24">
        <v>32.249</v>
      </c>
      <c r="Y172" s="24">
        <v>134.891</v>
      </c>
      <c r="Z172" s="24">
        <v>33.456</v>
      </c>
      <c r="AA172" s="24">
        <v>123.766</v>
      </c>
      <c r="AB172" s="24">
        <v>33.979</v>
      </c>
      <c r="AC172" s="24">
        <v>83.414</v>
      </c>
      <c r="AD172" s="24">
        <v>32.565</v>
      </c>
      <c r="AE172" s="21">
        <f t="shared" ref="AE172:AF172" si="511">(M172+S172+Y172)/3</f>
        <v>134.7813333</v>
      </c>
      <c r="AF172" s="21">
        <f t="shared" si="511"/>
        <v>33.497</v>
      </c>
      <c r="AG172" s="21">
        <f t="shared" ref="AG172:AH172" si="512">(AA172+U172+O172)/3</f>
        <v>123.611</v>
      </c>
      <c r="AH172" s="21">
        <f t="shared" si="512"/>
        <v>33.97966667</v>
      </c>
      <c r="AI172" s="21">
        <f t="shared" ref="AI172:AJ172" si="513">(Q172+W172+AC172)/3</f>
        <v>83.18066667</v>
      </c>
      <c r="AJ172" s="21">
        <f t="shared" si="513"/>
        <v>32.38333333</v>
      </c>
    </row>
    <row r="173">
      <c r="A173" s="13" t="s">
        <v>19</v>
      </c>
      <c r="B173" s="13" t="s">
        <v>20</v>
      </c>
      <c r="C173" s="14">
        <v>45482.0</v>
      </c>
      <c r="D173" s="15" t="s">
        <v>25</v>
      </c>
      <c r="E173" s="16">
        <v>7.4</v>
      </c>
      <c r="F173" s="15" t="s">
        <v>22</v>
      </c>
      <c r="G173" s="17">
        <v>2.0</v>
      </c>
      <c r="H173" s="18" t="s">
        <v>23</v>
      </c>
      <c r="I173" s="19">
        <v>10.8147</v>
      </c>
      <c r="J173" s="20">
        <v>762.9469</v>
      </c>
      <c r="K173" s="20">
        <v>5.724</v>
      </c>
      <c r="L173" s="20">
        <v>0.022</v>
      </c>
      <c r="M173" s="20">
        <v>128.227</v>
      </c>
      <c r="N173" s="20">
        <v>32.203</v>
      </c>
      <c r="O173" s="20">
        <v>113.743</v>
      </c>
      <c r="P173" s="20">
        <v>33.955</v>
      </c>
      <c r="Q173" s="20">
        <v>78.088</v>
      </c>
      <c r="R173" s="20">
        <v>35.018</v>
      </c>
      <c r="S173" s="20">
        <v>127.69</v>
      </c>
      <c r="T173" s="24">
        <v>32.129</v>
      </c>
      <c r="U173" s="24">
        <v>113.041</v>
      </c>
      <c r="V173" s="24">
        <v>33.701</v>
      </c>
      <c r="W173" s="24">
        <v>77.257</v>
      </c>
      <c r="X173" s="24">
        <v>34.38</v>
      </c>
      <c r="Y173" s="24">
        <v>128.246</v>
      </c>
      <c r="Z173" s="24">
        <v>32.238</v>
      </c>
      <c r="AA173" s="24">
        <v>113.727</v>
      </c>
      <c r="AB173" s="24">
        <v>33.996</v>
      </c>
      <c r="AC173" s="24">
        <v>78.024</v>
      </c>
      <c r="AD173" s="24">
        <v>35.048</v>
      </c>
      <c r="AE173" s="21">
        <f t="shared" ref="AE173:AF173" si="514">(M173+S173+Y173)/3</f>
        <v>128.0543333</v>
      </c>
      <c r="AF173" s="21">
        <f t="shared" si="514"/>
        <v>32.19</v>
      </c>
      <c r="AG173" s="21">
        <f t="shared" ref="AG173:AH173" si="515">(AA173+U173+O173)/3</f>
        <v>113.5036667</v>
      </c>
      <c r="AH173" s="21">
        <f t="shared" si="515"/>
        <v>33.884</v>
      </c>
      <c r="AI173" s="21">
        <f t="shared" ref="AI173:AJ173" si="516">(Q173+W173+AC173)/3</f>
        <v>77.78966667</v>
      </c>
      <c r="AJ173" s="21">
        <f t="shared" si="516"/>
        <v>34.81533333</v>
      </c>
    </row>
    <row r="174">
      <c r="A174" s="13" t="s">
        <v>19</v>
      </c>
      <c r="B174" s="13" t="s">
        <v>20</v>
      </c>
      <c r="C174" s="14">
        <v>45482.0</v>
      </c>
      <c r="D174" s="15" t="s">
        <v>25</v>
      </c>
      <c r="E174" s="16">
        <v>8.1</v>
      </c>
      <c r="F174" s="15" t="s">
        <v>22</v>
      </c>
      <c r="G174" s="17">
        <v>2.0</v>
      </c>
      <c r="H174" s="18" t="s">
        <v>23</v>
      </c>
      <c r="I174" s="19">
        <v>11.8973</v>
      </c>
      <c r="J174" s="20">
        <v>618.0892</v>
      </c>
      <c r="K174" s="20">
        <v>6.227</v>
      </c>
      <c r="L174" s="20">
        <v>0.018</v>
      </c>
      <c r="M174" s="20">
        <v>136.81</v>
      </c>
      <c r="N174" s="20">
        <v>29.338</v>
      </c>
      <c r="O174" s="20">
        <v>121.118</v>
      </c>
      <c r="P174" s="20">
        <v>30.83</v>
      </c>
      <c r="Q174" s="20">
        <v>79.787</v>
      </c>
      <c r="R174" s="27">
        <v>31.759</v>
      </c>
      <c r="S174" s="27">
        <v>136.78</v>
      </c>
      <c r="T174" s="24">
        <v>29.357</v>
      </c>
      <c r="U174" s="24">
        <v>121.132</v>
      </c>
      <c r="V174" s="24">
        <v>30.861</v>
      </c>
      <c r="W174" s="24">
        <v>79.957</v>
      </c>
      <c r="X174" s="24">
        <v>31.98</v>
      </c>
      <c r="Y174" s="24">
        <v>136.839</v>
      </c>
      <c r="Z174" s="24">
        <v>29.262</v>
      </c>
      <c r="AA174" s="24">
        <v>121.161</v>
      </c>
      <c r="AB174" s="24">
        <v>30.776</v>
      </c>
      <c r="AC174" s="24">
        <v>79.799</v>
      </c>
      <c r="AD174" s="24">
        <v>31.679</v>
      </c>
      <c r="AE174" s="21">
        <f t="shared" ref="AE174:AF174" si="517">(M174+S174+Y174)/3</f>
        <v>136.8096667</v>
      </c>
      <c r="AF174" s="21">
        <f t="shared" si="517"/>
        <v>29.319</v>
      </c>
      <c r="AG174" s="21">
        <f t="shared" ref="AG174:AH174" si="518">(AA174+U174+O174)/3</f>
        <v>121.137</v>
      </c>
      <c r="AH174" s="21">
        <f t="shared" si="518"/>
        <v>30.82233333</v>
      </c>
      <c r="AI174" s="21">
        <f t="shared" ref="AI174:AJ174" si="519">(Q174+W174+AC174)/3</f>
        <v>79.84766667</v>
      </c>
      <c r="AJ174" s="21">
        <f t="shared" si="519"/>
        <v>31.806</v>
      </c>
    </row>
    <row r="175">
      <c r="A175" s="13" t="s">
        <v>19</v>
      </c>
      <c r="B175" s="13" t="s">
        <v>20</v>
      </c>
      <c r="C175" s="14">
        <v>45482.0</v>
      </c>
      <c r="D175" s="15" t="s">
        <v>25</v>
      </c>
      <c r="E175" s="16">
        <v>8.2</v>
      </c>
      <c r="F175" s="15" t="s">
        <v>22</v>
      </c>
      <c r="G175" s="17">
        <v>2.0</v>
      </c>
      <c r="H175" s="18" t="s">
        <v>23</v>
      </c>
      <c r="I175" s="19">
        <v>12.1076</v>
      </c>
      <c r="J175" s="20">
        <v>680.1441</v>
      </c>
      <c r="K175" s="20">
        <v>4.994</v>
      </c>
      <c r="L175" s="20">
        <v>0.008</v>
      </c>
      <c r="M175" s="20">
        <v>141.48</v>
      </c>
      <c r="N175" s="20">
        <v>26.404</v>
      </c>
      <c r="O175" s="20">
        <v>126.231</v>
      </c>
      <c r="P175" s="20">
        <v>28.352</v>
      </c>
      <c r="Q175" s="20">
        <v>90.163</v>
      </c>
      <c r="R175" s="27">
        <v>30.584</v>
      </c>
      <c r="S175" s="27">
        <v>141.474</v>
      </c>
      <c r="T175" s="24">
        <v>26.488</v>
      </c>
      <c r="U175" s="24">
        <v>126.266</v>
      </c>
      <c r="V175" s="24">
        <v>28.414</v>
      </c>
      <c r="W175" s="24">
        <v>90.336</v>
      </c>
      <c r="X175" s="24">
        <v>30.699</v>
      </c>
      <c r="Y175" s="24">
        <v>141.484</v>
      </c>
      <c r="Z175" s="24">
        <v>26.494</v>
      </c>
      <c r="AA175" s="24">
        <v>126.296</v>
      </c>
      <c r="AB175" s="24">
        <v>28.442</v>
      </c>
      <c r="AC175" s="24">
        <v>90.429</v>
      </c>
      <c r="AD175" s="24">
        <v>30.817</v>
      </c>
      <c r="AE175" s="21">
        <f t="shared" ref="AE175:AF175" si="520">(M175+S175+Y175)/3</f>
        <v>141.4793333</v>
      </c>
      <c r="AF175" s="21">
        <f t="shared" si="520"/>
        <v>26.462</v>
      </c>
      <c r="AG175" s="21">
        <f t="shared" ref="AG175:AH175" si="521">(AA175+U175+O175)/3</f>
        <v>126.2643333</v>
      </c>
      <c r="AH175" s="21">
        <f t="shared" si="521"/>
        <v>28.40266667</v>
      </c>
      <c r="AI175" s="21">
        <f t="shared" ref="AI175:AJ175" si="522">(Q175+W175+AC175)/3</f>
        <v>90.30933333</v>
      </c>
      <c r="AJ175" s="21">
        <f t="shared" si="522"/>
        <v>30.7</v>
      </c>
    </row>
    <row r="176">
      <c r="A176" s="13" t="s">
        <v>19</v>
      </c>
      <c r="B176" s="13" t="s">
        <v>20</v>
      </c>
      <c r="C176" s="14">
        <v>45482.0</v>
      </c>
      <c r="D176" s="15" t="s">
        <v>25</v>
      </c>
      <c r="E176" s="16">
        <v>8.3</v>
      </c>
      <c r="F176" s="15" t="s">
        <v>22</v>
      </c>
      <c r="G176" s="17">
        <v>2.0</v>
      </c>
      <c r="H176" s="18" t="s">
        <v>23</v>
      </c>
      <c r="I176" s="19">
        <v>9.6731</v>
      </c>
      <c r="J176" s="20">
        <v>642.0631</v>
      </c>
      <c r="K176" s="20">
        <v>3.905</v>
      </c>
      <c r="L176" s="20">
        <v>0.014</v>
      </c>
      <c r="M176" s="20">
        <v>138.46</v>
      </c>
      <c r="N176" s="20">
        <v>29.512</v>
      </c>
      <c r="O176" s="20">
        <v>129.891</v>
      </c>
      <c r="P176" s="20">
        <v>30.525</v>
      </c>
      <c r="Q176" s="20">
        <v>94.396</v>
      </c>
      <c r="R176" s="27">
        <v>32.572</v>
      </c>
      <c r="S176" s="27">
        <v>138.637</v>
      </c>
      <c r="T176" s="24">
        <v>28.718</v>
      </c>
      <c r="U176" s="24">
        <v>129.915</v>
      </c>
      <c r="V176" s="24">
        <v>29.848</v>
      </c>
      <c r="W176" s="24">
        <v>93.867</v>
      </c>
      <c r="X176" s="24">
        <v>31.737</v>
      </c>
      <c r="Y176" s="24">
        <v>137.943</v>
      </c>
      <c r="Z176" s="24">
        <v>29.747</v>
      </c>
      <c r="AA176" s="24">
        <v>129.367</v>
      </c>
      <c r="AB176" s="24">
        <v>30.552</v>
      </c>
      <c r="AC176" s="24">
        <v>93.781</v>
      </c>
      <c r="AD176" s="24">
        <v>31.909</v>
      </c>
      <c r="AE176" s="21">
        <f t="shared" ref="AE176:AF176" si="523">(M176+S176+Y176)/3</f>
        <v>138.3466667</v>
      </c>
      <c r="AF176" s="21">
        <f t="shared" si="523"/>
        <v>29.32566667</v>
      </c>
      <c r="AG176" s="21">
        <f t="shared" ref="AG176:AH176" si="524">(AA176+U176+O176)/3</f>
        <v>129.7243333</v>
      </c>
      <c r="AH176" s="21">
        <f t="shared" si="524"/>
        <v>30.30833333</v>
      </c>
      <c r="AI176" s="21">
        <f t="shared" ref="AI176:AJ176" si="525">(Q176+W176+AC176)/3</f>
        <v>94.01466667</v>
      </c>
      <c r="AJ176" s="21">
        <f t="shared" si="525"/>
        <v>32.07266667</v>
      </c>
    </row>
    <row r="177">
      <c r="A177" s="13" t="s">
        <v>19</v>
      </c>
      <c r="B177" s="13" t="s">
        <v>20</v>
      </c>
      <c r="C177" s="14">
        <v>45482.0</v>
      </c>
      <c r="D177" s="15" t="s">
        <v>25</v>
      </c>
      <c r="E177" s="16">
        <v>8.4</v>
      </c>
      <c r="F177" s="15" t="s">
        <v>22</v>
      </c>
      <c r="G177" s="17">
        <v>2.0</v>
      </c>
      <c r="H177" s="18" t="s">
        <v>23</v>
      </c>
      <c r="I177" s="19">
        <v>12.0196</v>
      </c>
      <c r="J177" s="20">
        <v>724.011</v>
      </c>
      <c r="K177" s="20">
        <v>6.524</v>
      </c>
      <c r="L177" s="20">
        <v>0.021</v>
      </c>
      <c r="M177" s="20">
        <v>139.38</v>
      </c>
      <c r="N177" s="20">
        <v>33.413</v>
      </c>
      <c r="O177" s="20">
        <v>121.498</v>
      </c>
      <c r="P177" s="20">
        <v>34.466</v>
      </c>
      <c r="Q177" s="20">
        <v>79.498</v>
      </c>
      <c r="R177" s="20">
        <v>33.46</v>
      </c>
      <c r="S177" s="20">
        <v>139.067</v>
      </c>
      <c r="T177" s="24">
        <v>33.635</v>
      </c>
      <c r="U177" s="24">
        <v>121.138</v>
      </c>
      <c r="V177" s="24">
        <v>34.546</v>
      </c>
      <c r="W177" s="24">
        <v>79.102</v>
      </c>
      <c r="X177" s="24">
        <v>33.184</v>
      </c>
      <c r="Y177" s="24">
        <v>139.352</v>
      </c>
      <c r="Z177" s="24">
        <v>33.332</v>
      </c>
      <c r="AA177" s="24">
        <v>121.394</v>
      </c>
      <c r="AB177" s="24">
        <v>34.387</v>
      </c>
      <c r="AC177" s="24">
        <v>79.224</v>
      </c>
      <c r="AD177" s="24">
        <v>33.269</v>
      </c>
      <c r="AE177" s="21">
        <f t="shared" ref="AE177:AF177" si="526">(M177+S177+Y177)/3</f>
        <v>139.2663333</v>
      </c>
      <c r="AF177" s="21">
        <f t="shared" si="526"/>
        <v>33.46</v>
      </c>
      <c r="AG177" s="21">
        <f t="shared" ref="AG177:AH177" si="527">(AA177+U177+O177)/3</f>
        <v>121.3433333</v>
      </c>
      <c r="AH177" s="21">
        <f t="shared" si="527"/>
        <v>34.46633333</v>
      </c>
      <c r="AI177" s="21">
        <f t="shared" ref="AI177:AJ177" si="528">(Q177+W177+AC177)/3</f>
        <v>79.27466667</v>
      </c>
      <c r="AJ177" s="21">
        <f t="shared" si="528"/>
        <v>33.30433333</v>
      </c>
    </row>
    <row r="178">
      <c r="A178" s="13" t="s">
        <v>19</v>
      </c>
      <c r="B178" s="13" t="s">
        <v>20</v>
      </c>
      <c r="C178" s="14">
        <v>45482.0</v>
      </c>
      <c r="D178" s="15" t="s">
        <v>25</v>
      </c>
      <c r="E178" s="16">
        <v>9.1</v>
      </c>
      <c r="F178" s="15" t="s">
        <v>22</v>
      </c>
      <c r="G178" s="17">
        <v>2.0</v>
      </c>
      <c r="H178" s="18" t="s">
        <v>23</v>
      </c>
      <c r="I178" s="19">
        <v>11.12</v>
      </c>
      <c r="J178" s="20">
        <v>612.2224</v>
      </c>
      <c r="K178" s="20">
        <v>5.932</v>
      </c>
      <c r="L178" s="20">
        <v>0.023</v>
      </c>
      <c r="M178" s="20">
        <v>140.799</v>
      </c>
      <c r="N178" s="20">
        <v>30.786</v>
      </c>
      <c r="O178" s="20">
        <v>127.735</v>
      </c>
      <c r="P178" s="20">
        <v>31.889</v>
      </c>
      <c r="Q178" s="20">
        <v>89.489</v>
      </c>
      <c r="R178" s="27">
        <v>32.012</v>
      </c>
      <c r="S178" s="27">
        <v>141.069</v>
      </c>
      <c r="T178" s="24">
        <v>30.775</v>
      </c>
      <c r="U178" s="24">
        <v>128.049</v>
      </c>
      <c r="V178" s="24">
        <v>31.949</v>
      </c>
      <c r="W178" s="24">
        <v>89.893</v>
      </c>
      <c r="X178" s="24">
        <v>32.326</v>
      </c>
      <c r="Y178" s="24">
        <v>141.192</v>
      </c>
      <c r="Z178" s="24">
        <v>30.928</v>
      </c>
      <c r="AA178" s="24">
        <v>128.205</v>
      </c>
      <c r="AB178" s="24">
        <v>32.146</v>
      </c>
      <c r="AC178" s="24">
        <v>90.197</v>
      </c>
      <c r="AD178" s="24">
        <v>32.676</v>
      </c>
      <c r="AE178" s="21">
        <f t="shared" ref="AE178:AF178" si="529">(M178+S178+Y178)/3</f>
        <v>141.02</v>
      </c>
      <c r="AF178" s="21">
        <f t="shared" si="529"/>
        <v>30.82966667</v>
      </c>
      <c r="AG178" s="21">
        <f t="shared" ref="AG178:AH178" si="530">(AA178+U178+O178)/3</f>
        <v>127.9963333</v>
      </c>
      <c r="AH178" s="21">
        <f t="shared" si="530"/>
        <v>31.99466667</v>
      </c>
      <c r="AI178" s="21">
        <f t="shared" ref="AI178:AJ178" si="531">(Q178+W178+AC178)/3</f>
        <v>89.85966667</v>
      </c>
      <c r="AJ178" s="21">
        <f t="shared" si="531"/>
        <v>32.338</v>
      </c>
    </row>
    <row r="179">
      <c r="A179" s="13" t="s">
        <v>19</v>
      </c>
      <c r="B179" s="13" t="s">
        <v>20</v>
      </c>
      <c r="C179" s="14">
        <v>45482.0</v>
      </c>
      <c r="D179" s="15" t="s">
        <v>25</v>
      </c>
      <c r="E179" s="16">
        <v>9.2</v>
      </c>
      <c r="F179" s="15" t="s">
        <v>22</v>
      </c>
      <c r="G179" s="17">
        <v>2.0</v>
      </c>
      <c r="H179" s="18" t="s">
        <v>23</v>
      </c>
      <c r="I179" s="19">
        <v>10.0459</v>
      </c>
      <c r="J179" s="20">
        <v>606.0825</v>
      </c>
      <c r="K179" s="20">
        <v>3.097</v>
      </c>
      <c r="L179" s="20">
        <v>0.008</v>
      </c>
      <c r="M179" s="20">
        <v>144.428</v>
      </c>
      <c r="N179" s="20">
        <v>25.922</v>
      </c>
      <c r="O179" s="20">
        <v>134.586</v>
      </c>
      <c r="P179" s="20">
        <v>26.521</v>
      </c>
      <c r="Q179" s="20">
        <v>99.663</v>
      </c>
      <c r="R179" s="27">
        <v>28.978</v>
      </c>
      <c r="S179" s="27">
        <v>144.756</v>
      </c>
      <c r="T179" s="24">
        <v>26.115</v>
      </c>
      <c r="U179" s="24">
        <v>135.044</v>
      </c>
      <c r="V179" s="24">
        <v>26.832</v>
      </c>
      <c r="W179" s="24">
        <v>100.422</v>
      </c>
      <c r="X179" s="24">
        <v>29.625</v>
      </c>
      <c r="Y179" s="24">
        <v>144.565</v>
      </c>
      <c r="Z179" s="24">
        <v>26.19</v>
      </c>
      <c r="AA179" s="24">
        <v>134.763</v>
      </c>
      <c r="AB179" s="24">
        <v>26.817</v>
      </c>
      <c r="AC179" s="24">
        <v>99.822</v>
      </c>
      <c r="AD179" s="24">
        <v>29.295</v>
      </c>
      <c r="AE179" s="21">
        <f t="shared" ref="AE179:AF179" si="532">(M179+S179+Y179)/3</f>
        <v>144.583</v>
      </c>
      <c r="AF179" s="21">
        <f t="shared" si="532"/>
        <v>26.07566667</v>
      </c>
      <c r="AG179" s="21">
        <f t="shared" ref="AG179:AH179" si="533">(AA179+U179+O179)/3</f>
        <v>134.7976667</v>
      </c>
      <c r="AH179" s="21">
        <f t="shared" si="533"/>
        <v>26.72333333</v>
      </c>
      <c r="AI179" s="21">
        <f t="shared" ref="AI179:AJ179" si="534">(Q179+W179+AC179)/3</f>
        <v>99.969</v>
      </c>
      <c r="AJ179" s="21">
        <f t="shared" si="534"/>
        <v>29.29933333</v>
      </c>
    </row>
    <row r="180">
      <c r="A180" s="13" t="s">
        <v>19</v>
      </c>
      <c r="B180" s="13" t="s">
        <v>20</v>
      </c>
      <c r="C180" s="14">
        <v>45482.0</v>
      </c>
      <c r="D180" s="15" t="s">
        <v>25</v>
      </c>
      <c r="E180" s="16">
        <v>9.3</v>
      </c>
      <c r="F180" s="15" t="s">
        <v>22</v>
      </c>
      <c r="G180" s="17">
        <v>2.0</v>
      </c>
      <c r="H180" s="18" t="s">
        <v>23</v>
      </c>
      <c r="I180" s="19">
        <v>9.4132</v>
      </c>
      <c r="J180" s="20">
        <v>722.0692</v>
      </c>
      <c r="K180" s="20">
        <v>3.736</v>
      </c>
      <c r="L180" s="20">
        <v>0.022</v>
      </c>
      <c r="M180" s="20">
        <v>142.201</v>
      </c>
      <c r="N180" s="20">
        <v>27.409</v>
      </c>
      <c r="O180" s="20">
        <v>130.941</v>
      </c>
      <c r="P180" s="20">
        <v>27.698</v>
      </c>
      <c r="Q180" s="20">
        <v>92.378</v>
      </c>
      <c r="R180" s="27">
        <v>29.219</v>
      </c>
      <c r="S180" s="27">
        <v>142.094</v>
      </c>
      <c r="T180" s="24">
        <v>26.903</v>
      </c>
      <c r="U180" s="24">
        <v>130.79</v>
      </c>
      <c r="V180" s="24">
        <v>27.218</v>
      </c>
      <c r="W180" s="24">
        <v>92.048</v>
      </c>
      <c r="X180" s="24">
        <v>28.66</v>
      </c>
      <c r="Y180" s="24">
        <v>142.342</v>
      </c>
      <c r="Z180" s="24">
        <v>27.067</v>
      </c>
      <c r="AA180" s="24">
        <v>131.074</v>
      </c>
      <c r="AB180" s="24">
        <v>28.449</v>
      </c>
      <c r="AC180" s="24">
        <v>92.467</v>
      </c>
      <c r="AD180" s="24">
        <v>29.227</v>
      </c>
      <c r="AE180" s="21">
        <f t="shared" ref="AE180:AF180" si="535">(M180+S180+Y180)/3</f>
        <v>142.2123333</v>
      </c>
      <c r="AF180" s="21">
        <f t="shared" si="535"/>
        <v>27.12633333</v>
      </c>
      <c r="AG180" s="21">
        <f t="shared" ref="AG180:AH180" si="536">(AA180+U180+O180)/3</f>
        <v>130.935</v>
      </c>
      <c r="AH180" s="21">
        <f t="shared" si="536"/>
        <v>27.78833333</v>
      </c>
      <c r="AI180" s="21">
        <f t="shared" ref="AI180:AJ180" si="537">(Q180+W180+AC180)/3</f>
        <v>92.29766667</v>
      </c>
      <c r="AJ180" s="21">
        <f t="shared" si="537"/>
        <v>29.03533333</v>
      </c>
    </row>
    <row r="181">
      <c r="A181" s="13" t="s">
        <v>19</v>
      </c>
      <c r="B181" s="13" t="s">
        <v>20</v>
      </c>
      <c r="C181" s="14">
        <v>45482.0</v>
      </c>
      <c r="D181" s="15" t="s">
        <v>25</v>
      </c>
      <c r="E181" s="16">
        <v>9.4</v>
      </c>
      <c r="F181" s="15" t="s">
        <v>22</v>
      </c>
      <c r="G181" s="17">
        <v>2.0</v>
      </c>
      <c r="H181" s="18" t="s">
        <v>23</v>
      </c>
      <c r="I181" s="19">
        <v>9.5574</v>
      </c>
      <c r="J181" s="20">
        <v>726.2754</v>
      </c>
      <c r="K181" s="20">
        <v>4.164</v>
      </c>
      <c r="L181" s="20">
        <v>0.011</v>
      </c>
      <c r="M181" s="20">
        <v>118.587</v>
      </c>
      <c r="N181" s="20">
        <v>30.97</v>
      </c>
      <c r="O181" s="20">
        <v>104.255</v>
      </c>
      <c r="P181" s="20">
        <v>32.724</v>
      </c>
      <c r="Q181" s="20">
        <v>70.064</v>
      </c>
      <c r="R181" s="20">
        <v>31.934</v>
      </c>
      <c r="S181" s="20">
        <v>118.681</v>
      </c>
      <c r="T181" s="24">
        <v>31.037</v>
      </c>
      <c r="U181" s="24">
        <v>104.433</v>
      </c>
      <c r="V181" s="24">
        <v>32.802</v>
      </c>
      <c r="W181" s="24">
        <v>70.425</v>
      </c>
      <c r="X181" s="24">
        <v>32.133</v>
      </c>
      <c r="Y181" s="24">
        <v>118.494</v>
      </c>
      <c r="Z181" s="24">
        <v>30.515</v>
      </c>
      <c r="AA181" s="24">
        <v>104.065</v>
      </c>
      <c r="AB181" s="24">
        <v>32.149</v>
      </c>
      <c r="AC181" s="24">
        <v>69.586</v>
      </c>
      <c r="AD181" s="24">
        <v>30.96</v>
      </c>
      <c r="AE181" s="21">
        <f t="shared" ref="AE181:AF181" si="538">(M181+S181+Y181)/3</f>
        <v>118.5873333</v>
      </c>
      <c r="AF181" s="21">
        <f t="shared" si="538"/>
        <v>30.84066667</v>
      </c>
      <c r="AG181" s="21">
        <f t="shared" ref="AG181:AH181" si="539">(AA181+U181+O181)/3</f>
        <v>104.251</v>
      </c>
      <c r="AH181" s="21">
        <f t="shared" si="539"/>
        <v>32.55833333</v>
      </c>
      <c r="AI181" s="21">
        <f t="shared" ref="AI181:AJ181" si="540">(Q181+W181+AC181)/3</f>
        <v>70.025</v>
      </c>
      <c r="AJ181" s="21">
        <f t="shared" si="540"/>
        <v>31.67566667</v>
      </c>
    </row>
    <row r="182">
      <c r="A182" s="13" t="s">
        <v>19</v>
      </c>
      <c r="B182" s="13" t="s">
        <v>20</v>
      </c>
      <c r="C182" s="14">
        <v>45502.0</v>
      </c>
      <c r="D182" s="15" t="s">
        <v>21</v>
      </c>
      <c r="E182" s="16">
        <v>7.1</v>
      </c>
      <c r="F182" s="15" t="s">
        <v>22</v>
      </c>
      <c r="G182" s="17">
        <v>2.0</v>
      </c>
      <c r="H182" s="18" t="s">
        <v>26</v>
      </c>
      <c r="I182" s="19">
        <v>9.8601</v>
      </c>
      <c r="J182" s="24">
        <v>564.2951</v>
      </c>
      <c r="K182" s="24">
        <v>6.191</v>
      </c>
      <c r="L182" s="24">
        <v>0.044</v>
      </c>
      <c r="M182" s="24">
        <v>117.942</v>
      </c>
      <c r="N182" s="24">
        <v>39.802</v>
      </c>
      <c r="O182" s="24">
        <v>94.319</v>
      </c>
      <c r="P182" s="24">
        <v>41.571</v>
      </c>
      <c r="Q182" s="24">
        <v>63.666</v>
      </c>
      <c r="R182" s="24">
        <v>36.486</v>
      </c>
      <c r="S182" s="24">
        <v>117.843</v>
      </c>
      <c r="T182" s="24">
        <v>39.513</v>
      </c>
      <c r="U182" s="24">
        <v>94.183</v>
      </c>
      <c r="V182" s="24">
        <v>41.2206</v>
      </c>
      <c r="W182" s="24">
        <v>63.414</v>
      </c>
      <c r="X182" s="24">
        <v>35.787</v>
      </c>
      <c r="Y182" s="24">
        <v>117.441</v>
      </c>
      <c r="Z182" s="24">
        <v>39.177</v>
      </c>
      <c r="AA182" s="24">
        <v>93.625</v>
      </c>
      <c r="AB182" s="24">
        <v>40.713</v>
      </c>
      <c r="AC182" s="24">
        <v>62.821</v>
      </c>
      <c r="AD182" s="24">
        <v>35.165</v>
      </c>
      <c r="AE182" s="21">
        <f t="shared" ref="AE182:AF182" si="541">(M182+S182+Y182)/3</f>
        <v>117.742</v>
      </c>
      <c r="AF182" s="21">
        <f t="shared" si="541"/>
        <v>39.49733333</v>
      </c>
      <c r="AG182" s="21">
        <f t="shared" ref="AG182:AH182" si="542">(AA182+U182+O182)/3</f>
        <v>94.04233333</v>
      </c>
      <c r="AH182" s="21">
        <f t="shared" si="542"/>
        <v>41.1682</v>
      </c>
      <c r="AI182" s="21">
        <f t="shared" ref="AI182:AJ182" si="543">(Q182+W182+AC182)/3</f>
        <v>63.30033333</v>
      </c>
      <c r="AJ182" s="21">
        <f t="shared" si="543"/>
        <v>35.81266667</v>
      </c>
    </row>
    <row r="183">
      <c r="A183" s="13" t="s">
        <v>19</v>
      </c>
      <c r="B183" s="13" t="s">
        <v>20</v>
      </c>
      <c r="C183" s="14">
        <v>45502.0</v>
      </c>
      <c r="D183" s="15" t="s">
        <v>21</v>
      </c>
      <c r="E183" s="16">
        <v>7.2</v>
      </c>
      <c r="F183" s="15" t="s">
        <v>22</v>
      </c>
      <c r="G183" s="17">
        <v>2.0</v>
      </c>
      <c r="H183" s="18" t="s">
        <v>26</v>
      </c>
      <c r="I183" s="19">
        <v>10.634</v>
      </c>
      <c r="J183" s="27">
        <v>707.0078</v>
      </c>
      <c r="K183" s="27">
        <v>3.78</v>
      </c>
      <c r="L183" s="27">
        <v>0.013</v>
      </c>
      <c r="M183" s="27">
        <v>105.574</v>
      </c>
      <c r="N183" s="27">
        <v>38.189</v>
      </c>
      <c r="O183" s="27">
        <v>84.214</v>
      </c>
      <c r="P183" s="27">
        <v>37.431</v>
      </c>
      <c r="Q183" s="27">
        <v>51.473</v>
      </c>
      <c r="R183" s="27">
        <v>30.468</v>
      </c>
      <c r="S183" s="27">
        <v>105.718</v>
      </c>
      <c r="T183" s="24">
        <v>38.287</v>
      </c>
      <c r="U183" s="24">
        <v>84.423</v>
      </c>
      <c r="V183" s="24">
        <v>37.588</v>
      </c>
      <c r="W183" s="24">
        <v>51.723</v>
      </c>
      <c r="X183" s="24">
        <v>30.726</v>
      </c>
      <c r="Y183" s="24">
        <v>106.117</v>
      </c>
      <c r="Z183" s="24">
        <v>38.457</v>
      </c>
      <c r="AA183" s="24">
        <v>84.95</v>
      </c>
      <c r="AB183" s="24">
        <v>37.913</v>
      </c>
      <c r="AC183" s="24">
        <v>52.21</v>
      </c>
      <c r="AD183" s="24">
        <v>31.223</v>
      </c>
      <c r="AE183" s="21">
        <f t="shared" ref="AE183:AF183" si="544">(M183+S183+Y183)/3</f>
        <v>105.803</v>
      </c>
      <c r="AF183" s="21">
        <f t="shared" si="544"/>
        <v>38.311</v>
      </c>
      <c r="AG183" s="21">
        <f t="shared" ref="AG183:AH183" si="545">(AA183+U183+O183)/3</f>
        <v>84.529</v>
      </c>
      <c r="AH183" s="21">
        <f t="shared" si="545"/>
        <v>37.644</v>
      </c>
      <c r="AI183" s="21">
        <f t="shared" ref="AI183:AJ183" si="546">(Q183+W183+AC183)/3</f>
        <v>51.802</v>
      </c>
      <c r="AJ183" s="21">
        <f t="shared" si="546"/>
        <v>30.80566667</v>
      </c>
    </row>
    <row r="184">
      <c r="A184" s="13" t="s">
        <v>19</v>
      </c>
      <c r="B184" s="13" t="s">
        <v>20</v>
      </c>
      <c r="C184" s="14">
        <v>45502.0</v>
      </c>
      <c r="D184" s="15" t="s">
        <v>21</v>
      </c>
      <c r="E184" s="16">
        <v>7.3</v>
      </c>
      <c r="F184" s="15" t="s">
        <v>22</v>
      </c>
      <c r="G184" s="17">
        <v>2.0</v>
      </c>
      <c r="H184" s="18" t="s">
        <v>26</v>
      </c>
      <c r="I184" s="19">
        <v>12.5144</v>
      </c>
      <c r="J184" s="27">
        <v>670.9764</v>
      </c>
      <c r="K184" s="27">
        <v>5.461</v>
      </c>
      <c r="L184" s="27">
        <v>0.031</v>
      </c>
      <c r="M184" s="27">
        <v>111.217</v>
      </c>
      <c r="N184" s="27">
        <v>36.362</v>
      </c>
      <c r="O184" s="27">
        <v>91.586</v>
      </c>
      <c r="P184" s="27">
        <v>37.93</v>
      </c>
      <c r="Q184" s="27">
        <v>52.26</v>
      </c>
      <c r="R184" s="27">
        <v>31.299</v>
      </c>
      <c r="S184" s="27">
        <v>110.796</v>
      </c>
      <c r="T184" s="24">
        <v>35.809</v>
      </c>
      <c r="U184" s="24">
        <v>91.085</v>
      </c>
      <c r="V184" s="24">
        <v>37.151</v>
      </c>
      <c r="W184" s="24">
        <v>51.679</v>
      </c>
      <c r="X184" s="24">
        <v>29.905</v>
      </c>
      <c r="Y184" s="24">
        <v>110.778</v>
      </c>
      <c r="Z184" s="24">
        <v>35.646</v>
      </c>
      <c r="AA184" s="24">
        <v>91.09</v>
      </c>
      <c r="AB184" s="24">
        <v>37.008</v>
      </c>
      <c r="AC184" s="24">
        <v>51.653</v>
      </c>
      <c r="AD184" s="24">
        <v>29.705</v>
      </c>
      <c r="AE184" s="21">
        <f t="shared" ref="AE184:AF184" si="547">(M184+S184+Y184)/3</f>
        <v>110.9303333</v>
      </c>
      <c r="AF184" s="21">
        <f t="shared" si="547"/>
        <v>35.939</v>
      </c>
      <c r="AG184" s="21">
        <f t="shared" ref="AG184:AH184" si="548">(AA184+U184+O184)/3</f>
        <v>91.25366667</v>
      </c>
      <c r="AH184" s="21">
        <f t="shared" si="548"/>
        <v>37.363</v>
      </c>
      <c r="AI184" s="21">
        <f t="shared" ref="AI184:AJ184" si="549">(Q184+W184+AC184)/3</f>
        <v>51.864</v>
      </c>
      <c r="AJ184" s="21">
        <f t="shared" si="549"/>
        <v>30.303</v>
      </c>
    </row>
    <row r="185">
      <c r="A185" s="13" t="s">
        <v>19</v>
      </c>
      <c r="B185" s="13" t="s">
        <v>20</v>
      </c>
      <c r="C185" s="14">
        <v>45502.0</v>
      </c>
      <c r="D185" s="15" t="s">
        <v>21</v>
      </c>
      <c r="E185" s="16">
        <v>7.4</v>
      </c>
      <c r="F185" s="15" t="s">
        <v>22</v>
      </c>
      <c r="G185" s="17">
        <v>2.0</v>
      </c>
      <c r="H185" s="18" t="s">
        <v>26</v>
      </c>
      <c r="I185" s="19">
        <v>10.695</v>
      </c>
      <c r="J185" s="27">
        <v>653.4906</v>
      </c>
      <c r="K185" s="27">
        <v>4.67</v>
      </c>
      <c r="L185" s="27">
        <v>0.021</v>
      </c>
      <c r="M185" s="27">
        <v>132.653</v>
      </c>
      <c r="N185" s="27">
        <v>34.809</v>
      </c>
      <c r="O185" s="27">
        <v>118.058</v>
      </c>
      <c r="P185" s="27">
        <v>34.579</v>
      </c>
      <c r="Q185" s="27">
        <v>93.411</v>
      </c>
      <c r="R185" s="27">
        <v>33.098</v>
      </c>
      <c r="S185" s="27">
        <v>132.464</v>
      </c>
      <c r="T185" s="24">
        <v>34.353</v>
      </c>
      <c r="U185" s="24">
        <v>117.749</v>
      </c>
      <c r="V185" s="24">
        <v>34.019</v>
      </c>
      <c r="W185" s="24">
        <v>92.973</v>
      </c>
      <c r="X185" s="24">
        <v>32.516</v>
      </c>
      <c r="Y185" s="24">
        <v>132.553</v>
      </c>
      <c r="Z185" s="24">
        <v>34.948</v>
      </c>
      <c r="AA185" s="24">
        <v>118.05</v>
      </c>
      <c r="AB185" s="24">
        <v>34.722</v>
      </c>
      <c r="AC185" s="24">
        <v>93.672</v>
      </c>
      <c r="AD185" s="24">
        <v>33.363</v>
      </c>
      <c r="AE185" s="21">
        <f t="shared" ref="AE185:AF185" si="550">(M185+S185+Y185)/3</f>
        <v>132.5566667</v>
      </c>
      <c r="AF185" s="21">
        <f t="shared" si="550"/>
        <v>34.70333333</v>
      </c>
      <c r="AG185" s="21">
        <f t="shared" ref="AG185:AH185" si="551">(AA185+U185+O185)/3</f>
        <v>117.9523333</v>
      </c>
      <c r="AH185" s="21">
        <f t="shared" si="551"/>
        <v>34.44</v>
      </c>
      <c r="AI185" s="21">
        <f t="shared" ref="AI185:AJ185" si="552">(Q185+W185+AC185)/3</f>
        <v>93.352</v>
      </c>
      <c r="AJ185" s="21">
        <f t="shared" si="552"/>
        <v>32.99233333</v>
      </c>
    </row>
    <row r="186">
      <c r="A186" s="13" t="s">
        <v>19</v>
      </c>
      <c r="B186" s="13" t="s">
        <v>20</v>
      </c>
      <c r="C186" s="14">
        <v>45502.0</v>
      </c>
      <c r="D186" s="15" t="s">
        <v>21</v>
      </c>
      <c r="E186" s="16">
        <v>8.1</v>
      </c>
      <c r="F186" s="15" t="s">
        <v>22</v>
      </c>
      <c r="G186" s="17">
        <v>2.0</v>
      </c>
      <c r="H186" s="18" t="s">
        <v>26</v>
      </c>
      <c r="I186" s="19">
        <v>11.1872</v>
      </c>
      <c r="J186" s="27">
        <v>762.3321</v>
      </c>
      <c r="K186" s="27">
        <v>3.56</v>
      </c>
      <c r="L186" s="27">
        <v>0.015</v>
      </c>
      <c r="M186" s="27">
        <v>122.558</v>
      </c>
      <c r="N186" s="27">
        <v>29.636</v>
      </c>
      <c r="O186" s="27">
        <v>94.32</v>
      </c>
      <c r="P186" s="27">
        <v>32.313</v>
      </c>
      <c r="Q186" s="27">
        <v>54.276</v>
      </c>
      <c r="R186" s="27">
        <v>29.707</v>
      </c>
      <c r="S186" s="27">
        <v>122.303</v>
      </c>
      <c r="T186" s="24">
        <v>29.386</v>
      </c>
      <c r="U186" s="24">
        <v>94.169</v>
      </c>
      <c r="V186" s="24">
        <v>31.866</v>
      </c>
      <c r="W186" s="24">
        <v>54.161</v>
      </c>
      <c r="X186" s="24">
        <v>28.831</v>
      </c>
      <c r="Y186" s="24">
        <v>122.202</v>
      </c>
      <c r="Z186" s="24">
        <v>29.461</v>
      </c>
      <c r="AA186" s="24">
        <v>93.853</v>
      </c>
      <c r="AB186" s="24">
        <v>31.891</v>
      </c>
      <c r="AC186" s="24">
        <v>53.75</v>
      </c>
      <c r="AD186" s="24">
        <v>28.858</v>
      </c>
      <c r="AE186" s="21">
        <f t="shared" ref="AE186:AF186" si="553">(M186+S186+Y186)/3</f>
        <v>122.3543333</v>
      </c>
      <c r="AF186" s="21">
        <f t="shared" si="553"/>
        <v>29.49433333</v>
      </c>
      <c r="AG186" s="21">
        <f t="shared" ref="AG186:AH186" si="554">(AA186+U186+O186)/3</f>
        <v>94.114</v>
      </c>
      <c r="AH186" s="21">
        <f t="shared" si="554"/>
        <v>32.02333333</v>
      </c>
      <c r="AI186" s="21">
        <f t="shared" ref="AI186:AJ186" si="555">(Q186+W186+AC186)/3</f>
        <v>54.06233333</v>
      </c>
      <c r="AJ186" s="21">
        <f t="shared" si="555"/>
        <v>29.132</v>
      </c>
    </row>
    <row r="187">
      <c r="A187" s="13" t="s">
        <v>19</v>
      </c>
      <c r="B187" s="13" t="s">
        <v>20</v>
      </c>
      <c r="C187" s="14">
        <v>45502.0</v>
      </c>
      <c r="D187" s="15" t="s">
        <v>21</v>
      </c>
      <c r="E187" s="16">
        <v>8.2</v>
      </c>
      <c r="F187" s="15" t="s">
        <v>22</v>
      </c>
      <c r="G187" s="17">
        <v>2.0</v>
      </c>
      <c r="H187" s="18" t="s">
        <v>26</v>
      </c>
      <c r="I187" s="19">
        <v>11.0433</v>
      </c>
      <c r="J187" s="27">
        <v>752.4467</v>
      </c>
      <c r="K187" s="27">
        <v>3.933</v>
      </c>
      <c r="L187" s="27">
        <v>0.017</v>
      </c>
      <c r="M187" s="27">
        <v>163.222</v>
      </c>
      <c r="N187" s="27">
        <v>30.968</v>
      </c>
      <c r="O187" s="27">
        <v>133.527</v>
      </c>
      <c r="P187" s="27">
        <v>34.332</v>
      </c>
      <c r="Q187" s="27">
        <v>74.734</v>
      </c>
      <c r="R187" s="27">
        <v>35.085</v>
      </c>
      <c r="S187" s="27">
        <v>163.875</v>
      </c>
      <c r="T187" s="24">
        <v>30.896</v>
      </c>
      <c r="U187" s="24">
        <v>134.238</v>
      </c>
      <c r="V187" s="24">
        <v>34.69</v>
      </c>
      <c r="W187" s="24">
        <v>75.508</v>
      </c>
      <c r="X187" s="24">
        <v>36.015</v>
      </c>
      <c r="Y187" s="24">
        <v>164.024</v>
      </c>
      <c r="Z187" s="24">
        <v>31.323</v>
      </c>
      <c r="AA187" s="24">
        <v>134.545</v>
      </c>
      <c r="AB187" s="24">
        <v>35.096</v>
      </c>
      <c r="AC187" s="24">
        <v>76.108</v>
      </c>
      <c r="AD187" s="24">
        <v>36.969</v>
      </c>
      <c r="AE187" s="21">
        <f t="shared" ref="AE187:AF187" si="556">(M187+S187+Y187)/3</f>
        <v>163.707</v>
      </c>
      <c r="AF187" s="21">
        <f t="shared" si="556"/>
        <v>31.06233333</v>
      </c>
      <c r="AG187" s="21">
        <f t="shared" ref="AG187:AH187" si="557">(AA187+U187+O187)/3</f>
        <v>134.1033333</v>
      </c>
      <c r="AH187" s="21">
        <f t="shared" si="557"/>
        <v>34.706</v>
      </c>
      <c r="AI187" s="21">
        <f t="shared" ref="AI187:AJ187" si="558">(Q187+W187+AC187)/3</f>
        <v>75.45</v>
      </c>
      <c r="AJ187" s="21">
        <f t="shared" si="558"/>
        <v>36.023</v>
      </c>
    </row>
    <row r="188">
      <c r="A188" s="13" t="s">
        <v>19</v>
      </c>
      <c r="B188" s="13" t="s">
        <v>20</v>
      </c>
      <c r="C188" s="14">
        <v>45502.0</v>
      </c>
      <c r="D188" s="15" t="s">
        <v>21</v>
      </c>
      <c r="E188" s="16">
        <v>8.3</v>
      </c>
      <c r="F188" s="15" t="s">
        <v>22</v>
      </c>
      <c r="G188" s="17">
        <v>2.0</v>
      </c>
      <c r="H188" s="18" t="s">
        <v>26</v>
      </c>
      <c r="I188" s="19">
        <v>11.0313</v>
      </c>
      <c r="J188" s="27">
        <v>792.0051</v>
      </c>
      <c r="K188" s="27">
        <v>4.556</v>
      </c>
      <c r="L188" s="27">
        <v>0.025</v>
      </c>
      <c r="M188" s="27">
        <v>144.914</v>
      </c>
      <c r="N188" s="27">
        <v>36.717</v>
      </c>
      <c r="O188" s="27">
        <v>113.725</v>
      </c>
      <c r="P188" s="27">
        <v>38.649</v>
      </c>
      <c r="Q188" s="27">
        <v>70.232</v>
      </c>
      <c r="R188" s="27">
        <v>35.801</v>
      </c>
      <c r="S188" s="27">
        <v>145.102</v>
      </c>
      <c r="T188" s="24">
        <v>36.714</v>
      </c>
      <c r="U188" s="24">
        <v>113.867</v>
      </c>
      <c r="V188" s="24">
        <v>38.712</v>
      </c>
      <c r="W188" s="24">
        <v>70.332</v>
      </c>
      <c r="X188" s="24">
        <v>35.845</v>
      </c>
      <c r="Y188" s="24">
        <v>145.203</v>
      </c>
      <c r="Z188" s="24">
        <v>36.801</v>
      </c>
      <c r="AA188" s="24">
        <v>114.05</v>
      </c>
      <c r="AB188" s="24">
        <v>38.869</v>
      </c>
      <c r="AC188" s="24">
        <v>70.583</v>
      </c>
      <c r="AD188" s="24">
        <v>36.123</v>
      </c>
      <c r="AE188" s="21">
        <f t="shared" ref="AE188:AF188" si="559">(M188+S188+Y188)/3</f>
        <v>145.073</v>
      </c>
      <c r="AF188" s="21">
        <f t="shared" si="559"/>
        <v>36.744</v>
      </c>
      <c r="AG188" s="21">
        <f t="shared" ref="AG188:AH188" si="560">(AA188+U188+O188)/3</f>
        <v>113.8806667</v>
      </c>
      <c r="AH188" s="21">
        <f t="shared" si="560"/>
        <v>38.74333333</v>
      </c>
      <c r="AI188" s="21">
        <f t="shared" ref="AI188:AJ188" si="561">(Q188+W188+AC188)/3</f>
        <v>70.38233333</v>
      </c>
      <c r="AJ188" s="21">
        <f t="shared" si="561"/>
        <v>35.923</v>
      </c>
    </row>
    <row r="189">
      <c r="A189" s="13" t="s">
        <v>19</v>
      </c>
      <c r="B189" s="13" t="s">
        <v>20</v>
      </c>
      <c r="C189" s="14">
        <v>45502.0</v>
      </c>
      <c r="D189" s="15" t="s">
        <v>21</v>
      </c>
      <c r="E189" s="16">
        <v>8.4</v>
      </c>
      <c r="F189" s="15" t="s">
        <v>22</v>
      </c>
      <c r="G189" s="17">
        <v>2.0</v>
      </c>
      <c r="H189" s="18" t="s">
        <v>26</v>
      </c>
      <c r="I189" s="19">
        <v>9.703</v>
      </c>
      <c r="J189" s="27">
        <v>740.4244</v>
      </c>
      <c r="K189" s="27">
        <v>3.852</v>
      </c>
      <c r="L189" s="27">
        <v>0.027</v>
      </c>
      <c r="M189" s="27">
        <v>141.593</v>
      </c>
      <c r="N189" s="27">
        <v>36.358</v>
      </c>
      <c r="O189" s="27">
        <v>123.431</v>
      </c>
      <c r="P189" s="27">
        <v>27.357</v>
      </c>
      <c r="Q189" s="27">
        <v>91.492</v>
      </c>
      <c r="R189" s="27">
        <v>39.018</v>
      </c>
      <c r="S189" s="27">
        <v>141.513</v>
      </c>
      <c r="T189" s="24">
        <v>36.197</v>
      </c>
      <c r="U189" s="24">
        <v>123.462</v>
      </c>
      <c r="V189" s="24">
        <v>37.211</v>
      </c>
      <c r="W189" s="24">
        <v>91.666</v>
      </c>
      <c r="X189" s="24">
        <v>39.012</v>
      </c>
      <c r="Y189" s="24">
        <v>141.565</v>
      </c>
      <c r="Z189" s="24">
        <v>36.203</v>
      </c>
      <c r="AA189" s="24">
        <v>123.434</v>
      </c>
      <c r="AB189" s="24">
        <v>37.23</v>
      </c>
      <c r="AC189" s="24">
        <v>91.561</v>
      </c>
      <c r="AD189" s="24">
        <v>38.962</v>
      </c>
      <c r="AE189" s="21">
        <f t="shared" ref="AE189:AF189" si="562">(M189+S189+Y189)/3</f>
        <v>141.557</v>
      </c>
      <c r="AF189" s="21">
        <f t="shared" si="562"/>
        <v>36.25266667</v>
      </c>
      <c r="AG189" s="21">
        <f t="shared" ref="AG189:AH189" si="563">(AA189+U189+O189)/3</f>
        <v>123.4423333</v>
      </c>
      <c r="AH189" s="21">
        <f t="shared" si="563"/>
        <v>33.93266667</v>
      </c>
      <c r="AI189" s="21">
        <f t="shared" ref="AI189:AJ189" si="564">(Q189+W189+AC189)/3</f>
        <v>91.573</v>
      </c>
      <c r="AJ189" s="21">
        <f t="shared" si="564"/>
        <v>38.99733333</v>
      </c>
    </row>
    <row r="190">
      <c r="A190" s="13" t="s">
        <v>19</v>
      </c>
      <c r="B190" s="13" t="s">
        <v>20</v>
      </c>
      <c r="C190" s="14">
        <v>45502.0</v>
      </c>
      <c r="D190" s="15" t="s">
        <v>21</v>
      </c>
      <c r="E190" s="16">
        <v>9.1</v>
      </c>
      <c r="F190" s="15" t="s">
        <v>22</v>
      </c>
      <c r="G190" s="17">
        <v>2.0</v>
      </c>
      <c r="H190" s="18" t="s">
        <v>26</v>
      </c>
      <c r="I190" s="19">
        <v>10.5832</v>
      </c>
      <c r="J190" s="27">
        <v>876.0023</v>
      </c>
      <c r="K190" s="27">
        <v>2.77</v>
      </c>
      <c r="L190" s="27">
        <v>0.012</v>
      </c>
      <c r="M190" s="24">
        <v>171.712</v>
      </c>
      <c r="N190" s="27">
        <v>33.533</v>
      </c>
      <c r="O190" s="27">
        <v>147.836</v>
      </c>
      <c r="P190" s="27">
        <v>36.247</v>
      </c>
      <c r="Q190" s="27">
        <v>91.447</v>
      </c>
      <c r="R190" s="27">
        <v>37.435</v>
      </c>
      <c r="S190" s="27">
        <v>171.335</v>
      </c>
      <c r="T190" s="24">
        <v>33.655</v>
      </c>
      <c r="U190" s="24">
        <v>147.419</v>
      </c>
      <c r="V190" s="24">
        <v>36.156</v>
      </c>
      <c r="W190" s="24">
        <v>90.996</v>
      </c>
      <c r="X190" s="24">
        <v>36.921</v>
      </c>
      <c r="Y190" s="24">
        <v>172.048</v>
      </c>
      <c r="Z190" s="24">
        <v>33.49</v>
      </c>
      <c r="AA190" s="24">
        <v>148.174</v>
      </c>
      <c r="AB190" s="24">
        <v>36.327</v>
      </c>
      <c r="AC190" s="24">
        <v>91.743</v>
      </c>
      <c r="AD190" s="24">
        <v>37.787</v>
      </c>
      <c r="AE190" s="21">
        <f t="shared" ref="AE190:AF190" si="565">(M190+S190+Y190)/3</f>
        <v>171.6983333</v>
      </c>
      <c r="AF190" s="21">
        <f t="shared" si="565"/>
        <v>33.55933333</v>
      </c>
      <c r="AG190" s="21">
        <f t="shared" ref="AG190:AH190" si="566">(AA190+U190+O190)/3</f>
        <v>147.8096667</v>
      </c>
      <c r="AH190" s="21">
        <f t="shared" si="566"/>
        <v>36.24333333</v>
      </c>
      <c r="AI190" s="21">
        <f t="shared" ref="AI190:AJ190" si="567">(Q190+W190+AC190)/3</f>
        <v>91.39533333</v>
      </c>
      <c r="AJ190" s="21">
        <f t="shared" si="567"/>
        <v>37.381</v>
      </c>
    </row>
    <row r="191">
      <c r="A191" s="13" t="s">
        <v>19</v>
      </c>
      <c r="B191" s="13" t="s">
        <v>20</v>
      </c>
      <c r="C191" s="14">
        <v>45502.0</v>
      </c>
      <c r="D191" s="15" t="s">
        <v>21</v>
      </c>
      <c r="E191" s="16">
        <v>9.2</v>
      </c>
      <c r="F191" s="15" t="s">
        <v>22</v>
      </c>
      <c r="G191" s="17">
        <v>2.0</v>
      </c>
      <c r="H191" s="18" t="s">
        <v>26</v>
      </c>
      <c r="I191" s="19">
        <v>9.3315</v>
      </c>
      <c r="J191" s="27">
        <v>786.2544</v>
      </c>
      <c r="K191" s="27">
        <v>3.22</v>
      </c>
      <c r="L191" s="27">
        <v>0.015</v>
      </c>
      <c r="M191" s="27">
        <v>158.556</v>
      </c>
      <c r="N191" s="27">
        <v>30.528</v>
      </c>
      <c r="O191" s="27">
        <v>128.862</v>
      </c>
      <c r="P191" s="27">
        <v>32.646</v>
      </c>
      <c r="Q191" s="27">
        <v>77.392</v>
      </c>
      <c r="R191" s="27">
        <v>32.724</v>
      </c>
      <c r="S191" s="27">
        <v>158.743</v>
      </c>
      <c r="T191" s="24">
        <v>30.44</v>
      </c>
      <c r="U191" s="24">
        <v>128.798</v>
      </c>
      <c r="V191" s="24">
        <v>32.738</v>
      </c>
      <c r="W191" s="24">
        <v>76.953</v>
      </c>
      <c r="X191" s="24">
        <v>32.742</v>
      </c>
      <c r="Y191" s="24">
        <v>158.747</v>
      </c>
      <c r="Z191" s="24">
        <v>30.506</v>
      </c>
      <c r="AA191" s="24">
        <v>128.924</v>
      </c>
      <c r="AB191" s="24">
        <v>32.815</v>
      </c>
      <c r="AC191" s="24">
        <v>77.277</v>
      </c>
      <c r="AD191" s="24">
        <v>33.017</v>
      </c>
      <c r="AE191" s="21">
        <f t="shared" ref="AE191:AF191" si="568">(M191+S191+Y191)/3</f>
        <v>158.682</v>
      </c>
      <c r="AF191" s="21">
        <f t="shared" si="568"/>
        <v>30.49133333</v>
      </c>
      <c r="AG191" s="21">
        <f t="shared" ref="AG191:AH191" si="569">(AA191+U191+O191)/3</f>
        <v>128.8613333</v>
      </c>
      <c r="AH191" s="21">
        <f t="shared" si="569"/>
        <v>32.733</v>
      </c>
      <c r="AI191" s="21">
        <f t="shared" ref="AI191:AJ191" si="570">(Q191+W191+AC191)/3</f>
        <v>77.20733333</v>
      </c>
      <c r="AJ191" s="21">
        <f t="shared" si="570"/>
        <v>32.82766667</v>
      </c>
    </row>
    <row r="192">
      <c r="A192" s="13" t="s">
        <v>19</v>
      </c>
      <c r="B192" s="13" t="s">
        <v>20</v>
      </c>
      <c r="C192" s="14">
        <v>45502.0</v>
      </c>
      <c r="D192" s="15" t="s">
        <v>21</v>
      </c>
      <c r="E192" s="16">
        <v>9.3</v>
      </c>
      <c r="F192" s="15" t="s">
        <v>22</v>
      </c>
      <c r="G192" s="17">
        <v>2.0</v>
      </c>
      <c r="H192" s="18" t="s">
        <v>26</v>
      </c>
      <c r="I192" s="19">
        <v>10.9984</v>
      </c>
      <c r="J192" s="27">
        <v>734.4603</v>
      </c>
      <c r="K192" s="27">
        <v>3.728</v>
      </c>
      <c r="L192" s="27">
        <v>0.015</v>
      </c>
      <c r="M192" s="27">
        <v>165.908</v>
      </c>
      <c r="N192" s="27">
        <v>25.868</v>
      </c>
      <c r="O192" s="27">
        <v>140.678</v>
      </c>
      <c r="P192" s="27">
        <v>28.522</v>
      </c>
      <c r="Q192" s="27">
        <v>77.888</v>
      </c>
      <c r="R192" s="27">
        <v>31.382</v>
      </c>
      <c r="S192" s="27">
        <v>165.681</v>
      </c>
      <c r="T192" s="24">
        <v>26.376</v>
      </c>
      <c r="U192" s="24">
        <v>140.427</v>
      </c>
      <c r="V192" s="24">
        <v>28.721</v>
      </c>
      <c r="W192" s="24">
        <v>77.656</v>
      </c>
      <c r="X192" s="24">
        <v>31.034</v>
      </c>
      <c r="Y192" s="24">
        <v>165.842</v>
      </c>
      <c r="Z192" s="24">
        <v>25.7</v>
      </c>
      <c r="AA192" s="24">
        <v>140.634</v>
      </c>
      <c r="AB192" s="24">
        <v>28.252</v>
      </c>
      <c r="AC192" s="24">
        <v>77.813</v>
      </c>
      <c r="AD192" s="24">
        <v>30.922</v>
      </c>
      <c r="AE192" s="21">
        <f t="shared" ref="AE192:AF192" si="571">(M192+S192+Y192)/3</f>
        <v>165.8103333</v>
      </c>
      <c r="AF192" s="21">
        <f t="shared" si="571"/>
        <v>25.98133333</v>
      </c>
      <c r="AG192" s="21">
        <f t="shared" ref="AG192:AH192" si="572">(AA192+U192+O192)/3</f>
        <v>140.5796667</v>
      </c>
      <c r="AH192" s="21">
        <f t="shared" si="572"/>
        <v>28.49833333</v>
      </c>
      <c r="AI192" s="21">
        <f t="shared" ref="AI192:AJ192" si="573">(Q192+W192+AC192)/3</f>
        <v>77.78566667</v>
      </c>
      <c r="AJ192" s="21">
        <f t="shared" si="573"/>
        <v>31.11266667</v>
      </c>
    </row>
    <row r="193">
      <c r="A193" s="13" t="s">
        <v>19</v>
      </c>
      <c r="B193" s="13" t="s">
        <v>20</v>
      </c>
      <c r="C193" s="14">
        <v>45502.0</v>
      </c>
      <c r="D193" s="15" t="s">
        <v>21</v>
      </c>
      <c r="E193" s="16">
        <v>9.4</v>
      </c>
      <c r="F193" s="15" t="s">
        <v>22</v>
      </c>
      <c r="G193" s="17">
        <v>2.0</v>
      </c>
      <c r="H193" s="18" t="s">
        <v>26</v>
      </c>
      <c r="I193" s="19">
        <v>10.018</v>
      </c>
      <c r="J193" s="27">
        <v>719.1022</v>
      </c>
      <c r="K193" s="27">
        <v>3.706</v>
      </c>
      <c r="L193" s="27">
        <v>0.009</v>
      </c>
      <c r="M193" s="27">
        <v>151.756</v>
      </c>
      <c r="N193" s="27">
        <v>23.676</v>
      </c>
      <c r="O193" s="27">
        <v>130.716</v>
      </c>
      <c r="P193" s="27">
        <v>24.88</v>
      </c>
      <c r="Q193" s="27">
        <v>92.36</v>
      </c>
      <c r="R193" s="27">
        <v>30.228</v>
      </c>
      <c r="S193" s="27">
        <v>151.602</v>
      </c>
      <c r="T193" s="24">
        <v>23.675</v>
      </c>
      <c r="U193" s="24">
        <v>130.456</v>
      </c>
      <c r="V193" s="24">
        <v>24.737</v>
      </c>
      <c r="W193" s="24">
        <v>92.063</v>
      </c>
      <c r="X193" s="24">
        <v>29.884</v>
      </c>
      <c r="Y193" s="24">
        <v>151.649</v>
      </c>
      <c r="Z193" s="24">
        <v>23.629</v>
      </c>
      <c r="AA193" s="24">
        <v>130.428</v>
      </c>
      <c r="AB193" s="24">
        <v>24.714</v>
      </c>
      <c r="AC193" s="24">
        <v>91.877</v>
      </c>
      <c r="AD193" s="24">
        <v>29.912</v>
      </c>
      <c r="AE193" s="21">
        <f t="shared" ref="AE193:AF193" si="574">(M193+S193+Y193)/3</f>
        <v>151.669</v>
      </c>
      <c r="AF193" s="21">
        <f t="shared" si="574"/>
        <v>23.66</v>
      </c>
      <c r="AG193" s="21">
        <f t="shared" ref="AG193:AH193" si="575">(AA193+U193+O193)/3</f>
        <v>130.5333333</v>
      </c>
      <c r="AH193" s="21">
        <f t="shared" si="575"/>
        <v>24.777</v>
      </c>
      <c r="AI193" s="21">
        <f t="shared" ref="AI193:AJ193" si="576">(Q193+W193+AC193)/3</f>
        <v>92.1</v>
      </c>
      <c r="AJ193" s="21">
        <f t="shared" si="576"/>
        <v>30.008</v>
      </c>
    </row>
    <row r="194">
      <c r="A194" s="13" t="s">
        <v>19</v>
      </c>
      <c r="B194" s="13" t="s">
        <v>20</v>
      </c>
      <c r="C194" s="14">
        <v>45502.0</v>
      </c>
      <c r="D194" s="15" t="s">
        <v>24</v>
      </c>
      <c r="E194" s="16">
        <v>7.1</v>
      </c>
      <c r="F194" s="15" t="s">
        <v>22</v>
      </c>
      <c r="G194" s="17">
        <v>2.0</v>
      </c>
      <c r="H194" s="18" t="s">
        <v>26</v>
      </c>
      <c r="I194" s="19">
        <v>10.1534</v>
      </c>
      <c r="J194" s="27">
        <v>932.5947</v>
      </c>
      <c r="K194" s="27">
        <v>4.172</v>
      </c>
      <c r="L194" s="27">
        <v>0.022</v>
      </c>
      <c r="M194" s="27">
        <v>151.594</v>
      </c>
      <c r="N194" s="27">
        <v>21.631</v>
      </c>
      <c r="O194" s="27">
        <v>119.15</v>
      </c>
      <c r="P194" s="27">
        <v>26.367</v>
      </c>
      <c r="Q194" s="27">
        <v>62.246</v>
      </c>
      <c r="R194" s="27">
        <v>31.316</v>
      </c>
      <c r="S194" s="27">
        <v>151.672</v>
      </c>
      <c r="T194" s="24">
        <v>21.56</v>
      </c>
      <c r="U194" s="24">
        <v>119.295</v>
      </c>
      <c r="V194" s="24">
        <v>26.381</v>
      </c>
      <c r="W194" s="24">
        <v>62.472</v>
      </c>
      <c r="X194" s="24">
        <v>31.432</v>
      </c>
      <c r="Y194" s="24">
        <v>151.636</v>
      </c>
      <c r="Z194" s="24">
        <v>21.147</v>
      </c>
      <c r="AA194" s="24">
        <v>119.203</v>
      </c>
      <c r="AB194" s="24">
        <v>25.961</v>
      </c>
      <c r="AC194" s="24">
        <v>62.237</v>
      </c>
      <c r="AD194" s="24">
        <v>30.794</v>
      </c>
      <c r="AE194" s="21">
        <f t="shared" ref="AE194:AF194" si="577">(M194+S194+Y194)/3</f>
        <v>151.634</v>
      </c>
      <c r="AF194" s="21">
        <f t="shared" si="577"/>
        <v>21.446</v>
      </c>
      <c r="AG194" s="21">
        <f t="shared" ref="AG194:AH194" si="578">(AA194+U194+O194)/3</f>
        <v>119.216</v>
      </c>
      <c r="AH194" s="21">
        <f t="shared" si="578"/>
        <v>26.23633333</v>
      </c>
      <c r="AI194" s="21">
        <f t="shared" ref="AI194:AJ194" si="579">(Q194+W194+AC194)/3</f>
        <v>62.31833333</v>
      </c>
      <c r="AJ194" s="21">
        <f t="shared" si="579"/>
        <v>31.18066667</v>
      </c>
    </row>
    <row r="195">
      <c r="A195" s="13" t="s">
        <v>19</v>
      </c>
      <c r="B195" s="13" t="s">
        <v>20</v>
      </c>
      <c r="C195" s="14">
        <v>45502.0</v>
      </c>
      <c r="D195" s="15" t="s">
        <v>24</v>
      </c>
      <c r="E195" s="16">
        <v>7.2</v>
      </c>
      <c r="F195" s="15" t="s">
        <v>22</v>
      </c>
      <c r="G195" s="17">
        <v>2.0</v>
      </c>
      <c r="H195" s="18" t="s">
        <v>26</v>
      </c>
      <c r="I195" s="19">
        <v>10.6378</v>
      </c>
      <c r="J195" s="27">
        <v>720.1361</v>
      </c>
      <c r="K195" s="27">
        <v>5.24</v>
      </c>
      <c r="L195" s="27">
        <v>0.041</v>
      </c>
      <c r="M195" s="27">
        <v>154.932</v>
      </c>
      <c r="N195" s="27">
        <v>22.365</v>
      </c>
      <c r="O195" s="27">
        <v>122.344</v>
      </c>
      <c r="P195" s="27">
        <v>26.225</v>
      </c>
      <c r="Q195" s="27">
        <v>65.022</v>
      </c>
      <c r="R195" s="27">
        <v>31.015</v>
      </c>
      <c r="S195" s="27">
        <v>154.561</v>
      </c>
      <c r="T195" s="24">
        <v>22.094</v>
      </c>
      <c r="U195" s="24">
        <v>121.853</v>
      </c>
      <c r="V195" s="24">
        <v>25.544</v>
      </c>
      <c r="W195" s="24">
        <v>64.401</v>
      </c>
      <c r="X195" s="24">
        <v>29.805</v>
      </c>
      <c r="Y195" s="24">
        <v>154.33</v>
      </c>
      <c r="Z195" s="24">
        <v>21.731</v>
      </c>
      <c r="AA195" s="24">
        <v>121.397</v>
      </c>
      <c r="AB195" s="24">
        <v>25.013</v>
      </c>
      <c r="AC195" s="24">
        <v>63.718</v>
      </c>
      <c r="AD195" s="24">
        <v>28.864</v>
      </c>
      <c r="AE195" s="21">
        <f t="shared" ref="AE195:AF195" si="580">(M195+S195+Y195)/3</f>
        <v>154.6076667</v>
      </c>
      <c r="AF195" s="21">
        <f t="shared" si="580"/>
        <v>22.06333333</v>
      </c>
      <c r="AG195" s="21">
        <f t="shared" ref="AG195:AH195" si="581">(AA195+U195+O195)/3</f>
        <v>121.8646667</v>
      </c>
      <c r="AH195" s="21">
        <f t="shared" si="581"/>
        <v>25.594</v>
      </c>
      <c r="AI195" s="21">
        <f t="shared" ref="AI195:AJ195" si="582">(Q195+W195+AC195)/3</f>
        <v>64.38033333</v>
      </c>
      <c r="AJ195" s="21">
        <f t="shared" si="582"/>
        <v>29.89466667</v>
      </c>
    </row>
    <row r="196">
      <c r="A196" s="13" t="s">
        <v>19</v>
      </c>
      <c r="B196" s="13" t="s">
        <v>20</v>
      </c>
      <c r="C196" s="14">
        <v>45502.0</v>
      </c>
      <c r="D196" s="15" t="s">
        <v>24</v>
      </c>
      <c r="E196" s="16">
        <v>7.3</v>
      </c>
      <c r="F196" s="15" t="s">
        <v>22</v>
      </c>
      <c r="G196" s="17">
        <v>2.0</v>
      </c>
      <c r="H196" s="18" t="s">
        <v>26</v>
      </c>
      <c r="I196" s="19">
        <v>11.6318</v>
      </c>
      <c r="J196" s="27">
        <v>772.0414</v>
      </c>
      <c r="K196" s="27">
        <v>6.293</v>
      </c>
      <c r="L196" s="27">
        <v>0.03</v>
      </c>
      <c r="M196" s="27">
        <v>141.059</v>
      </c>
      <c r="N196" s="27">
        <v>23.938</v>
      </c>
      <c r="O196" s="27">
        <v>111.126</v>
      </c>
      <c r="P196" s="27">
        <v>28.333</v>
      </c>
      <c r="Q196" s="27">
        <v>60.325</v>
      </c>
      <c r="R196" s="27">
        <v>31.16</v>
      </c>
      <c r="S196" s="27">
        <v>141.06</v>
      </c>
      <c r="T196" s="24">
        <v>24.294</v>
      </c>
      <c r="U196" s="24">
        <v>111.092</v>
      </c>
      <c r="V196" s="24">
        <v>28.603</v>
      </c>
      <c r="W196" s="24">
        <v>60.373</v>
      </c>
      <c r="X196" s="24">
        <v>31.519</v>
      </c>
      <c r="Y196" s="24">
        <v>140.824</v>
      </c>
      <c r="Z196" s="24">
        <v>23.831</v>
      </c>
      <c r="AA196" s="24">
        <v>110.719</v>
      </c>
      <c r="AB196" s="24">
        <v>27.981</v>
      </c>
      <c r="AC196" s="24">
        <v>59.801</v>
      </c>
      <c r="AD196" s="24">
        <v>30.508</v>
      </c>
      <c r="AE196" s="21">
        <f t="shared" ref="AE196:AF196" si="583">(M196+S196+Y196)/3</f>
        <v>140.981</v>
      </c>
      <c r="AF196" s="21">
        <f t="shared" si="583"/>
        <v>24.021</v>
      </c>
      <c r="AG196" s="21">
        <f t="shared" ref="AG196:AH196" si="584">(AA196+U196+O196)/3</f>
        <v>110.979</v>
      </c>
      <c r="AH196" s="21">
        <f t="shared" si="584"/>
        <v>28.30566667</v>
      </c>
      <c r="AI196" s="21">
        <f t="shared" ref="AI196:AJ196" si="585">(Q196+W196+AC196)/3</f>
        <v>60.16633333</v>
      </c>
      <c r="AJ196" s="21">
        <f t="shared" si="585"/>
        <v>31.06233333</v>
      </c>
    </row>
    <row r="197">
      <c r="A197" s="13" t="s">
        <v>19</v>
      </c>
      <c r="B197" s="13" t="s">
        <v>20</v>
      </c>
      <c r="C197" s="14">
        <v>45502.0</v>
      </c>
      <c r="D197" s="15" t="s">
        <v>24</v>
      </c>
      <c r="E197" s="16">
        <v>7.4</v>
      </c>
      <c r="F197" s="15" t="s">
        <v>22</v>
      </c>
      <c r="G197" s="17">
        <v>2.0</v>
      </c>
      <c r="H197" s="18" t="s">
        <v>26</v>
      </c>
      <c r="I197" s="19">
        <v>9.833</v>
      </c>
      <c r="J197" s="27">
        <v>696.9763</v>
      </c>
      <c r="K197" s="27">
        <v>5.08</v>
      </c>
      <c r="L197" s="27">
        <v>0.039</v>
      </c>
      <c r="M197" s="27">
        <v>155.1</v>
      </c>
      <c r="N197" s="27">
        <v>19.308</v>
      </c>
      <c r="O197" s="27">
        <v>130.432</v>
      </c>
      <c r="P197" s="27">
        <v>21.46</v>
      </c>
      <c r="Q197" s="27">
        <v>91.707</v>
      </c>
      <c r="R197" s="27">
        <v>26.104</v>
      </c>
      <c r="S197" s="27">
        <v>155.689</v>
      </c>
      <c r="T197" s="24">
        <v>18.468</v>
      </c>
      <c r="U197" s="24">
        <v>131.078</v>
      </c>
      <c r="V197" s="24">
        <v>21.193</v>
      </c>
      <c r="W197" s="24">
        <v>92.431</v>
      </c>
      <c r="X197" s="24">
        <v>26.73</v>
      </c>
      <c r="Y197" s="24">
        <v>155.816</v>
      </c>
      <c r="Z197" s="24">
        <v>18.638</v>
      </c>
      <c r="AA197" s="24">
        <v>131.197</v>
      </c>
      <c r="AB197" s="24">
        <v>21.519</v>
      </c>
      <c r="AC197" s="24">
        <v>92.517</v>
      </c>
      <c r="AD197" s="24">
        <v>27.119</v>
      </c>
      <c r="AE197" s="21">
        <f t="shared" ref="AE197:AF197" si="586">(M197+S197+Y197)/3</f>
        <v>155.535</v>
      </c>
      <c r="AF197" s="21">
        <f t="shared" si="586"/>
        <v>18.80466667</v>
      </c>
      <c r="AG197" s="21">
        <f t="shared" ref="AG197:AH197" si="587">(AA197+U197+O197)/3</f>
        <v>130.9023333</v>
      </c>
      <c r="AH197" s="21">
        <f t="shared" si="587"/>
        <v>21.39066667</v>
      </c>
      <c r="AI197" s="21">
        <f t="shared" ref="AI197:AJ197" si="588">(Q197+W197+AC197)/3</f>
        <v>92.21833333</v>
      </c>
      <c r="AJ197" s="21">
        <f t="shared" si="588"/>
        <v>26.651</v>
      </c>
    </row>
    <row r="198">
      <c r="A198" s="13" t="s">
        <v>19</v>
      </c>
      <c r="B198" s="13" t="s">
        <v>20</v>
      </c>
      <c r="C198" s="14">
        <v>45502.0</v>
      </c>
      <c r="D198" s="15" t="s">
        <v>24</v>
      </c>
      <c r="E198" s="16">
        <v>8.1</v>
      </c>
      <c r="F198" s="15" t="s">
        <v>22</v>
      </c>
      <c r="G198" s="17">
        <v>2.0</v>
      </c>
      <c r="H198" s="18" t="s">
        <v>26</v>
      </c>
      <c r="I198" s="19">
        <v>9.1723</v>
      </c>
      <c r="J198" s="27">
        <v>822.7029</v>
      </c>
      <c r="K198" s="27">
        <v>3.962</v>
      </c>
      <c r="L198" s="27">
        <v>0.017</v>
      </c>
      <c r="M198" s="27">
        <v>162.389</v>
      </c>
      <c r="N198" s="27">
        <v>18.916</v>
      </c>
      <c r="O198" s="27">
        <v>139.239</v>
      </c>
      <c r="P198" s="27">
        <v>24.102</v>
      </c>
      <c r="Q198" s="27">
        <v>91.818</v>
      </c>
      <c r="R198" s="27">
        <v>34.802</v>
      </c>
      <c r="S198" s="27">
        <v>162.258</v>
      </c>
      <c r="T198" s="24">
        <v>18.842</v>
      </c>
      <c r="U198" s="24">
        <v>139.033</v>
      </c>
      <c r="V198" s="24">
        <v>23.897</v>
      </c>
      <c r="W198" s="24">
        <v>91.556</v>
      </c>
      <c r="X198" s="24">
        <v>34.447</v>
      </c>
      <c r="Y198" s="24">
        <v>162.415</v>
      </c>
      <c r="Z198" s="24">
        <v>18.391</v>
      </c>
      <c r="AA198" s="24">
        <v>139.186</v>
      </c>
      <c r="AB198" s="24">
        <v>23.664</v>
      </c>
      <c r="AC198" s="24">
        <v>91.569</v>
      </c>
      <c r="AD198" s="24">
        <v>34.315</v>
      </c>
      <c r="AE198" s="21">
        <f t="shared" ref="AE198:AF198" si="589">(M198+S198+Y198)/3</f>
        <v>162.354</v>
      </c>
      <c r="AF198" s="21">
        <f t="shared" si="589"/>
        <v>18.71633333</v>
      </c>
      <c r="AG198" s="21">
        <f t="shared" ref="AG198:AH198" si="590">(AA198+U198+O198)/3</f>
        <v>139.1526667</v>
      </c>
      <c r="AH198" s="21">
        <f t="shared" si="590"/>
        <v>23.88766667</v>
      </c>
      <c r="AI198" s="21">
        <f t="shared" ref="AI198:AJ198" si="591">(Q198+W198+AC198)/3</f>
        <v>91.64766667</v>
      </c>
      <c r="AJ198" s="21">
        <f t="shared" si="591"/>
        <v>34.52133333</v>
      </c>
    </row>
    <row r="199">
      <c r="A199" s="13" t="s">
        <v>19</v>
      </c>
      <c r="B199" s="13" t="s">
        <v>20</v>
      </c>
      <c r="C199" s="14">
        <v>45502.0</v>
      </c>
      <c r="D199" s="15" t="s">
        <v>24</v>
      </c>
      <c r="E199" s="16">
        <v>8.2</v>
      </c>
      <c r="F199" s="15" t="s">
        <v>22</v>
      </c>
      <c r="G199" s="17">
        <v>2.0</v>
      </c>
      <c r="H199" s="18" t="s">
        <v>26</v>
      </c>
      <c r="I199" s="19">
        <v>10.126</v>
      </c>
      <c r="J199" s="27">
        <v>857.2258</v>
      </c>
      <c r="K199" s="27">
        <v>4.696</v>
      </c>
      <c r="L199" s="27">
        <v>0.02</v>
      </c>
      <c r="M199" s="27">
        <v>156.523</v>
      </c>
      <c r="N199" s="27">
        <v>21.171</v>
      </c>
      <c r="O199" s="27">
        <v>129.671</v>
      </c>
      <c r="P199" s="27">
        <v>25.359</v>
      </c>
      <c r="Q199" s="27">
        <v>74.757</v>
      </c>
      <c r="R199" s="27">
        <v>34.961</v>
      </c>
      <c r="S199" s="27">
        <v>156.14</v>
      </c>
      <c r="T199" s="24">
        <v>21.093</v>
      </c>
      <c r="U199" s="24">
        <v>129.101</v>
      </c>
      <c r="V199" s="24">
        <v>24.941</v>
      </c>
      <c r="W199" s="24">
        <v>73.96</v>
      </c>
      <c r="X199" s="24">
        <v>34.074</v>
      </c>
      <c r="Y199" s="24">
        <v>156.346</v>
      </c>
      <c r="Z199" s="24">
        <v>21.025</v>
      </c>
      <c r="AA199" s="24">
        <v>129.566</v>
      </c>
      <c r="AB199" s="24">
        <v>25.079</v>
      </c>
      <c r="AC199" s="24">
        <v>74.778</v>
      </c>
      <c r="AD199" s="24">
        <v>34.547</v>
      </c>
      <c r="AE199" s="21">
        <f t="shared" ref="AE199:AF199" si="592">(M199+S199+Y199)/3</f>
        <v>156.3363333</v>
      </c>
      <c r="AF199" s="21">
        <f t="shared" si="592"/>
        <v>21.09633333</v>
      </c>
      <c r="AG199" s="21">
        <f t="shared" ref="AG199:AH199" si="593">(AA199+U199+O199)/3</f>
        <v>129.446</v>
      </c>
      <c r="AH199" s="21">
        <f t="shared" si="593"/>
        <v>25.12633333</v>
      </c>
      <c r="AI199" s="21">
        <f t="shared" ref="AI199:AJ199" si="594">(Q199+W199+AC199)/3</f>
        <v>74.49833333</v>
      </c>
      <c r="AJ199" s="21">
        <f t="shared" si="594"/>
        <v>34.52733333</v>
      </c>
    </row>
    <row r="200">
      <c r="A200" s="13" t="s">
        <v>19</v>
      </c>
      <c r="B200" s="13" t="s">
        <v>20</v>
      </c>
      <c r="C200" s="14">
        <v>45502.0</v>
      </c>
      <c r="D200" s="15" t="s">
        <v>24</v>
      </c>
      <c r="E200" s="16">
        <v>8.3</v>
      </c>
      <c r="F200" s="15" t="s">
        <v>22</v>
      </c>
      <c r="G200" s="17">
        <v>2.0</v>
      </c>
      <c r="H200" s="18" t="s">
        <v>26</v>
      </c>
      <c r="I200" s="19">
        <v>9.6907</v>
      </c>
      <c r="J200" s="27">
        <v>824.0874</v>
      </c>
      <c r="K200" s="27">
        <v>4.607</v>
      </c>
      <c r="L200" s="27">
        <v>0.046</v>
      </c>
      <c r="M200" s="27">
        <v>155.745</v>
      </c>
      <c r="N200" s="27">
        <v>16.986</v>
      </c>
      <c r="O200" s="27">
        <v>129.851</v>
      </c>
      <c r="P200" s="27">
        <v>20.68</v>
      </c>
      <c r="Q200" s="27">
        <v>81.058</v>
      </c>
      <c r="R200" s="27">
        <v>30.323</v>
      </c>
      <c r="S200" s="27">
        <v>155.66</v>
      </c>
      <c r="T200" s="24">
        <v>17.306</v>
      </c>
      <c r="U200" s="24">
        <v>129.915</v>
      </c>
      <c r="V200" s="24">
        <v>20.941</v>
      </c>
      <c r="W200" s="24">
        <v>81.356</v>
      </c>
      <c r="X200" s="24">
        <v>30.594</v>
      </c>
      <c r="Y200" s="24">
        <v>155.489</v>
      </c>
      <c r="Z200" s="24">
        <v>17.017</v>
      </c>
      <c r="AA200" s="24">
        <v>129.586</v>
      </c>
      <c r="AB200" s="24">
        <v>20.403</v>
      </c>
      <c r="AC200" s="24">
        <v>80.811</v>
      </c>
      <c r="AD200" s="24">
        <v>29.82</v>
      </c>
      <c r="AE200" s="21">
        <f t="shared" ref="AE200:AF200" si="595">(M200+S200+Y200)/3</f>
        <v>155.6313333</v>
      </c>
      <c r="AF200" s="21">
        <f t="shared" si="595"/>
        <v>17.103</v>
      </c>
      <c r="AG200" s="21">
        <f t="shared" ref="AG200:AH200" si="596">(AA200+U200+O200)/3</f>
        <v>129.784</v>
      </c>
      <c r="AH200" s="21">
        <f t="shared" si="596"/>
        <v>20.67466667</v>
      </c>
      <c r="AI200" s="21">
        <f t="shared" ref="AI200:AJ200" si="597">(Q200+W200+AC200)/3</f>
        <v>81.075</v>
      </c>
      <c r="AJ200" s="21">
        <f t="shared" si="597"/>
        <v>30.24566667</v>
      </c>
    </row>
    <row r="201">
      <c r="A201" s="13" t="s">
        <v>19</v>
      </c>
      <c r="B201" s="13" t="s">
        <v>20</v>
      </c>
      <c r="C201" s="14">
        <v>45502.0</v>
      </c>
      <c r="D201" s="15" t="s">
        <v>24</v>
      </c>
      <c r="E201" s="16">
        <v>8.4</v>
      </c>
      <c r="F201" s="15" t="s">
        <v>22</v>
      </c>
      <c r="G201" s="17">
        <v>2.0</v>
      </c>
      <c r="H201" s="18" t="s">
        <v>26</v>
      </c>
      <c r="I201" s="19">
        <v>10.684</v>
      </c>
      <c r="J201" s="27">
        <v>716.1033</v>
      </c>
      <c r="K201" s="27">
        <v>4.802</v>
      </c>
      <c r="L201" s="27">
        <v>0.059</v>
      </c>
      <c r="M201" s="27">
        <v>151.924</v>
      </c>
      <c r="N201" s="27">
        <v>16.227</v>
      </c>
      <c r="O201" s="27">
        <v>130.52</v>
      </c>
      <c r="P201" s="27">
        <v>19.119</v>
      </c>
      <c r="Q201" s="27">
        <v>90.561</v>
      </c>
      <c r="R201" s="27">
        <v>27.605</v>
      </c>
      <c r="S201" s="27">
        <v>152.406</v>
      </c>
      <c r="T201" s="24">
        <v>15.823</v>
      </c>
      <c r="U201" s="24">
        <v>131.047</v>
      </c>
      <c r="V201" s="24">
        <v>19.262</v>
      </c>
      <c r="W201" s="24">
        <v>91.084</v>
      </c>
      <c r="X201" s="24">
        <v>28.213</v>
      </c>
      <c r="Y201" s="24">
        <v>152.436</v>
      </c>
      <c r="Z201" s="24">
        <v>16.08</v>
      </c>
      <c r="AA201" s="24">
        <v>131.258</v>
      </c>
      <c r="AB201" s="24">
        <v>19.562</v>
      </c>
      <c r="AC201" s="24">
        <v>91.517</v>
      </c>
      <c r="AD201" s="24">
        <v>28.564</v>
      </c>
      <c r="AE201" s="21">
        <f t="shared" ref="AE201:AF201" si="598">(M201+S201+Y201)/3</f>
        <v>152.2553333</v>
      </c>
      <c r="AF201" s="21">
        <f t="shared" si="598"/>
        <v>16.04333333</v>
      </c>
      <c r="AG201" s="21">
        <f t="shared" ref="AG201:AH201" si="599">(AA201+U201+O201)/3</f>
        <v>130.9416667</v>
      </c>
      <c r="AH201" s="21">
        <f t="shared" si="599"/>
        <v>19.31433333</v>
      </c>
      <c r="AI201" s="21">
        <f t="shared" ref="AI201:AJ201" si="600">(Q201+W201+AC201)/3</f>
        <v>91.054</v>
      </c>
      <c r="AJ201" s="21">
        <f t="shared" si="600"/>
        <v>28.12733333</v>
      </c>
    </row>
    <row r="202">
      <c r="A202" s="13" t="s">
        <v>19</v>
      </c>
      <c r="B202" s="13" t="s">
        <v>20</v>
      </c>
      <c r="C202" s="14">
        <v>45502.0</v>
      </c>
      <c r="D202" s="15" t="s">
        <v>24</v>
      </c>
      <c r="E202" s="16">
        <v>9.1</v>
      </c>
      <c r="F202" s="15" t="s">
        <v>22</v>
      </c>
      <c r="G202" s="17">
        <v>2.0</v>
      </c>
      <c r="H202" s="18" t="s">
        <v>26</v>
      </c>
      <c r="I202" s="19">
        <v>9.649</v>
      </c>
      <c r="J202" s="24">
        <v>828.2415</v>
      </c>
      <c r="K202" s="27">
        <v>4.003</v>
      </c>
      <c r="L202" s="27">
        <v>0.016</v>
      </c>
      <c r="M202" s="27">
        <v>124.67</v>
      </c>
      <c r="N202" s="27">
        <v>25.984</v>
      </c>
      <c r="O202" s="27">
        <v>98.301</v>
      </c>
      <c r="P202" s="27">
        <v>32.033</v>
      </c>
      <c r="Q202" s="27">
        <v>54.618</v>
      </c>
      <c r="R202" s="27">
        <v>34.723</v>
      </c>
      <c r="S202" s="27">
        <v>124.367</v>
      </c>
      <c r="T202" s="24">
        <v>25.686</v>
      </c>
      <c r="U202" s="24">
        <v>97.822</v>
      </c>
      <c r="V202" s="24">
        <v>31.573</v>
      </c>
      <c r="W202" s="24">
        <v>53.926</v>
      </c>
      <c r="X202" s="24">
        <v>33.907</v>
      </c>
      <c r="Y202" s="24">
        <v>124.452</v>
      </c>
      <c r="Z202" s="24">
        <v>25.735</v>
      </c>
      <c r="AA202" s="24">
        <v>97.964</v>
      </c>
      <c r="AB202" s="24">
        <v>31.679</v>
      </c>
      <c r="AC202" s="24">
        <v>54.126</v>
      </c>
      <c r="AD202" s="24">
        <v>34.111</v>
      </c>
      <c r="AE202" s="21">
        <f t="shared" ref="AE202:AF202" si="601">(M202+S202+Y202)/3</f>
        <v>124.4963333</v>
      </c>
      <c r="AF202" s="21">
        <f t="shared" si="601"/>
        <v>25.80166667</v>
      </c>
      <c r="AG202" s="21">
        <f t="shared" ref="AG202:AH202" si="602">(AA202+U202+O202)/3</f>
        <v>98.029</v>
      </c>
      <c r="AH202" s="21">
        <f t="shared" si="602"/>
        <v>31.76166667</v>
      </c>
      <c r="AI202" s="21">
        <f t="shared" ref="AI202:AJ202" si="603">(Q202+W202+AC202)/3</f>
        <v>54.22333333</v>
      </c>
      <c r="AJ202" s="21">
        <f t="shared" si="603"/>
        <v>34.247</v>
      </c>
    </row>
    <row r="203">
      <c r="A203" s="13" t="s">
        <v>19</v>
      </c>
      <c r="B203" s="13" t="s">
        <v>20</v>
      </c>
      <c r="C203" s="14">
        <v>45502.0</v>
      </c>
      <c r="D203" s="15" t="s">
        <v>24</v>
      </c>
      <c r="E203" s="16">
        <v>9.2</v>
      </c>
      <c r="F203" s="15" t="s">
        <v>22</v>
      </c>
      <c r="G203" s="17">
        <v>2.0</v>
      </c>
      <c r="H203" s="18" t="s">
        <v>26</v>
      </c>
      <c r="I203" s="19">
        <v>9.7293</v>
      </c>
      <c r="J203" s="27">
        <v>834.2901</v>
      </c>
      <c r="K203" s="27">
        <v>4.445</v>
      </c>
      <c r="L203" s="27">
        <v>0.019</v>
      </c>
      <c r="M203" s="27">
        <v>143.638</v>
      </c>
      <c r="N203" s="27">
        <v>23.917</v>
      </c>
      <c r="O203" s="27">
        <v>116.185</v>
      </c>
      <c r="P203" s="27">
        <v>29.27</v>
      </c>
      <c r="Q203" s="27">
        <v>70.821</v>
      </c>
      <c r="R203" s="27">
        <v>35.701</v>
      </c>
      <c r="S203" s="27">
        <v>143.664</v>
      </c>
      <c r="T203" s="24">
        <v>24.005</v>
      </c>
      <c r="U203" s="24">
        <v>116.19</v>
      </c>
      <c r="V203" s="24">
        <v>29.322</v>
      </c>
      <c r="W203" s="24">
        <v>70.802</v>
      </c>
      <c r="X203" s="24">
        <v>35.726</v>
      </c>
      <c r="Y203" s="24">
        <v>143.608</v>
      </c>
      <c r="Z203" s="24">
        <v>23.75</v>
      </c>
      <c r="AA203" s="24">
        <v>115.963</v>
      </c>
      <c r="AB203" s="24">
        <v>29.11</v>
      </c>
      <c r="AC203" s="24">
        <v>70.318</v>
      </c>
      <c r="AD203" s="24">
        <v>35.416</v>
      </c>
      <c r="AE203" s="21">
        <f t="shared" ref="AE203:AF203" si="604">(M203+S203+Y203)/3</f>
        <v>143.6366667</v>
      </c>
      <c r="AF203" s="21">
        <f t="shared" si="604"/>
        <v>23.89066667</v>
      </c>
      <c r="AG203" s="21">
        <f t="shared" ref="AG203:AH203" si="605">(AA203+U203+O203)/3</f>
        <v>116.1126667</v>
      </c>
      <c r="AH203" s="21">
        <f t="shared" si="605"/>
        <v>29.234</v>
      </c>
      <c r="AI203" s="21">
        <f t="shared" ref="AI203:AJ203" si="606">(Q203+W203+AC203)/3</f>
        <v>70.647</v>
      </c>
      <c r="AJ203" s="21">
        <f t="shared" si="606"/>
        <v>35.61433333</v>
      </c>
    </row>
    <row r="204">
      <c r="A204" s="13" t="s">
        <v>19</v>
      </c>
      <c r="B204" s="13" t="s">
        <v>20</v>
      </c>
      <c r="C204" s="14">
        <v>45502.0</v>
      </c>
      <c r="D204" s="15" t="s">
        <v>24</v>
      </c>
      <c r="E204" s="16">
        <v>9.3</v>
      </c>
      <c r="F204" s="15" t="s">
        <v>22</v>
      </c>
      <c r="G204" s="17">
        <v>2.0</v>
      </c>
      <c r="H204" s="18" t="s">
        <v>26</v>
      </c>
      <c r="I204" s="19">
        <v>9.0184</v>
      </c>
      <c r="J204" s="27">
        <v>921.3957</v>
      </c>
      <c r="K204" s="27">
        <v>3.359</v>
      </c>
      <c r="L204" s="27">
        <v>0.007</v>
      </c>
      <c r="M204" s="27">
        <v>142.171</v>
      </c>
      <c r="N204" s="27">
        <v>26.338</v>
      </c>
      <c r="O204" s="27">
        <v>116.754</v>
      </c>
      <c r="P204" s="27">
        <v>32.373</v>
      </c>
      <c r="Q204" s="27">
        <v>75.414</v>
      </c>
      <c r="R204" s="27">
        <v>36.257</v>
      </c>
      <c r="S204" s="27">
        <v>141.904</v>
      </c>
      <c r="T204" s="24">
        <v>26.02</v>
      </c>
      <c r="U204" s="24">
        <v>116.397</v>
      </c>
      <c r="V204" s="24">
        <v>31.932</v>
      </c>
      <c r="W204" s="24">
        <v>74.946</v>
      </c>
      <c r="X204" s="24">
        <v>35.569</v>
      </c>
      <c r="Y204" s="24">
        <v>142.019</v>
      </c>
      <c r="Z204" s="24">
        <v>26.206</v>
      </c>
      <c r="AA204" s="24">
        <v>116.523</v>
      </c>
      <c r="AB204" s="24">
        <v>32.154</v>
      </c>
      <c r="AC204" s="24">
        <v>75.116</v>
      </c>
      <c r="AD204" s="24">
        <v>35.925</v>
      </c>
      <c r="AE204" s="21">
        <f t="shared" ref="AE204:AF204" si="607">(M204+S204+Y204)/3</f>
        <v>142.0313333</v>
      </c>
      <c r="AF204" s="21">
        <f t="shared" si="607"/>
        <v>26.188</v>
      </c>
      <c r="AG204" s="21">
        <f t="shared" ref="AG204:AH204" si="608">(AA204+U204+O204)/3</f>
        <v>116.558</v>
      </c>
      <c r="AH204" s="21">
        <f t="shared" si="608"/>
        <v>32.153</v>
      </c>
      <c r="AI204" s="21">
        <f t="shared" ref="AI204:AJ204" si="609">(Q204+W204+AC204)/3</f>
        <v>75.15866667</v>
      </c>
      <c r="AJ204" s="21">
        <f t="shared" si="609"/>
        <v>35.917</v>
      </c>
    </row>
    <row r="205">
      <c r="A205" s="13" t="s">
        <v>19</v>
      </c>
      <c r="B205" s="13" t="s">
        <v>20</v>
      </c>
      <c r="C205" s="14">
        <v>45502.0</v>
      </c>
      <c r="D205" s="15" t="s">
        <v>24</v>
      </c>
      <c r="E205" s="16">
        <v>9.4</v>
      </c>
      <c r="F205" s="15" t="s">
        <v>22</v>
      </c>
      <c r="G205" s="17">
        <v>2.0</v>
      </c>
      <c r="H205" s="18" t="s">
        <v>26</v>
      </c>
      <c r="I205" s="19">
        <v>9.333</v>
      </c>
      <c r="J205" s="27">
        <v>865.0017</v>
      </c>
      <c r="K205" s="27">
        <v>3.517</v>
      </c>
      <c r="L205" s="27">
        <v>0.008</v>
      </c>
      <c r="M205" s="27">
        <v>150.211</v>
      </c>
      <c r="N205" s="27">
        <v>19.814</v>
      </c>
      <c r="O205" s="27">
        <v>133.499</v>
      </c>
      <c r="P205" s="27">
        <v>20.461</v>
      </c>
      <c r="Q205" s="27">
        <v>91.052</v>
      </c>
      <c r="R205" s="27">
        <v>32.845</v>
      </c>
      <c r="S205" s="27">
        <v>150.276</v>
      </c>
      <c r="T205" s="24">
        <v>19.789</v>
      </c>
      <c r="U205" s="24">
        <v>133.529</v>
      </c>
      <c r="V205" s="24">
        <v>20.484</v>
      </c>
      <c r="W205" s="24">
        <v>91.03</v>
      </c>
      <c r="X205" s="24">
        <v>32.924</v>
      </c>
      <c r="Y205" s="24">
        <v>150.295</v>
      </c>
      <c r="Z205" s="24">
        <v>19.823</v>
      </c>
      <c r="AA205" s="24">
        <v>133.585</v>
      </c>
      <c r="AB205" s="24">
        <v>20.528</v>
      </c>
      <c r="AC205" s="24">
        <v>91.119</v>
      </c>
      <c r="AD205" s="24">
        <v>32.957</v>
      </c>
      <c r="AE205" s="21">
        <f t="shared" ref="AE205:AF205" si="610">(M205+S205+Y205)/3</f>
        <v>150.2606667</v>
      </c>
      <c r="AF205" s="21">
        <f t="shared" si="610"/>
        <v>19.80866667</v>
      </c>
      <c r="AG205" s="21">
        <f t="shared" ref="AG205:AH205" si="611">(AA205+U205+O205)/3</f>
        <v>133.5376667</v>
      </c>
      <c r="AH205" s="21">
        <f t="shared" si="611"/>
        <v>20.491</v>
      </c>
      <c r="AI205" s="21">
        <f t="shared" ref="AI205:AJ205" si="612">(Q205+W205+AC205)/3</f>
        <v>91.067</v>
      </c>
      <c r="AJ205" s="21">
        <f t="shared" si="612"/>
        <v>32.90866667</v>
      </c>
    </row>
    <row r="206">
      <c r="A206" s="13" t="s">
        <v>19</v>
      </c>
      <c r="B206" s="13" t="s">
        <v>20</v>
      </c>
      <c r="C206" s="14">
        <v>45502.0</v>
      </c>
      <c r="D206" s="15" t="s">
        <v>25</v>
      </c>
      <c r="E206" s="16">
        <v>7.1</v>
      </c>
      <c r="F206" s="15" t="s">
        <v>22</v>
      </c>
      <c r="G206" s="17">
        <v>2.0</v>
      </c>
      <c r="H206" s="18" t="s">
        <v>26</v>
      </c>
      <c r="I206" s="19">
        <v>12.8559</v>
      </c>
      <c r="J206" s="27">
        <v>751.0313</v>
      </c>
      <c r="K206" s="27">
        <v>7.26</v>
      </c>
      <c r="L206" s="27">
        <v>0.03</v>
      </c>
      <c r="M206" s="27">
        <v>141.135</v>
      </c>
      <c r="N206" s="27">
        <v>36.599</v>
      </c>
      <c r="O206" s="27">
        <v>127.408</v>
      </c>
      <c r="P206" s="27">
        <v>41.064</v>
      </c>
      <c r="Q206" s="27">
        <v>74.426</v>
      </c>
      <c r="R206" s="27">
        <v>43.202</v>
      </c>
      <c r="S206" s="27">
        <v>141.026</v>
      </c>
      <c r="T206" s="24">
        <v>36.717</v>
      </c>
      <c r="U206" s="24">
        <v>127.294</v>
      </c>
      <c r="V206" s="24">
        <v>41.122</v>
      </c>
      <c r="W206" s="24">
        <v>74.389</v>
      </c>
      <c r="X206" s="24">
        <v>43.201</v>
      </c>
      <c r="Y206" s="24">
        <v>141.216</v>
      </c>
      <c r="Z206" s="24">
        <v>36.62</v>
      </c>
      <c r="AA206" s="24">
        <v>127.547</v>
      </c>
      <c r="AB206" s="24">
        <v>41.1</v>
      </c>
      <c r="AC206" s="24">
        <v>74.668</v>
      </c>
      <c r="AD206" s="24">
        <v>43.397</v>
      </c>
      <c r="AE206" s="21">
        <f t="shared" ref="AE206:AF206" si="613">(M206+S206+Y206)/3</f>
        <v>141.1256667</v>
      </c>
      <c r="AF206" s="21">
        <f t="shared" si="613"/>
        <v>36.64533333</v>
      </c>
      <c r="AG206" s="21">
        <f t="shared" ref="AG206:AH206" si="614">(AA206+U206+O206)/3</f>
        <v>127.4163333</v>
      </c>
      <c r="AH206" s="21">
        <f t="shared" si="614"/>
        <v>41.09533333</v>
      </c>
      <c r="AI206" s="21">
        <f t="shared" ref="AI206:AJ206" si="615">(Q206+W206+AC206)/3</f>
        <v>74.49433333</v>
      </c>
      <c r="AJ206" s="21">
        <f t="shared" si="615"/>
        <v>43.26666667</v>
      </c>
    </row>
    <row r="207">
      <c r="A207" s="13" t="s">
        <v>19</v>
      </c>
      <c r="B207" s="13" t="s">
        <v>20</v>
      </c>
      <c r="C207" s="14">
        <v>45502.0</v>
      </c>
      <c r="D207" s="15" t="s">
        <v>25</v>
      </c>
      <c r="E207" s="16">
        <v>7.2</v>
      </c>
      <c r="F207" s="15" t="s">
        <v>22</v>
      </c>
      <c r="G207" s="17">
        <v>2.0</v>
      </c>
      <c r="H207" s="18" t="s">
        <v>26</v>
      </c>
      <c r="I207" s="19">
        <v>10.1488</v>
      </c>
      <c r="J207" s="27">
        <v>742.7866</v>
      </c>
      <c r="K207" s="27">
        <v>4.285</v>
      </c>
      <c r="L207" s="27">
        <v>0.025</v>
      </c>
      <c r="M207" s="27">
        <v>123.864</v>
      </c>
      <c r="N207" s="27">
        <v>34.724</v>
      </c>
      <c r="O207" s="27">
        <v>103.351</v>
      </c>
      <c r="P207" s="27">
        <v>37.412</v>
      </c>
      <c r="Q207" s="27">
        <v>61.042</v>
      </c>
      <c r="R207" s="27">
        <v>35.342</v>
      </c>
      <c r="S207" s="27">
        <v>123.908</v>
      </c>
      <c r="T207" s="24">
        <v>34.825</v>
      </c>
      <c r="U207" s="24">
        <v>103.478</v>
      </c>
      <c r="V207" s="24">
        <v>37.528</v>
      </c>
      <c r="W207" s="24">
        <v>61.333</v>
      </c>
      <c r="X207" s="24">
        <v>35.734</v>
      </c>
      <c r="Y207" s="24">
        <v>123.556</v>
      </c>
      <c r="Z207" s="24">
        <v>34.59</v>
      </c>
      <c r="AA207" s="24">
        <v>103.095</v>
      </c>
      <c r="AB207" s="24">
        <v>37.19</v>
      </c>
      <c r="AC207" s="24">
        <v>60.846</v>
      </c>
      <c r="AD207" s="24">
        <v>34.998</v>
      </c>
      <c r="AE207" s="21">
        <f t="shared" ref="AE207:AF207" si="616">(M207+S207+Y207)/3</f>
        <v>123.776</v>
      </c>
      <c r="AF207" s="21">
        <f t="shared" si="616"/>
        <v>34.713</v>
      </c>
      <c r="AG207" s="21">
        <f t="shared" ref="AG207:AH207" si="617">(AA207+U207+O207)/3</f>
        <v>103.308</v>
      </c>
      <c r="AH207" s="21">
        <f t="shared" si="617"/>
        <v>37.37666667</v>
      </c>
      <c r="AI207" s="21">
        <f t="shared" ref="AI207:AJ207" si="618">(Q207+W207+AC207)/3</f>
        <v>61.07366667</v>
      </c>
      <c r="AJ207" s="21">
        <f t="shared" si="618"/>
        <v>35.358</v>
      </c>
    </row>
    <row r="208">
      <c r="A208" s="13" t="s">
        <v>19</v>
      </c>
      <c r="B208" s="13" t="s">
        <v>20</v>
      </c>
      <c r="C208" s="14">
        <v>45502.0</v>
      </c>
      <c r="D208" s="15" t="s">
        <v>25</v>
      </c>
      <c r="E208" s="16">
        <v>7.3</v>
      </c>
      <c r="F208" s="15" t="s">
        <v>22</v>
      </c>
      <c r="G208" s="17">
        <v>2.0</v>
      </c>
      <c r="H208" s="18" t="s">
        <v>26</v>
      </c>
      <c r="I208" s="16">
        <v>10.7393</v>
      </c>
      <c r="J208" s="27">
        <v>762.5562</v>
      </c>
      <c r="K208" s="27">
        <v>4.348</v>
      </c>
      <c r="L208" s="27">
        <v>0.009</v>
      </c>
      <c r="M208" s="27">
        <v>123.171</v>
      </c>
      <c r="N208" s="27">
        <v>38.051</v>
      </c>
      <c r="O208" s="27">
        <v>104.648</v>
      </c>
      <c r="P208" s="27">
        <v>42.102</v>
      </c>
      <c r="Q208" s="27">
        <v>62.522</v>
      </c>
      <c r="R208" s="27">
        <v>41.445</v>
      </c>
      <c r="S208" s="27">
        <v>122.772</v>
      </c>
      <c r="T208" s="24">
        <v>37.253</v>
      </c>
      <c r="U208" s="24">
        <v>104.226</v>
      </c>
      <c r="V208" s="24">
        <v>41.217</v>
      </c>
      <c r="W208" s="24">
        <v>61.981</v>
      </c>
      <c r="X208" s="24">
        <v>40.163</v>
      </c>
      <c r="Y208" s="24">
        <v>123.106</v>
      </c>
      <c r="Z208" s="24">
        <v>37.922</v>
      </c>
      <c r="AA208" s="24">
        <v>104.593</v>
      </c>
      <c r="AB208" s="24">
        <v>41.991</v>
      </c>
      <c r="AC208" s="24">
        <v>62.533</v>
      </c>
      <c r="AD208" s="24">
        <v>41.52</v>
      </c>
      <c r="AE208" s="21">
        <f t="shared" ref="AE208:AF208" si="619">(M208+S208+Y208)/3</f>
        <v>123.0163333</v>
      </c>
      <c r="AF208" s="21">
        <f t="shared" si="619"/>
        <v>37.742</v>
      </c>
      <c r="AG208" s="21">
        <f t="shared" ref="AG208:AH208" si="620">(AA208+U208+O208)/3</f>
        <v>104.489</v>
      </c>
      <c r="AH208" s="21">
        <f t="shared" si="620"/>
        <v>41.77</v>
      </c>
      <c r="AI208" s="21">
        <f t="shared" ref="AI208:AJ208" si="621">(Q208+W208+AC208)/3</f>
        <v>62.34533333</v>
      </c>
      <c r="AJ208" s="21">
        <f t="shared" si="621"/>
        <v>41.04266667</v>
      </c>
    </row>
    <row r="209">
      <c r="A209" s="13" t="s">
        <v>19</v>
      </c>
      <c r="B209" s="13" t="s">
        <v>20</v>
      </c>
      <c r="C209" s="14">
        <v>45502.0</v>
      </c>
      <c r="D209" s="15" t="s">
        <v>25</v>
      </c>
      <c r="E209" s="16">
        <v>7.4</v>
      </c>
      <c r="F209" s="15" t="s">
        <v>22</v>
      </c>
      <c r="G209" s="17">
        <v>2.0</v>
      </c>
      <c r="H209" s="18" t="s">
        <v>26</v>
      </c>
      <c r="I209" s="16">
        <v>10.815</v>
      </c>
      <c r="J209" s="27">
        <v>792.0404</v>
      </c>
      <c r="K209" s="27">
        <v>5.204</v>
      </c>
      <c r="L209" s="27">
        <v>0.024</v>
      </c>
      <c r="M209" s="27">
        <v>154.718</v>
      </c>
      <c r="N209" s="27">
        <v>37.939</v>
      </c>
      <c r="O209" s="27">
        <v>140.451</v>
      </c>
      <c r="P209" s="27">
        <v>41.148</v>
      </c>
      <c r="Q209" s="27">
        <v>98.319</v>
      </c>
      <c r="R209" s="27">
        <v>42.66</v>
      </c>
      <c r="S209" s="27">
        <v>154.7</v>
      </c>
      <c r="T209" s="24">
        <v>37.9</v>
      </c>
      <c r="U209" s="24">
        <v>140.342</v>
      </c>
      <c r="V209" s="24">
        <v>41.117</v>
      </c>
      <c r="W209" s="24">
        <v>97.595</v>
      </c>
      <c r="X209" s="24">
        <v>42.433</v>
      </c>
      <c r="Y209" s="24">
        <v>154.734</v>
      </c>
      <c r="Z209" s="24">
        <v>37.957</v>
      </c>
      <c r="AA209" s="24">
        <v>140.457</v>
      </c>
      <c r="AB209" s="24">
        <v>41.169</v>
      </c>
      <c r="AC209" s="24">
        <v>98.288</v>
      </c>
      <c r="AD209" s="24">
        <v>42.647</v>
      </c>
      <c r="AE209" s="21">
        <f t="shared" ref="AE209:AF209" si="622">(M209+S209+Y209)/3</f>
        <v>154.7173333</v>
      </c>
      <c r="AF209" s="21">
        <f t="shared" si="622"/>
        <v>37.932</v>
      </c>
      <c r="AG209" s="21">
        <f t="shared" ref="AG209:AH209" si="623">(AA209+U209+O209)/3</f>
        <v>140.4166667</v>
      </c>
      <c r="AH209" s="21">
        <f t="shared" si="623"/>
        <v>41.14466667</v>
      </c>
      <c r="AI209" s="21">
        <f t="shared" ref="AI209:AJ209" si="624">(Q209+W209+AC209)/3</f>
        <v>98.06733333</v>
      </c>
      <c r="AJ209" s="21">
        <f t="shared" si="624"/>
        <v>42.58</v>
      </c>
    </row>
    <row r="210">
      <c r="A210" s="13" t="s">
        <v>19</v>
      </c>
      <c r="B210" s="13" t="s">
        <v>20</v>
      </c>
      <c r="C210" s="14">
        <v>45502.0</v>
      </c>
      <c r="D210" s="15" t="s">
        <v>25</v>
      </c>
      <c r="E210" s="16">
        <v>8.1</v>
      </c>
      <c r="F210" s="15" t="s">
        <v>22</v>
      </c>
      <c r="G210" s="17">
        <v>2.0</v>
      </c>
      <c r="H210" s="18" t="s">
        <v>26</v>
      </c>
      <c r="I210" s="19">
        <v>11.8855</v>
      </c>
      <c r="J210" s="27">
        <v>743.0774</v>
      </c>
      <c r="K210" s="27">
        <v>6.299</v>
      </c>
      <c r="L210" s="27">
        <v>0.037</v>
      </c>
      <c r="M210" s="27">
        <v>138.25</v>
      </c>
      <c r="N210" s="27">
        <v>36.519</v>
      </c>
      <c r="O210" s="27">
        <v>116.994</v>
      </c>
      <c r="P210" s="27">
        <v>39.789</v>
      </c>
      <c r="Q210" s="27">
        <v>63.475</v>
      </c>
      <c r="R210" s="27">
        <v>40.394</v>
      </c>
      <c r="S210" s="27">
        <v>137.909</v>
      </c>
      <c r="T210" s="24">
        <v>36.321</v>
      </c>
      <c r="U210" s="24">
        <v>116.693</v>
      </c>
      <c r="V210" s="24">
        <v>39.481</v>
      </c>
      <c r="W210" s="24">
        <v>63.217</v>
      </c>
      <c r="X210" s="24">
        <v>39.854</v>
      </c>
      <c r="Y210" s="24">
        <v>138.169</v>
      </c>
      <c r="Z210" s="24">
        <v>36.401</v>
      </c>
      <c r="AA210" s="24">
        <v>116.905</v>
      </c>
      <c r="AB210" s="24">
        <v>39.655</v>
      </c>
      <c r="AC210" s="24">
        <v>63.414</v>
      </c>
      <c r="AD210" s="24">
        <v>40.252</v>
      </c>
      <c r="AE210" s="21">
        <f t="shared" ref="AE210:AF210" si="625">(M210+S210+Y210)/3</f>
        <v>138.1093333</v>
      </c>
      <c r="AF210" s="21">
        <f t="shared" si="625"/>
        <v>36.41366667</v>
      </c>
      <c r="AG210" s="21">
        <f t="shared" ref="AG210:AH210" si="626">(AA210+U210+O210)/3</f>
        <v>116.864</v>
      </c>
      <c r="AH210" s="21">
        <f t="shared" si="626"/>
        <v>39.64166667</v>
      </c>
      <c r="AI210" s="21">
        <f t="shared" ref="AI210:AJ210" si="627">(Q210+W210+AC210)/3</f>
        <v>63.36866667</v>
      </c>
      <c r="AJ210" s="21">
        <f t="shared" si="627"/>
        <v>40.16666667</v>
      </c>
    </row>
    <row r="211">
      <c r="A211" s="13" t="s">
        <v>19</v>
      </c>
      <c r="B211" s="13" t="s">
        <v>20</v>
      </c>
      <c r="C211" s="14">
        <v>45502.0</v>
      </c>
      <c r="D211" s="15" t="s">
        <v>25</v>
      </c>
      <c r="E211" s="16">
        <v>8.2</v>
      </c>
      <c r="F211" s="15" t="s">
        <v>22</v>
      </c>
      <c r="G211" s="17">
        <v>2.0</v>
      </c>
      <c r="H211" s="18" t="s">
        <v>26</v>
      </c>
      <c r="I211" s="19">
        <v>12.0204</v>
      </c>
      <c r="J211" s="27">
        <v>810.6121</v>
      </c>
      <c r="K211" s="27">
        <v>4.919</v>
      </c>
      <c r="L211" s="27">
        <v>0.015</v>
      </c>
      <c r="M211" s="27">
        <v>141.606</v>
      </c>
      <c r="N211" s="27">
        <v>36.576</v>
      </c>
      <c r="O211" s="27">
        <v>120.804</v>
      </c>
      <c r="P211" s="27">
        <v>39.312</v>
      </c>
      <c r="Q211" s="27">
        <v>67.416</v>
      </c>
      <c r="R211" s="27">
        <v>40.745</v>
      </c>
      <c r="S211" s="27">
        <v>141.367</v>
      </c>
      <c r="T211" s="24">
        <v>36.304</v>
      </c>
      <c r="U211" s="24">
        <v>120.536</v>
      </c>
      <c r="V211" s="24">
        <v>38.953</v>
      </c>
      <c r="W211" s="24">
        <v>67.005</v>
      </c>
      <c r="X211" s="24">
        <v>40.053</v>
      </c>
      <c r="Y211" s="24">
        <v>141.431</v>
      </c>
      <c r="Z211" s="24">
        <v>36.475</v>
      </c>
      <c r="AA211" s="24">
        <v>120.637</v>
      </c>
      <c r="AB211" s="24">
        <v>39.134</v>
      </c>
      <c r="AC211" s="24">
        <v>67.192</v>
      </c>
      <c r="AD211" s="24">
        <v>40.323</v>
      </c>
      <c r="AE211" s="21">
        <f t="shared" ref="AE211:AF211" si="628">(M211+S211+Y211)/3</f>
        <v>141.468</v>
      </c>
      <c r="AF211" s="21">
        <f t="shared" si="628"/>
        <v>36.45166667</v>
      </c>
      <c r="AG211" s="21">
        <f t="shared" ref="AG211:AH211" si="629">(AA211+U211+O211)/3</f>
        <v>120.659</v>
      </c>
      <c r="AH211" s="21">
        <f t="shared" si="629"/>
        <v>39.133</v>
      </c>
      <c r="AI211" s="21">
        <f t="shared" ref="AI211:AJ211" si="630">(Q211+W211+AC211)/3</f>
        <v>67.20433333</v>
      </c>
      <c r="AJ211" s="21">
        <f t="shared" si="630"/>
        <v>40.37366667</v>
      </c>
    </row>
    <row r="212">
      <c r="A212" s="13" t="s">
        <v>19</v>
      </c>
      <c r="B212" s="13" t="s">
        <v>20</v>
      </c>
      <c r="C212" s="14">
        <v>45502.0</v>
      </c>
      <c r="D212" s="15" t="s">
        <v>25</v>
      </c>
      <c r="E212" s="16">
        <v>8.3</v>
      </c>
      <c r="F212" s="15" t="s">
        <v>22</v>
      </c>
      <c r="G212" s="17">
        <v>2.0</v>
      </c>
      <c r="H212" s="18" t="s">
        <v>26</v>
      </c>
      <c r="I212" s="19">
        <v>9.8282</v>
      </c>
      <c r="J212" s="27">
        <v>656.064</v>
      </c>
      <c r="K212" s="27">
        <v>4.815</v>
      </c>
      <c r="L212" s="27">
        <v>0.012</v>
      </c>
      <c r="M212" s="27">
        <v>146.109</v>
      </c>
      <c r="N212" s="27">
        <v>32.744</v>
      </c>
      <c r="O212" s="27">
        <v>128.526</v>
      </c>
      <c r="P212" s="27">
        <v>36.343</v>
      </c>
      <c r="Q212" s="27">
        <v>76.512</v>
      </c>
      <c r="R212" s="27">
        <v>39.794</v>
      </c>
      <c r="S212" s="27">
        <v>146.355</v>
      </c>
      <c r="T212" s="24">
        <v>32.802</v>
      </c>
      <c r="U212" s="24">
        <v>128.73</v>
      </c>
      <c r="V212" s="24">
        <v>36.506</v>
      </c>
      <c r="W212" s="24">
        <v>76.531</v>
      </c>
      <c r="X212" s="24">
        <v>39.977</v>
      </c>
      <c r="Y212" s="24">
        <v>146.227</v>
      </c>
      <c r="Z212" s="24">
        <v>33.131</v>
      </c>
      <c r="AA212" s="24">
        <v>128.662</v>
      </c>
      <c r="AB212" s="24">
        <v>36.824</v>
      </c>
      <c r="AC212" s="24">
        <v>76.744</v>
      </c>
      <c r="AD212" s="24">
        <v>40.591</v>
      </c>
      <c r="AE212" s="21">
        <f t="shared" ref="AE212:AF212" si="631">(M212+S212+Y212)/3</f>
        <v>146.2303333</v>
      </c>
      <c r="AF212" s="21">
        <f t="shared" si="631"/>
        <v>32.89233333</v>
      </c>
      <c r="AG212" s="21">
        <f t="shared" ref="AG212:AH212" si="632">(AA212+U212+O212)/3</f>
        <v>128.6393333</v>
      </c>
      <c r="AH212" s="21">
        <f t="shared" si="632"/>
        <v>36.55766667</v>
      </c>
      <c r="AI212" s="21">
        <f t="shared" ref="AI212:AJ212" si="633">(Q212+W212+AC212)/3</f>
        <v>76.59566667</v>
      </c>
      <c r="AJ212" s="21">
        <f t="shared" si="633"/>
        <v>40.12066667</v>
      </c>
    </row>
    <row r="213">
      <c r="A213" s="13" t="s">
        <v>19</v>
      </c>
      <c r="B213" s="13" t="s">
        <v>20</v>
      </c>
      <c r="C213" s="14">
        <v>45502.0</v>
      </c>
      <c r="D213" s="15" t="s">
        <v>25</v>
      </c>
      <c r="E213" s="16">
        <v>8.4</v>
      </c>
      <c r="F213" s="15" t="s">
        <v>22</v>
      </c>
      <c r="G213" s="17">
        <v>2.0</v>
      </c>
      <c r="H213" s="18" t="s">
        <v>26</v>
      </c>
      <c r="I213" s="19">
        <v>12.011</v>
      </c>
      <c r="J213" s="27">
        <v>679.7205</v>
      </c>
      <c r="K213" s="27">
        <v>6.298</v>
      </c>
      <c r="L213" s="27">
        <v>0.028</v>
      </c>
      <c r="M213" s="27">
        <v>144.616</v>
      </c>
      <c r="N213" s="27">
        <v>29.667</v>
      </c>
      <c r="O213" s="27">
        <v>128.914</v>
      </c>
      <c r="P213" s="27">
        <v>30.409</v>
      </c>
      <c r="Q213" s="27">
        <v>89.724</v>
      </c>
      <c r="R213" s="27">
        <v>30.945</v>
      </c>
      <c r="S213" s="27">
        <v>144.927</v>
      </c>
      <c r="T213" s="24">
        <v>29.567</v>
      </c>
      <c r="U213" s="24">
        <v>129.246</v>
      </c>
      <c r="V213" s="24">
        <v>30.439</v>
      </c>
      <c r="W213" s="24">
        <v>90.085</v>
      </c>
      <c r="X213" s="24">
        <v>31.264</v>
      </c>
      <c r="Y213" s="24">
        <v>144.659</v>
      </c>
      <c r="Z213" s="24">
        <v>29.39</v>
      </c>
      <c r="AA213" s="24">
        <v>128.872</v>
      </c>
      <c r="AB213" s="24">
        <v>30.164</v>
      </c>
      <c r="AC213" s="24">
        <v>89.492</v>
      </c>
      <c r="AD213" s="24">
        <v>30.587</v>
      </c>
      <c r="AE213" s="21">
        <f t="shared" ref="AE213:AF213" si="634">(M213+S213+Y213)/3</f>
        <v>144.734</v>
      </c>
      <c r="AF213" s="21">
        <f t="shared" si="634"/>
        <v>29.54133333</v>
      </c>
      <c r="AG213" s="21">
        <f t="shared" ref="AG213:AH213" si="635">(AA213+U213+O213)/3</f>
        <v>129.0106667</v>
      </c>
      <c r="AH213" s="21">
        <f t="shared" si="635"/>
        <v>30.33733333</v>
      </c>
      <c r="AI213" s="21">
        <f t="shared" ref="AI213:AJ213" si="636">(Q213+W213+AC213)/3</f>
        <v>89.767</v>
      </c>
      <c r="AJ213" s="21">
        <f t="shared" si="636"/>
        <v>30.932</v>
      </c>
    </row>
    <row r="214">
      <c r="A214" s="13" t="s">
        <v>19</v>
      </c>
      <c r="B214" s="13" t="s">
        <v>20</v>
      </c>
      <c r="C214" s="14">
        <v>45502.0</v>
      </c>
      <c r="D214" s="15" t="s">
        <v>25</v>
      </c>
      <c r="E214" s="16">
        <v>9.1</v>
      </c>
      <c r="F214" s="15" t="s">
        <v>22</v>
      </c>
      <c r="G214" s="17">
        <v>2.0</v>
      </c>
      <c r="H214" s="18" t="s">
        <v>26</v>
      </c>
      <c r="I214" s="19">
        <v>11.3085</v>
      </c>
      <c r="J214" s="27">
        <v>681.4706</v>
      </c>
      <c r="K214" s="27">
        <v>5.575</v>
      </c>
      <c r="L214" s="27">
        <v>0.019</v>
      </c>
      <c r="M214" s="27">
        <v>131.131</v>
      </c>
      <c r="N214" s="27">
        <v>34.862</v>
      </c>
      <c r="O214" s="27">
        <v>113.755</v>
      </c>
      <c r="P214" s="27">
        <v>38.153</v>
      </c>
      <c r="Q214" s="27">
        <v>61.665</v>
      </c>
      <c r="R214" s="27">
        <v>38.427</v>
      </c>
      <c r="S214" s="27">
        <v>131.112</v>
      </c>
      <c r="T214" s="24">
        <v>34.708</v>
      </c>
      <c r="U214" s="24">
        <v>113.691</v>
      </c>
      <c r="V214" s="24">
        <v>38.02</v>
      </c>
      <c r="W214" s="24">
        <v>61.46</v>
      </c>
      <c r="X214" s="24">
        <v>38.123</v>
      </c>
      <c r="Y214" s="24">
        <v>131.075</v>
      </c>
      <c r="Z214" s="24">
        <v>34.835</v>
      </c>
      <c r="AA214" s="24">
        <v>113.662</v>
      </c>
      <c r="AB214" s="24">
        <v>38.12</v>
      </c>
      <c r="AC214" s="24">
        <v>61.5</v>
      </c>
      <c r="AD214" s="24">
        <v>38.285</v>
      </c>
      <c r="AE214" s="21">
        <f t="shared" ref="AE214:AF214" si="637">(M214+S214+Y214)/3</f>
        <v>131.106</v>
      </c>
      <c r="AF214" s="21">
        <f t="shared" si="637"/>
        <v>34.80166667</v>
      </c>
      <c r="AG214" s="21">
        <f t="shared" ref="AG214:AH214" si="638">(AA214+U214+O214)/3</f>
        <v>113.7026667</v>
      </c>
      <c r="AH214" s="21">
        <f t="shared" si="638"/>
        <v>38.09766667</v>
      </c>
      <c r="AI214" s="21">
        <f t="shared" ref="AI214:AJ214" si="639">(Q214+W214+AC214)/3</f>
        <v>61.54166667</v>
      </c>
      <c r="AJ214" s="21">
        <f t="shared" si="639"/>
        <v>38.27833333</v>
      </c>
    </row>
    <row r="215">
      <c r="A215" s="13" t="s">
        <v>19</v>
      </c>
      <c r="B215" s="13" t="s">
        <v>20</v>
      </c>
      <c r="C215" s="14">
        <v>45502.0</v>
      </c>
      <c r="D215" s="15" t="s">
        <v>25</v>
      </c>
      <c r="E215" s="16">
        <v>9.2</v>
      </c>
      <c r="F215" s="15" t="s">
        <v>22</v>
      </c>
      <c r="G215" s="17">
        <v>2.0</v>
      </c>
      <c r="H215" s="18" t="s">
        <v>26</v>
      </c>
      <c r="I215" s="19">
        <v>9.7936</v>
      </c>
      <c r="J215" s="27">
        <v>654.2477</v>
      </c>
      <c r="K215" s="27">
        <v>4.695</v>
      </c>
      <c r="L215" s="27">
        <v>0.011</v>
      </c>
      <c r="M215" s="27">
        <v>149.269</v>
      </c>
      <c r="N215" s="27">
        <v>32.985</v>
      </c>
      <c r="O215" s="27">
        <v>137.769</v>
      </c>
      <c r="P215" s="27">
        <v>35.765</v>
      </c>
      <c r="Q215" s="27">
        <v>74.566</v>
      </c>
      <c r="R215" s="27">
        <v>40.188</v>
      </c>
      <c r="S215" s="27">
        <v>149.401</v>
      </c>
      <c r="T215" s="24">
        <v>33.198</v>
      </c>
      <c r="U215" s="24">
        <v>137.937</v>
      </c>
      <c r="V215" s="24">
        <v>35.993</v>
      </c>
      <c r="W215" s="24">
        <v>74.989</v>
      </c>
      <c r="X215" s="24">
        <v>40.583</v>
      </c>
      <c r="Y215" s="24">
        <v>149.582</v>
      </c>
      <c r="Z215" s="24">
        <v>33.054</v>
      </c>
      <c r="AA215" s="24">
        <v>138.082</v>
      </c>
      <c r="AB215" s="24">
        <v>35.917</v>
      </c>
      <c r="AC215" s="24">
        <v>75.102</v>
      </c>
      <c r="AD215" s="24">
        <v>40.687</v>
      </c>
      <c r="AE215" s="21">
        <f t="shared" ref="AE215:AF215" si="640">(M215+S215+Y215)/3</f>
        <v>149.4173333</v>
      </c>
      <c r="AF215" s="21">
        <f t="shared" si="640"/>
        <v>33.079</v>
      </c>
      <c r="AG215" s="21">
        <f t="shared" ref="AG215:AH215" si="641">(AA215+U215+O215)/3</f>
        <v>137.9293333</v>
      </c>
      <c r="AH215" s="21">
        <f t="shared" si="641"/>
        <v>35.89166667</v>
      </c>
      <c r="AI215" s="21">
        <f t="shared" ref="AI215:AJ215" si="642">(Q215+W215+AC215)/3</f>
        <v>74.88566667</v>
      </c>
      <c r="AJ215" s="21">
        <f t="shared" si="642"/>
        <v>40.486</v>
      </c>
    </row>
    <row r="216">
      <c r="A216" s="13" t="s">
        <v>19</v>
      </c>
      <c r="B216" s="13" t="s">
        <v>20</v>
      </c>
      <c r="C216" s="14">
        <v>45502.0</v>
      </c>
      <c r="D216" s="15" t="s">
        <v>25</v>
      </c>
      <c r="E216" s="16">
        <v>9.3</v>
      </c>
      <c r="F216" s="15" t="s">
        <v>22</v>
      </c>
      <c r="G216" s="17">
        <v>2.0</v>
      </c>
      <c r="H216" s="18" t="s">
        <v>26</v>
      </c>
      <c r="I216" s="19">
        <v>9.424</v>
      </c>
      <c r="J216" s="27">
        <v>692.104</v>
      </c>
      <c r="K216" s="27">
        <v>5.069</v>
      </c>
      <c r="L216" s="27">
        <v>0.018</v>
      </c>
      <c r="M216" s="27">
        <v>144.277</v>
      </c>
      <c r="N216" s="27">
        <v>38.584</v>
      </c>
      <c r="O216" s="27">
        <v>125.176</v>
      </c>
      <c r="P216" s="27">
        <v>41.573</v>
      </c>
      <c r="Q216" s="27">
        <v>73.126</v>
      </c>
      <c r="R216" s="27">
        <v>42.216</v>
      </c>
      <c r="S216" s="27">
        <v>144.318</v>
      </c>
      <c r="T216" s="24">
        <v>38.374</v>
      </c>
      <c r="U216" s="24">
        <v>125.159</v>
      </c>
      <c r="V216" s="24">
        <v>41.386</v>
      </c>
      <c r="W216" s="24">
        <v>72.993</v>
      </c>
      <c r="X216" s="24">
        <v>42.005</v>
      </c>
      <c r="Y216" s="24">
        <v>144.56</v>
      </c>
      <c r="Z216" s="24">
        <v>38.677</v>
      </c>
      <c r="AA216" s="24">
        <v>125.388</v>
      </c>
      <c r="AB216" s="24">
        <v>41.758</v>
      </c>
      <c r="AC216" s="24">
        <v>73.198</v>
      </c>
      <c r="AD216" s="24">
        <v>42.541</v>
      </c>
      <c r="AE216" s="21">
        <f t="shared" ref="AE216:AF216" si="643">(M216+S216+Y216)/3</f>
        <v>144.385</v>
      </c>
      <c r="AF216" s="21">
        <f t="shared" si="643"/>
        <v>38.545</v>
      </c>
      <c r="AG216" s="21">
        <f t="shared" ref="AG216:AH216" si="644">(AA216+U216+O216)/3</f>
        <v>125.241</v>
      </c>
      <c r="AH216" s="21">
        <f t="shared" si="644"/>
        <v>41.57233333</v>
      </c>
      <c r="AI216" s="21">
        <f t="shared" ref="AI216:AJ216" si="645">(Q216+W216+AC216)/3</f>
        <v>73.10566667</v>
      </c>
      <c r="AJ216" s="21">
        <f t="shared" si="645"/>
        <v>42.254</v>
      </c>
    </row>
    <row r="217">
      <c r="A217" s="13" t="s">
        <v>19</v>
      </c>
      <c r="B217" s="13" t="s">
        <v>20</v>
      </c>
      <c r="C217" s="14">
        <v>45502.0</v>
      </c>
      <c r="D217" s="15" t="s">
        <v>25</v>
      </c>
      <c r="E217" s="16">
        <v>9.4</v>
      </c>
      <c r="F217" s="15" t="s">
        <v>22</v>
      </c>
      <c r="G217" s="17">
        <v>2.0</v>
      </c>
      <c r="H217" s="18" t="s">
        <v>26</v>
      </c>
      <c r="I217" s="19">
        <v>9.608</v>
      </c>
      <c r="J217" s="27">
        <v>628.5877</v>
      </c>
      <c r="K217" s="27">
        <v>4.471</v>
      </c>
      <c r="L217" s="27">
        <v>0.031</v>
      </c>
      <c r="M217" s="27">
        <v>143.102</v>
      </c>
      <c r="N217" s="27">
        <v>26.634</v>
      </c>
      <c r="O217" s="27">
        <v>131.586</v>
      </c>
      <c r="P217" s="27">
        <v>27.236</v>
      </c>
      <c r="Q217" s="27">
        <v>90.644</v>
      </c>
      <c r="R217" s="27">
        <v>29.016</v>
      </c>
      <c r="S217" s="27">
        <v>143.317</v>
      </c>
      <c r="T217" s="24">
        <v>26.346</v>
      </c>
      <c r="U217" s="24">
        <v>131.79</v>
      </c>
      <c r="V217" s="24">
        <v>27.057</v>
      </c>
      <c r="W217" s="24">
        <v>90.877</v>
      </c>
      <c r="X217" s="24">
        <v>29.079</v>
      </c>
      <c r="Y217" s="24">
        <v>142.811</v>
      </c>
      <c r="Z217" s="24">
        <v>26.549</v>
      </c>
      <c r="AA217" s="24">
        <v>131.243</v>
      </c>
      <c r="AB217" s="24">
        <v>27.073</v>
      </c>
      <c r="AC217" s="24">
        <v>90.218</v>
      </c>
      <c r="AD217" s="24">
        <v>28.608</v>
      </c>
      <c r="AE217" s="21">
        <f t="shared" ref="AE217:AF217" si="646">(M217+S217+Y217)/3</f>
        <v>143.0766667</v>
      </c>
      <c r="AF217" s="21">
        <f t="shared" si="646"/>
        <v>26.50966667</v>
      </c>
      <c r="AG217" s="21">
        <f t="shared" ref="AG217:AH217" si="647">(AA217+U217+O217)/3</f>
        <v>131.5396667</v>
      </c>
      <c r="AH217" s="21">
        <f t="shared" si="647"/>
        <v>27.122</v>
      </c>
      <c r="AI217" s="21">
        <f t="shared" ref="AI217:AJ217" si="648">(Q217+W217+AC217)/3</f>
        <v>90.57966667</v>
      </c>
      <c r="AJ217" s="21">
        <f t="shared" si="648"/>
        <v>28.901</v>
      </c>
    </row>
  </sheetData>
  <dataValidations>
    <dataValidation type="list" allowBlank="1" showErrorMessage="1" sqref="D2:D217">
      <formula1>"Mcav,Ofav,Pcli"</formula1>
    </dataValidation>
    <dataValidation type="list" allowBlank="1" showErrorMessage="1" sqref="F2:F217">
      <formula1>"PBR,PBC"</formula1>
    </dataValidation>
    <dataValidation type="list" allowBlank="1" showErrorMessage="1" sqref="H2:H217">
      <formula1>"Before MO,After MO"</formula1>
    </dataValidation>
  </dataValidation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28</v>
      </c>
      <c r="B1" s="33" t="s">
        <v>2</v>
      </c>
      <c r="C1" s="33" t="s">
        <v>3</v>
      </c>
      <c r="D1" s="33" t="s">
        <v>4</v>
      </c>
      <c r="E1" s="33" t="s">
        <v>5</v>
      </c>
      <c r="F1" s="33" t="s">
        <v>6</v>
      </c>
      <c r="G1" s="33" t="s">
        <v>7</v>
      </c>
      <c r="H1" s="34" t="s">
        <v>8</v>
      </c>
      <c r="I1" s="35" t="s">
        <v>9</v>
      </c>
      <c r="J1" s="36" t="s">
        <v>10</v>
      </c>
      <c r="K1" s="37" t="s">
        <v>11</v>
      </c>
      <c r="L1" s="38" t="s">
        <v>29</v>
      </c>
      <c r="M1" s="38" t="s">
        <v>30</v>
      </c>
      <c r="N1" s="39" t="s">
        <v>31</v>
      </c>
      <c r="O1" s="39" t="s">
        <v>32</v>
      </c>
      <c r="P1" s="40" t="s">
        <v>33</v>
      </c>
      <c r="Q1" s="40" t="s">
        <v>34</v>
      </c>
      <c r="R1" s="38" t="s">
        <v>29</v>
      </c>
      <c r="S1" s="38" t="s">
        <v>30</v>
      </c>
      <c r="T1" s="39" t="s">
        <v>31</v>
      </c>
      <c r="U1" s="39" t="s">
        <v>32</v>
      </c>
      <c r="V1" s="40" t="s">
        <v>33</v>
      </c>
      <c r="W1" s="40" t="s">
        <v>34</v>
      </c>
      <c r="X1" s="38" t="s">
        <v>29</v>
      </c>
      <c r="Y1" s="38" t="s">
        <v>30</v>
      </c>
      <c r="Z1" s="39" t="s">
        <v>31</v>
      </c>
      <c r="AA1" s="39" t="s">
        <v>32</v>
      </c>
      <c r="AB1" s="40" t="s">
        <v>33</v>
      </c>
      <c r="AC1" s="40" t="s">
        <v>34</v>
      </c>
      <c r="AD1" s="38" t="s">
        <v>12</v>
      </c>
      <c r="AE1" s="38" t="s">
        <v>13</v>
      </c>
      <c r="AF1" s="39" t="s">
        <v>14</v>
      </c>
      <c r="AG1" s="39" t="s">
        <v>15</v>
      </c>
      <c r="AH1" s="40" t="s">
        <v>16</v>
      </c>
      <c r="AI1" s="40" t="s">
        <v>17</v>
      </c>
      <c r="AJ1" s="41" t="s">
        <v>18</v>
      </c>
      <c r="AK1" s="50"/>
      <c r="AL1" s="50"/>
      <c r="AM1" s="50"/>
    </row>
    <row r="2">
      <c r="A2" s="13" t="s">
        <v>20</v>
      </c>
      <c r="B2" s="26">
        <v>45558.0</v>
      </c>
      <c r="C2" s="13" t="s">
        <v>21</v>
      </c>
      <c r="D2" s="13">
        <v>1.1</v>
      </c>
      <c r="E2" s="13" t="s">
        <v>22</v>
      </c>
      <c r="F2" s="13">
        <v>3.0</v>
      </c>
      <c r="G2" s="13" t="s">
        <v>37</v>
      </c>
      <c r="H2" s="23">
        <v>23.4633</v>
      </c>
      <c r="I2" s="23">
        <v>528.1363</v>
      </c>
      <c r="J2" s="23">
        <v>4.751</v>
      </c>
      <c r="K2" s="23">
        <v>0.049</v>
      </c>
      <c r="L2" s="23">
        <v>145.986</v>
      </c>
      <c r="M2" s="23">
        <v>34.83</v>
      </c>
      <c r="N2" s="23">
        <v>114.084</v>
      </c>
      <c r="O2" s="23">
        <v>35.229</v>
      </c>
      <c r="P2" s="23">
        <v>67.196</v>
      </c>
      <c r="Q2" s="23">
        <v>29.33</v>
      </c>
      <c r="R2" s="23">
        <v>145.573</v>
      </c>
      <c r="S2" s="23">
        <v>35.118</v>
      </c>
      <c r="T2" s="23">
        <v>113.77</v>
      </c>
      <c r="U2" s="23">
        <v>35.459</v>
      </c>
      <c r="V2" s="23">
        <v>67.183</v>
      </c>
      <c r="W2" s="23">
        <v>29.479</v>
      </c>
      <c r="X2" s="23">
        <v>145.772</v>
      </c>
      <c r="Y2" s="23">
        <v>35.18</v>
      </c>
      <c r="Z2" s="23">
        <v>113.827</v>
      </c>
      <c r="AA2" s="23">
        <v>35.543</v>
      </c>
      <c r="AB2" s="23">
        <v>67.154</v>
      </c>
      <c r="AC2" s="23">
        <v>29.53</v>
      </c>
      <c r="AD2" s="22">
        <f t="shared" ref="AD2:AI2" si="1">AVERAGE(L2,R2,X2)</f>
        <v>145.777</v>
      </c>
      <c r="AE2" s="22">
        <f t="shared" si="1"/>
        <v>35.04266667</v>
      </c>
      <c r="AF2" s="22">
        <f t="shared" si="1"/>
        <v>113.8936667</v>
      </c>
      <c r="AG2" s="22">
        <f t="shared" si="1"/>
        <v>35.41033333</v>
      </c>
      <c r="AH2" s="22">
        <f t="shared" si="1"/>
        <v>67.17766667</v>
      </c>
      <c r="AI2" s="22">
        <f t="shared" si="1"/>
        <v>29.44633333</v>
      </c>
      <c r="AJ2" s="22"/>
      <c r="AK2" s="22"/>
      <c r="AL2" s="22"/>
      <c r="AM2" s="22"/>
    </row>
    <row r="3">
      <c r="A3" s="13" t="s">
        <v>20</v>
      </c>
      <c r="B3" s="26">
        <v>45558.0</v>
      </c>
      <c r="C3" s="13" t="s">
        <v>21</v>
      </c>
      <c r="D3" s="13">
        <v>1.2</v>
      </c>
      <c r="E3" s="13" t="s">
        <v>22</v>
      </c>
      <c r="F3" s="13">
        <v>3.0</v>
      </c>
      <c r="G3" s="13" t="s">
        <v>37</v>
      </c>
      <c r="H3" s="23">
        <v>23.284</v>
      </c>
      <c r="I3" s="23">
        <v>559.0143</v>
      </c>
      <c r="J3" s="23">
        <v>4.305</v>
      </c>
      <c r="K3" s="23">
        <v>0.063</v>
      </c>
      <c r="L3" s="23">
        <v>145.16</v>
      </c>
      <c r="M3" s="23">
        <v>37.981</v>
      </c>
      <c r="N3" s="23">
        <v>117.599</v>
      </c>
      <c r="O3" s="23">
        <v>37.519</v>
      </c>
      <c r="P3" s="23">
        <v>74.135</v>
      </c>
      <c r="Q3" s="23">
        <v>31.223</v>
      </c>
      <c r="R3" s="23">
        <v>144.987</v>
      </c>
      <c r="S3" s="23">
        <v>38.167</v>
      </c>
      <c r="T3" s="23">
        <v>117.431</v>
      </c>
      <c r="U3" s="23">
        <v>37.655</v>
      </c>
      <c r="V3" s="23">
        <v>74.042</v>
      </c>
      <c r="W3" s="23">
        <v>31.31</v>
      </c>
      <c r="X3" s="23">
        <v>145.052</v>
      </c>
      <c r="Y3" s="23">
        <v>38.406</v>
      </c>
      <c r="Z3" s="23">
        <v>117.336</v>
      </c>
      <c r="AA3" s="23">
        <v>37.876</v>
      </c>
      <c r="AB3" s="13">
        <v>73.97</v>
      </c>
      <c r="AC3" s="23">
        <v>31.404</v>
      </c>
      <c r="AD3" s="22">
        <f t="shared" ref="AD3:AI3" si="2">AVERAGE(L3,R3,X3)</f>
        <v>145.0663333</v>
      </c>
      <c r="AE3" s="22">
        <f t="shared" si="2"/>
        <v>38.18466667</v>
      </c>
      <c r="AF3" s="22">
        <f t="shared" si="2"/>
        <v>117.4553333</v>
      </c>
      <c r="AG3" s="22">
        <f t="shared" si="2"/>
        <v>37.68333333</v>
      </c>
      <c r="AH3" s="22">
        <f t="shared" si="2"/>
        <v>74.049</v>
      </c>
      <c r="AI3" s="22">
        <f t="shared" si="2"/>
        <v>31.31233333</v>
      </c>
      <c r="AJ3" s="22"/>
      <c r="AK3" s="22"/>
      <c r="AL3" s="22"/>
      <c r="AM3" s="22"/>
    </row>
    <row r="4">
      <c r="A4" s="13" t="s">
        <v>20</v>
      </c>
      <c r="B4" s="26">
        <v>45558.0</v>
      </c>
      <c r="C4" s="13" t="s">
        <v>21</v>
      </c>
      <c r="D4" s="13">
        <v>1.3</v>
      </c>
      <c r="E4" s="13" t="s">
        <v>22</v>
      </c>
      <c r="F4" s="13">
        <v>3.0</v>
      </c>
      <c r="G4" s="13" t="s">
        <v>37</v>
      </c>
      <c r="H4" s="23">
        <v>23.5608</v>
      </c>
      <c r="I4" s="23">
        <v>546.1319</v>
      </c>
      <c r="J4" s="23">
        <v>3.907</v>
      </c>
      <c r="K4" s="23">
        <v>0.019</v>
      </c>
      <c r="L4" s="23">
        <v>169.157</v>
      </c>
      <c r="M4" s="23">
        <v>25.882</v>
      </c>
      <c r="N4" s="23">
        <v>137.005</v>
      </c>
      <c r="O4" s="23">
        <v>26.164</v>
      </c>
      <c r="P4" s="23">
        <v>85.473</v>
      </c>
      <c r="Q4" s="23">
        <v>25.318</v>
      </c>
      <c r="R4" s="23">
        <v>168.178</v>
      </c>
      <c r="S4" s="23">
        <v>26.98</v>
      </c>
      <c r="T4" s="23">
        <v>136.037</v>
      </c>
      <c r="U4" s="13">
        <v>26.847</v>
      </c>
      <c r="V4" s="23">
        <v>84.518</v>
      </c>
      <c r="W4" s="23">
        <v>25.308</v>
      </c>
      <c r="X4" s="23">
        <v>169.08</v>
      </c>
      <c r="Y4" s="23">
        <v>26.02</v>
      </c>
      <c r="Z4" s="23">
        <v>136.857</v>
      </c>
      <c r="AA4" s="23">
        <v>26.238</v>
      </c>
      <c r="AB4" s="23">
        <v>85.357</v>
      </c>
      <c r="AC4" s="23">
        <v>25.242</v>
      </c>
      <c r="AD4" s="22">
        <f t="shared" ref="AD4:AF4" si="3">AVERAGE(L4,R4,X4)</f>
        <v>168.805</v>
      </c>
      <c r="AE4" s="22">
        <f t="shared" si="3"/>
        <v>26.294</v>
      </c>
      <c r="AF4" s="22">
        <f t="shared" si="3"/>
        <v>136.633</v>
      </c>
      <c r="AG4" s="22">
        <f t="shared" ref="AG4:AH4" si="4">AVERAGE(O4,V4,AA4)</f>
        <v>45.64</v>
      </c>
      <c r="AH4" s="22">
        <f t="shared" si="4"/>
        <v>65.37933333</v>
      </c>
      <c r="AI4" s="22">
        <f>AVERAGE(Q4,W4,AC4)</f>
        <v>25.28933333</v>
      </c>
      <c r="AJ4" s="22"/>
      <c r="AK4" s="22"/>
      <c r="AL4" s="22"/>
      <c r="AM4" s="22"/>
    </row>
    <row r="5">
      <c r="A5" s="13" t="s">
        <v>20</v>
      </c>
      <c r="B5" s="26">
        <v>45558.0</v>
      </c>
      <c r="C5" s="13" t="s">
        <v>21</v>
      </c>
      <c r="D5" s="13">
        <v>1.4</v>
      </c>
      <c r="E5" s="13" t="s">
        <v>22</v>
      </c>
      <c r="F5" s="13">
        <v>3.0</v>
      </c>
      <c r="G5" s="13" t="s">
        <v>37</v>
      </c>
      <c r="H5" s="23">
        <v>22.0906</v>
      </c>
      <c r="I5" s="23">
        <v>534.0337</v>
      </c>
      <c r="J5" s="23">
        <v>4.403</v>
      </c>
      <c r="K5" s="23">
        <v>0.064</v>
      </c>
      <c r="L5" s="23">
        <v>160.556</v>
      </c>
      <c r="M5" s="23">
        <v>30.109</v>
      </c>
      <c r="N5" s="23">
        <v>131.324</v>
      </c>
      <c r="O5" s="23">
        <v>31.186</v>
      </c>
      <c r="P5" s="23">
        <v>96.525</v>
      </c>
      <c r="Q5" s="23">
        <v>33.729</v>
      </c>
      <c r="R5" s="23">
        <v>160.048</v>
      </c>
      <c r="S5" s="23">
        <v>29.855</v>
      </c>
      <c r="T5" s="23">
        <v>131.389</v>
      </c>
      <c r="U5" s="23">
        <v>30.965</v>
      </c>
      <c r="V5" s="23">
        <v>96.568</v>
      </c>
      <c r="W5" s="23">
        <v>33.564</v>
      </c>
      <c r="X5" s="23">
        <v>160.197</v>
      </c>
      <c r="Y5" s="23">
        <v>30.35</v>
      </c>
      <c r="Z5" s="23">
        <v>130.92</v>
      </c>
      <c r="AA5" s="23">
        <v>31.304</v>
      </c>
      <c r="AB5" s="23">
        <v>96.187</v>
      </c>
      <c r="AC5" s="23">
        <v>33.677</v>
      </c>
      <c r="AD5" s="22">
        <f t="shared" ref="AD5:AI5" si="5">AVERAGE(L5,R5,X5)</f>
        <v>160.267</v>
      </c>
      <c r="AE5" s="22">
        <f t="shared" si="5"/>
        <v>30.10466667</v>
      </c>
      <c r="AF5" s="22">
        <f t="shared" si="5"/>
        <v>131.211</v>
      </c>
      <c r="AG5" s="22">
        <f t="shared" si="5"/>
        <v>31.15166667</v>
      </c>
      <c r="AH5" s="22">
        <f t="shared" si="5"/>
        <v>96.42666667</v>
      </c>
      <c r="AI5" s="22">
        <f t="shared" si="5"/>
        <v>33.65666667</v>
      </c>
      <c r="AJ5" s="22"/>
      <c r="AK5" s="22"/>
      <c r="AL5" s="22"/>
      <c r="AM5" s="22"/>
    </row>
    <row r="6">
      <c r="A6" s="13" t="s">
        <v>20</v>
      </c>
      <c r="B6" s="26">
        <v>45558.0</v>
      </c>
      <c r="C6" s="13" t="s">
        <v>21</v>
      </c>
      <c r="D6" s="13">
        <v>2.1</v>
      </c>
      <c r="E6" s="13" t="s">
        <v>22</v>
      </c>
      <c r="F6" s="13">
        <v>3.0</v>
      </c>
      <c r="G6" s="13" t="s">
        <v>37</v>
      </c>
      <c r="H6" s="23">
        <v>16.2492</v>
      </c>
      <c r="I6" s="23">
        <v>570.0316</v>
      </c>
      <c r="J6" s="23">
        <v>1.836</v>
      </c>
      <c r="K6" s="23">
        <v>0.03</v>
      </c>
      <c r="L6" s="12">
        <v>123.333</v>
      </c>
      <c r="M6" s="12">
        <v>32.018</v>
      </c>
      <c r="N6" s="12">
        <v>98.966</v>
      </c>
      <c r="O6" s="12">
        <v>32.318</v>
      </c>
      <c r="P6" s="12">
        <v>61.704</v>
      </c>
      <c r="Q6" s="12">
        <v>26.047</v>
      </c>
      <c r="R6" s="23">
        <v>124.314</v>
      </c>
      <c r="S6" s="23">
        <v>31.753</v>
      </c>
      <c r="T6" s="23">
        <v>99.857</v>
      </c>
      <c r="U6" s="23">
        <v>32.27</v>
      </c>
      <c r="V6" s="23">
        <v>62.538</v>
      </c>
      <c r="W6" s="23">
        <v>26.079</v>
      </c>
      <c r="X6" s="23">
        <v>123.984</v>
      </c>
      <c r="Y6" s="23">
        <v>31.86</v>
      </c>
      <c r="Z6" s="23">
        <v>99.536</v>
      </c>
      <c r="AA6" s="23">
        <v>32.262</v>
      </c>
      <c r="AB6" s="23">
        <v>62.204</v>
      </c>
      <c r="AC6" s="23">
        <v>26.075</v>
      </c>
      <c r="AD6" s="22">
        <f t="shared" ref="AD6:AI6" si="6">AVERAGE(L6,R6,X6)</f>
        <v>123.877</v>
      </c>
      <c r="AE6" s="22">
        <f t="shared" si="6"/>
        <v>31.877</v>
      </c>
      <c r="AF6" s="22">
        <f t="shared" si="6"/>
        <v>99.453</v>
      </c>
      <c r="AG6" s="22">
        <f t="shared" si="6"/>
        <v>32.28333333</v>
      </c>
      <c r="AH6" s="22">
        <f t="shared" si="6"/>
        <v>62.14866667</v>
      </c>
      <c r="AI6" s="22">
        <f t="shared" si="6"/>
        <v>26.067</v>
      </c>
      <c r="AJ6" s="22"/>
      <c r="AK6" s="22"/>
      <c r="AL6" s="22"/>
      <c r="AM6" s="22"/>
    </row>
    <row r="7">
      <c r="A7" s="13" t="s">
        <v>20</v>
      </c>
      <c r="B7" s="26">
        <v>45558.0</v>
      </c>
      <c r="C7" s="13" t="s">
        <v>21</v>
      </c>
      <c r="D7" s="13">
        <v>2.2</v>
      </c>
      <c r="E7" s="13" t="s">
        <v>22</v>
      </c>
      <c r="F7" s="13">
        <v>3.0</v>
      </c>
      <c r="G7" s="13" t="s">
        <v>37</v>
      </c>
      <c r="H7" s="23">
        <v>16.4287</v>
      </c>
      <c r="I7" s="23">
        <v>576.0</v>
      </c>
      <c r="J7" s="23">
        <v>2.875</v>
      </c>
      <c r="K7" s="23">
        <v>0.004</v>
      </c>
      <c r="L7" s="23">
        <v>147.305</v>
      </c>
      <c r="M7" s="23">
        <v>26.978</v>
      </c>
      <c r="N7" s="23">
        <v>120.917</v>
      </c>
      <c r="O7" s="23">
        <v>27.237</v>
      </c>
      <c r="P7" s="23">
        <v>75.711</v>
      </c>
      <c r="Q7" s="23">
        <v>24.44</v>
      </c>
      <c r="R7" s="23">
        <v>148.034</v>
      </c>
      <c r="S7" s="23">
        <v>26.479</v>
      </c>
      <c r="T7" s="23">
        <v>121.53</v>
      </c>
      <c r="U7" s="23">
        <v>26.864</v>
      </c>
      <c r="V7" s="23">
        <v>76.169</v>
      </c>
      <c r="W7" s="23">
        <v>24.115</v>
      </c>
      <c r="X7" s="23">
        <v>147.692</v>
      </c>
      <c r="Y7" s="23">
        <v>26.71</v>
      </c>
      <c r="Z7" s="23">
        <v>121.253</v>
      </c>
      <c r="AA7" s="23">
        <v>27.059</v>
      </c>
      <c r="AB7" s="23">
        <v>75.973</v>
      </c>
      <c r="AC7" s="23">
        <v>24.33</v>
      </c>
      <c r="AD7" s="22">
        <f t="shared" ref="AD7:AI7" si="7">AVERAGE(L7,R7,X7)</f>
        <v>147.677</v>
      </c>
      <c r="AE7" s="22">
        <f t="shared" si="7"/>
        <v>26.72233333</v>
      </c>
      <c r="AF7" s="22">
        <f t="shared" si="7"/>
        <v>121.2333333</v>
      </c>
      <c r="AG7" s="22">
        <f t="shared" si="7"/>
        <v>27.05333333</v>
      </c>
      <c r="AH7" s="22">
        <f t="shared" si="7"/>
        <v>75.951</v>
      </c>
      <c r="AI7" s="22">
        <f t="shared" si="7"/>
        <v>24.295</v>
      </c>
      <c r="AJ7" s="22"/>
      <c r="AK7" s="22"/>
      <c r="AL7" s="22"/>
      <c r="AM7" s="22"/>
    </row>
    <row r="8">
      <c r="A8" s="13" t="s">
        <v>20</v>
      </c>
      <c r="B8" s="26">
        <v>45558.0</v>
      </c>
      <c r="C8" s="13" t="s">
        <v>21</v>
      </c>
      <c r="D8" s="13">
        <v>2.3</v>
      </c>
      <c r="E8" s="13" t="s">
        <v>22</v>
      </c>
      <c r="F8" s="13">
        <v>3.0</v>
      </c>
      <c r="G8" s="13" t="s">
        <v>37</v>
      </c>
      <c r="H8" s="23">
        <v>17.9937</v>
      </c>
      <c r="I8" s="23">
        <v>528.1363</v>
      </c>
      <c r="J8" s="23">
        <v>2.316</v>
      </c>
      <c r="K8" s="23">
        <v>0.029</v>
      </c>
      <c r="L8" s="23">
        <v>147.329</v>
      </c>
      <c r="M8" s="23">
        <v>32.03</v>
      </c>
      <c r="N8" s="23">
        <v>120.267</v>
      </c>
      <c r="O8" s="23">
        <v>32.834</v>
      </c>
      <c r="P8" s="23">
        <v>74.506</v>
      </c>
      <c r="Q8" s="23">
        <v>27.956</v>
      </c>
      <c r="R8" s="23">
        <v>146.665</v>
      </c>
      <c r="S8" s="23">
        <v>31.669</v>
      </c>
      <c r="T8" s="23">
        <v>119.466</v>
      </c>
      <c r="U8" s="23">
        <v>32.22</v>
      </c>
      <c r="V8" s="23">
        <v>73.514</v>
      </c>
      <c r="W8" s="23">
        <v>26.913</v>
      </c>
      <c r="X8" s="23">
        <v>146.839</v>
      </c>
      <c r="Y8" s="23">
        <v>31.585</v>
      </c>
      <c r="Z8" s="23">
        <v>119.57</v>
      </c>
      <c r="AA8" s="23">
        <v>32.136</v>
      </c>
      <c r="AB8" s="23">
        <v>73.61</v>
      </c>
      <c r="AC8" s="23">
        <v>26.68</v>
      </c>
      <c r="AD8" s="22">
        <f t="shared" ref="AD8:AI8" si="8">AVERAGE(L8,R8,X8)</f>
        <v>146.9443333</v>
      </c>
      <c r="AE8" s="22">
        <f t="shared" si="8"/>
        <v>31.76133333</v>
      </c>
      <c r="AF8" s="22">
        <f t="shared" si="8"/>
        <v>119.7676667</v>
      </c>
      <c r="AG8" s="22">
        <f t="shared" si="8"/>
        <v>32.39666667</v>
      </c>
      <c r="AH8" s="22">
        <f t="shared" si="8"/>
        <v>73.87666667</v>
      </c>
      <c r="AI8" s="22">
        <f t="shared" si="8"/>
        <v>27.183</v>
      </c>
      <c r="AJ8" s="22"/>
      <c r="AK8" s="22"/>
      <c r="AL8" s="22"/>
      <c r="AM8" s="22"/>
    </row>
    <row r="9">
      <c r="A9" s="13" t="s">
        <v>20</v>
      </c>
      <c r="B9" s="26">
        <v>45558.0</v>
      </c>
      <c r="C9" s="13" t="s">
        <v>21</v>
      </c>
      <c r="D9" s="13">
        <v>2.4</v>
      </c>
      <c r="E9" s="13" t="s">
        <v>22</v>
      </c>
      <c r="F9" s="13">
        <v>3.0</v>
      </c>
      <c r="G9" s="13" t="s">
        <v>37</v>
      </c>
      <c r="H9" s="23">
        <v>17.2215</v>
      </c>
      <c r="I9" s="23">
        <v>492.0366</v>
      </c>
      <c r="J9" s="23">
        <v>2.114</v>
      </c>
      <c r="K9" s="23">
        <v>0.037</v>
      </c>
      <c r="L9" s="23">
        <v>157.027</v>
      </c>
      <c r="M9" s="23">
        <v>25.537</v>
      </c>
      <c r="N9" s="23">
        <v>133.075</v>
      </c>
      <c r="O9" s="23">
        <v>26.678</v>
      </c>
      <c r="P9" s="23">
        <v>91.549</v>
      </c>
      <c r="Q9" s="23">
        <v>27.428</v>
      </c>
      <c r="R9" s="23">
        <v>156.764</v>
      </c>
      <c r="S9" s="23">
        <v>26.68</v>
      </c>
      <c r="T9" s="23">
        <v>132.948</v>
      </c>
      <c r="U9" s="23">
        <v>27.705</v>
      </c>
      <c r="V9" s="23">
        <v>91.554</v>
      </c>
      <c r="W9" s="23">
        <v>28.257</v>
      </c>
      <c r="X9" s="23">
        <v>157.205</v>
      </c>
      <c r="Y9" s="23">
        <v>25.51</v>
      </c>
      <c r="Z9" s="23">
        <v>133.168</v>
      </c>
      <c r="AA9" s="23">
        <v>26.732</v>
      </c>
      <c r="AB9" s="23">
        <v>91.686</v>
      </c>
      <c r="AC9" s="23">
        <v>27.457</v>
      </c>
      <c r="AD9" s="22">
        <f t="shared" ref="AD9:AI9" si="9">AVERAGE(L9,R9,X9)</f>
        <v>156.9986667</v>
      </c>
      <c r="AE9" s="22">
        <f t="shared" si="9"/>
        <v>25.909</v>
      </c>
      <c r="AF9" s="22">
        <f t="shared" si="9"/>
        <v>133.0636667</v>
      </c>
      <c r="AG9" s="22">
        <f t="shared" si="9"/>
        <v>27.03833333</v>
      </c>
      <c r="AH9" s="22">
        <f t="shared" si="9"/>
        <v>91.59633333</v>
      </c>
      <c r="AI9" s="22">
        <f t="shared" si="9"/>
        <v>27.714</v>
      </c>
      <c r="AJ9" s="22"/>
      <c r="AK9" s="22"/>
      <c r="AL9" s="22"/>
      <c r="AM9" s="22"/>
    </row>
    <row r="10">
      <c r="A10" s="13" t="s">
        <v>20</v>
      </c>
      <c r="B10" s="26">
        <v>45558.0</v>
      </c>
      <c r="C10" s="13" t="s">
        <v>21</v>
      </c>
      <c r="D10" s="13">
        <v>3.1</v>
      </c>
      <c r="E10" s="13" t="s">
        <v>22</v>
      </c>
      <c r="F10" s="13">
        <v>3.0</v>
      </c>
      <c r="G10" s="13" t="s">
        <v>37</v>
      </c>
      <c r="H10" s="23">
        <v>21.2058</v>
      </c>
      <c r="I10" s="23">
        <v>552.0326</v>
      </c>
      <c r="J10" s="23">
        <v>3.205</v>
      </c>
      <c r="K10" s="23">
        <v>0.042</v>
      </c>
      <c r="L10" s="23">
        <v>136.929</v>
      </c>
      <c r="M10" s="23">
        <v>28.668</v>
      </c>
      <c r="N10" s="23">
        <v>120.389</v>
      </c>
      <c r="O10" s="23">
        <v>25.581</v>
      </c>
      <c r="P10" s="23">
        <v>60.174</v>
      </c>
      <c r="Q10" s="23">
        <v>25.306</v>
      </c>
      <c r="R10" s="23">
        <v>136.947</v>
      </c>
      <c r="S10" s="23">
        <v>28.733</v>
      </c>
      <c r="T10" s="23">
        <v>120.374</v>
      </c>
      <c r="U10" s="23">
        <v>25.596</v>
      </c>
      <c r="V10" s="23">
        <v>59.998</v>
      </c>
      <c r="W10" s="23">
        <v>25.293</v>
      </c>
      <c r="X10" s="23">
        <v>137.784</v>
      </c>
      <c r="Y10" s="23">
        <v>28.466</v>
      </c>
      <c r="Z10" s="23">
        <v>121.134</v>
      </c>
      <c r="AA10" s="23">
        <v>25.308</v>
      </c>
      <c r="AB10" s="13">
        <v>60.425</v>
      </c>
      <c r="AC10" s="23">
        <v>25.522</v>
      </c>
      <c r="AD10" s="22">
        <f t="shared" ref="AD10:AG10" si="10">AVERAGE(L10,R10,X10)</f>
        <v>137.22</v>
      </c>
      <c r="AE10" s="22">
        <f t="shared" si="10"/>
        <v>28.62233333</v>
      </c>
      <c r="AF10" s="22">
        <f t="shared" si="10"/>
        <v>120.6323333</v>
      </c>
      <c r="AG10" s="22">
        <f t="shared" si="10"/>
        <v>25.495</v>
      </c>
      <c r="AH10" s="22">
        <f>AVERAGE(P10,V10,AC10)</f>
        <v>48.56466667</v>
      </c>
      <c r="AI10" s="22">
        <f>AVERAGE(Q10,W10,AC10)</f>
        <v>25.37366667</v>
      </c>
      <c r="AJ10" s="22"/>
      <c r="AK10" s="22"/>
      <c r="AL10" s="22"/>
      <c r="AM10" s="22"/>
    </row>
    <row r="11">
      <c r="A11" s="13" t="s">
        <v>20</v>
      </c>
      <c r="B11" s="26">
        <v>45558.0</v>
      </c>
      <c r="C11" s="13" t="s">
        <v>21</v>
      </c>
      <c r="D11" s="13">
        <v>3.2</v>
      </c>
      <c r="E11" s="13" t="s">
        <v>22</v>
      </c>
      <c r="F11" s="13">
        <v>3.0</v>
      </c>
      <c r="G11" s="13" t="s">
        <v>37</v>
      </c>
      <c r="H11" s="23">
        <v>14.1742</v>
      </c>
      <c r="I11" s="23">
        <v>528.0341</v>
      </c>
      <c r="J11" s="23">
        <v>3.163</v>
      </c>
      <c r="K11" s="23">
        <v>0.026</v>
      </c>
      <c r="L11" s="23">
        <v>146.663</v>
      </c>
      <c r="M11" s="23">
        <v>26.035</v>
      </c>
      <c r="N11" s="23">
        <v>128.489</v>
      </c>
      <c r="O11" s="23">
        <v>25.158</v>
      </c>
      <c r="P11" s="23">
        <v>68.755</v>
      </c>
      <c r="Q11" s="23">
        <v>25.683</v>
      </c>
      <c r="R11" s="23">
        <v>147.181</v>
      </c>
      <c r="S11" s="23">
        <v>25.403</v>
      </c>
      <c r="T11" s="23">
        <v>129.014</v>
      </c>
      <c r="U11" s="23">
        <v>24.568</v>
      </c>
      <c r="V11" s="23">
        <v>68.984</v>
      </c>
      <c r="W11" s="23">
        <v>25.697</v>
      </c>
      <c r="X11" s="23">
        <v>146.583</v>
      </c>
      <c r="Y11" s="23">
        <v>25.61</v>
      </c>
      <c r="Z11" s="23">
        <v>128.376</v>
      </c>
      <c r="AA11" s="23">
        <v>24.767</v>
      </c>
      <c r="AB11" s="23">
        <v>68.514</v>
      </c>
      <c r="AC11" s="23">
        <v>25.288</v>
      </c>
      <c r="AD11" s="22">
        <f t="shared" ref="AD11:AI11" si="11">AVERAGE(L11,R11,X11)</f>
        <v>146.809</v>
      </c>
      <c r="AE11" s="22">
        <f t="shared" si="11"/>
        <v>25.68266667</v>
      </c>
      <c r="AF11" s="22">
        <f t="shared" si="11"/>
        <v>128.6263333</v>
      </c>
      <c r="AG11" s="22">
        <f t="shared" si="11"/>
        <v>24.831</v>
      </c>
      <c r="AH11" s="22">
        <f t="shared" si="11"/>
        <v>68.751</v>
      </c>
      <c r="AI11" s="22">
        <f t="shared" si="11"/>
        <v>25.556</v>
      </c>
      <c r="AJ11" s="22"/>
      <c r="AK11" s="22"/>
      <c r="AL11" s="22"/>
      <c r="AM11" s="22"/>
    </row>
    <row r="12">
      <c r="A12" s="13" t="s">
        <v>20</v>
      </c>
      <c r="B12" s="26">
        <v>45558.0</v>
      </c>
      <c r="C12" s="13" t="s">
        <v>21</v>
      </c>
      <c r="D12" s="13">
        <v>3.3</v>
      </c>
      <c r="E12" s="13" t="s">
        <v>22</v>
      </c>
      <c r="F12" s="13">
        <v>3.0</v>
      </c>
      <c r="G12" s="13" t="s">
        <v>37</v>
      </c>
      <c r="H12" s="23">
        <v>17.2467</v>
      </c>
      <c r="I12" s="23">
        <v>558.0</v>
      </c>
      <c r="J12" s="23">
        <v>2.543</v>
      </c>
      <c r="K12" s="23">
        <v>0.032</v>
      </c>
      <c r="L12" s="23">
        <v>150.427</v>
      </c>
      <c r="M12" s="23">
        <v>22.577</v>
      </c>
      <c r="N12" s="23">
        <v>130.762</v>
      </c>
      <c r="O12" s="23">
        <v>22.737</v>
      </c>
      <c r="P12" s="23">
        <v>68.462</v>
      </c>
      <c r="Q12" s="23">
        <v>25.694</v>
      </c>
      <c r="R12" s="23">
        <v>149.804</v>
      </c>
      <c r="S12" s="23">
        <v>23.023</v>
      </c>
      <c r="T12" s="23">
        <v>130.206</v>
      </c>
      <c r="U12" s="23">
        <v>23.215</v>
      </c>
      <c r="V12" s="23">
        <v>68.117</v>
      </c>
      <c r="W12" s="23">
        <v>25.52</v>
      </c>
      <c r="X12" s="23">
        <v>150.554</v>
      </c>
      <c r="Y12" s="23">
        <v>21.982</v>
      </c>
      <c r="Z12" s="23">
        <v>130.896</v>
      </c>
      <c r="AA12" s="23">
        <v>22.139</v>
      </c>
      <c r="AB12" s="23">
        <v>68.018</v>
      </c>
      <c r="AC12" s="23">
        <v>24.994</v>
      </c>
      <c r="AD12" s="22">
        <f t="shared" ref="AD12:AI12" si="12">AVERAGE(L12,R12,X12)</f>
        <v>150.2616667</v>
      </c>
      <c r="AE12" s="22">
        <f t="shared" si="12"/>
        <v>22.52733333</v>
      </c>
      <c r="AF12" s="22">
        <f t="shared" si="12"/>
        <v>130.6213333</v>
      </c>
      <c r="AG12" s="22">
        <f t="shared" si="12"/>
        <v>22.697</v>
      </c>
      <c r="AH12" s="22">
        <f t="shared" si="12"/>
        <v>68.199</v>
      </c>
      <c r="AI12" s="22">
        <f t="shared" si="12"/>
        <v>25.40266667</v>
      </c>
      <c r="AJ12" s="22"/>
      <c r="AK12" s="22"/>
      <c r="AL12" s="22"/>
      <c r="AM12" s="22"/>
    </row>
    <row r="13">
      <c r="A13" s="13" t="s">
        <v>20</v>
      </c>
      <c r="B13" s="26">
        <v>45558.0</v>
      </c>
      <c r="C13" s="13" t="s">
        <v>21</v>
      </c>
      <c r="D13" s="13">
        <v>3.4</v>
      </c>
      <c r="E13" s="13" t="s">
        <v>22</v>
      </c>
      <c r="F13" s="13">
        <v>3.0</v>
      </c>
      <c r="G13" s="13" t="s">
        <v>37</v>
      </c>
      <c r="H13" s="23">
        <v>17.7959</v>
      </c>
      <c r="I13" s="23">
        <v>468.0</v>
      </c>
      <c r="J13" s="23">
        <v>3.394</v>
      </c>
      <c r="K13" s="23">
        <v>0.063</v>
      </c>
      <c r="L13" s="23">
        <v>139.963</v>
      </c>
      <c r="M13" s="23">
        <v>29.228</v>
      </c>
      <c r="N13" s="23">
        <v>124.132</v>
      </c>
      <c r="O13" s="23">
        <v>29.579</v>
      </c>
      <c r="P13" s="23">
        <v>80.476</v>
      </c>
      <c r="Q13" s="23">
        <v>31.671</v>
      </c>
      <c r="R13" s="23">
        <v>141.203</v>
      </c>
      <c r="S13" s="23">
        <v>28.139</v>
      </c>
      <c r="T13" s="23">
        <v>125.351</v>
      </c>
      <c r="U13" s="23">
        <v>28.583</v>
      </c>
      <c r="V13" s="23">
        <v>81.071</v>
      </c>
      <c r="W13" s="23">
        <v>31.49</v>
      </c>
      <c r="X13" s="23">
        <v>141.156</v>
      </c>
      <c r="Y13" s="23">
        <v>27.858</v>
      </c>
      <c r="Z13" s="23">
        <v>125.358</v>
      </c>
      <c r="AA13" s="23">
        <v>28.287</v>
      </c>
      <c r="AB13" s="23">
        <v>81.074</v>
      </c>
      <c r="AC13" s="23">
        <v>31.264</v>
      </c>
      <c r="AD13" s="22">
        <f t="shared" ref="AD13:AI13" si="13">AVERAGE(L13,R13,X13)</f>
        <v>140.774</v>
      </c>
      <c r="AE13" s="22">
        <f t="shared" si="13"/>
        <v>28.40833333</v>
      </c>
      <c r="AF13" s="22">
        <f t="shared" si="13"/>
        <v>124.947</v>
      </c>
      <c r="AG13" s="22">
        <f t="shared" si="13"/>
        <v>28.81633333</v>
      </c>
      <c r="AH13" s="22">
        <f t="shared" si="13"/>
        <v>80.87366667</v>
      </c>
      <c r="AI13" s="22">
        <f t="shared" si="13"/>
        <v>31.475</v>
      </c>
      <c r="AJ13" s="22"/>
      <c r="AK13" s="22"/>
      <c r="AL13" s="22"/>
      <c r="AM13" s="22"/>
    </row>
    <row r="14">
      <c r="A14" s="13" t="s">
        <v>20</v>
      </c>
      <c r="B14" s="26">
        <v>45558.0</v>
      </c>
      <c r="C14" s="13" t="s">
        <v>24</v>
      </c>
      <c r="D14" s="13">
        <v>1.1</v>
      </c>
      <c r="E14" s="13" t="s">
        <v>22</v>
      </c>
      <c r="F14" s="13">
        <v>3.0</v>
      </c>
      <c r="G14" s="13" t="s">
        <v>37</v>
      </c>
      <c r="H14" s="23">
        <v>19.8768</v>
      </c>
      <c r="I14" s="23">
        <v>498.0</v>
      </c>
      <c r="J14" s="23">
        <v>6.533</v>
      </c>
      <c r="K14" s="23">
        <v>0.128</v>
      </c>
      <c r="L14" s="23">
        <v>173.068</v>
      </c>
      <c r="M14" s="23">
        <v>23.224</v>
      </c>
      <c r="N14" s="23">
        <v>142.103</v>
      </c>
      <c r="O14" s="23">
        <v>21.594</v>
      </c>
      <c r="P14" s="23">
        <v>79.242</v>
      </c>
      <c r="Q14" s="23">
        <v>23.146</v>
      </c>
      <c r="R14" s="23">
        <v>173.347</v>
      </c>
      <c r="S14" s="23">
        <v>23.193</v>
      </c>
      <c r="T14" s="23">
        <v>142.173</v>
      </c>
      <c r="U14" s="23">
        <v>21.644</v>
      </c>
      <c r="V14" s="23">
        <v>78.981</v>
      </c>
      <c r="W14" s="23">
        <v>22.811</v>
      </c>
      <c r="X14" s="23">
        <v>174.485</v>
      </c>
      <c r="Y14" s="23">
        <v>21.471</v>
      </c>
      <c r="Z14" s="23">
        <v>143.008</v>
      </c>
      <c r="AA14" s="23">
        <v>20.414</v>
      </c>
      <c r="AB14" s="23">
        <v>79.126</v>
      </c>
      <c r="AC14" s="23">
        <v>22.327</v>
      </c>
      <c r="AD14" s="22">
        <f t="shared" ref="AD14:AI14" si="14">AVERAGE(L14,R14,X14)</f>
        <v>173.6333333</v>
      </c>
      <c r="AE14" s="22">
        <f t="shared" si="14"/>
        <v>22.62933333</v>
      </c>
      <c r="AF14" s="22">
        <f t="shared" si="14"/>
        <v>142.428</v>
      </c>
      <c r="AG14" s="22">
        <f t="shared" si="14"/>
        <v>21.21733333</v>
      </c>
      <c r="AH14" s="22">
        <f t="shared" si="14"/>
        <v>79.11633333</v>
      </c>
      <c r="AI14" s="22">
        <f t="shared" si="14"/>
        <v>22.76133333</v>
      </c>
      <c r="AJ14" s="22"/>
      <c r="AK14" s="22"/>
      <c r="AL14" s="22"/>
      <c r="AM14" s="22"/>
    </row>
    <row r="15">
      <c r="A15" s="13" t="s">
        <v>20</v>
      </c>
      <c r="B15" s="26">
        <v>45558.0</v>
      </c>
      <c r="C15" s="13" t="s">
        <v>24</v>
      </c>
      <c r="D15" s="13">
        <v>1.2</v>
      </c>
      <c r="E15" s="13" t="s">
        <v>22</v>
      </c>
      <c r="F15" s="13">
        <v>3.0</v>
      </c>
      <c r="G15" s="13" t="s">
        <v>37</v>
      </c>
      <c r="H15" s="23">
        <v>18.6801</v>
      </c>
      <c r="I15" s="23">
        <v>516.0349</v>
      </c>
      <c r="J15" s="23">
        <v>5.906</v>
      </c>
      <c r="K15" s="23">
        <v>0.028</v>
      </c>
      <c r="L15" s="23">
        <v>169.146</v>
      </c>
      <c r="M15" s="23">
        <v>17.008</v>
      </c>
      <c r="N15" s="23">
        <v>138.813</v>
      </c>
      <c r="O15" s="23">
        <v>16.053</v>
      </c>
      <c r="P15" s="23">
        <v>74.201</v>
      </c>
      <c r="Q15" s="23">
        <v>19.953</v>
      </c>
      <c r="R15" s="23">
        <v>168.129</v>
      </c>
      <c r="S15" s="23">
        <v>18.683</v>
      </c>
      <c r="T15" s="13">
        <v>137.954</v>
      </c>
      <c r="U15" s="23">
        <v>17.253</v>
      </c>
      <c r="V15" s="23">
        <v>73.668</v>
      </c>
      <c r="W15" s="23">
        <v>19.765</v>
      </c>
      <c r="X15" s="23">
        <v>169.031</v>
      </c>
      <c r="Y15" s="23">
        <v>17.164</v>
      </c>
      <c r="Z15" s="23">
        <v>138.604</v>
      </c>
      <c r="AA15" s="23">
        <v>16.137</v>
      </c>
      <c r="AB15" s="23">
        <v>73.751</v>
      </c>
      <c r="AC15" s="23">
        <v>19.279</v>
      </c>
      <c r="AD15" s="22">
        <f t="shared" ref="AD15:AE15" si="15">AVERAGE(L15,R15,X15)</f>
        <v>168.7686667</v>
      </c>
      <c r="AE15" s="22">
        <f t="shared" si="15"/>
        <v>17.61833333</v>
      </c>
      <c r="AF15" s="22">
        <f>AVERAGE(N15,U14,Z15)</f>
        <v>99.687</v>
      </c>
      <c r="AG15" s="22">
        <f t="shared" ref="AG15:AI15" si="16">AVERAGE(O15,U15,AA15)</f>
        <v>16.481</v>
      </c>
      <c r="AH15" s="22">
        <f t="shared" si="16"/>
        <v>73.87333333</v>
      </c>
      <c r="AI15" s="22">
        <f t="shared" si="16"/>
        <v>19.66566667</v>
      </c>
      <c r="AJ15" s="22"/>
      <c r="AK15" s="22"/>
      <c r="AL15" s="22"/>
      <c r="AM15" s="22"/>
    </row>
    <row r="16">
      <c r="A16" s="13" t="s">
        <v>20</v>
      </c>
      <c r="B16" s="26">
        <v>45558.0</v>
      </c>
      <c r="C16" s="13" t="s">
        <v>24</v>
      </c>
      <c r="D16" s="13">
        <v>1.3</v>
      </c>
      <c r="E16" s="13" t="s">
        <v>22</v>
      </c>
      <c r="F16" s="13">
        <v>3.0</v>
      </c>
      <c r="G16" s="13" t="s">
        <v>37</v>
      </c>
      <c r="H16" s="23">
        <v>15.4625</v>
      </c>
      <c r="I16" s="23">
        <v>510.0</v>
      </c>
      <c r="J16" s="23">
        <v>4.992</v>
      </c>
      <c r="K16" s="23">
        <v>0.048</v>
      </c>
      <c r="L16" s="23">
        <v>168.834</v>
      </c>
      <c r="M16" s="23">
        <v>20.171</v>
      </c>
      <c r="N16" s="23">
        <v>136.815</v>
      </c>
      <c r="O16" s="23">
        <v>18.65</v>
      </c>
      <c r="P16" s="23">
        <v>73.989</v>
      </c>
      <c r="Q16" s="23">
        <v>17.252</v>
      </c>
      <c r="R16" s="23">
        <v>169.711</v>
      </c>
      <c r="S16" s="23">
        <v>17.885</v>
      </c>
      <c r="T16" s="23">
        <v>137.321</v>
      </c>
      <c r="U16" s="23">
        <v>16.645</v>
      </c>
      <c r="V16" s="23">
        <v>73.991</v>
      </c>
      <c r="W16" s="23">
        <v>16.135</v>
      </c>
      <c r="X16" s="23">
        <v>169.748</v>
      </c>
      <c r="Y16" s="23">
        <v>18.182</v>
      </c>
      <c r="Z16" s="23">
        <v>137.43</v>
      </c>
      <c r="AA16" s="23">
        <v>17.041</v>
      </c>
      <c r="AB16" s="23">
        <v>74.108</v>
      </c>
      <c r="AC16" s="23">
        <v>16.464</v>
      </c>
      <c r="AD16" s="22">
        <f t="shared" ref="AD16:AI16" si="17">AVERAGE(L16,R16,X16)</f>
        <v>169.431</v>
      </c>
      <c r="AE16" s="22">
        <f t="shared" si="17"/>
        <v>18.746</v>
      </c>
      <c r="AF16" s="22">
        <f t="shared" si="17"/>
        <v>137.1886667</v>
      </c>
      <c r="AG16" s="22">
        <f t="shared" si="17"/>
        <v>17.44533333</v>
      </c>
      <c r="AH16" s="22">
        <f t="shared" si="17"/>
        <v>74.02933333</v>
      </c>
      <c r="AI16" s="22">
        <f t="shared" si="17"/>
        <v>16.617</v>
      </c>
      <c r="AJ16" s="22"/>
      <c r="AK16" s="22"/>
      <c r="AL16" s="22"/>
      <c r="AM16" s="22"/>
    </row>
    <row r="17">
      <c r="A17" s="13" t="s">
        <v>20</v>
      </c>
      <c r="B17" s="26">
        <v>45558.0</v>
      </c>
      <c r="C17" s="13" t="s">
        <v>24</v>
      </c>
      <c r="D17" s="13">
        <v>1.4</v>
      </c>
      <c r="E17" s="13" t="s">
        <v>22</v>
      </c>
      <c r="F17" s="13">
        <v>3.0</v>
      </c>
      <c r="G17" s="13" t="s">
        <v>37</v>
      </c>
      <c r="H17" s="23">
        <v>16.8552</v>
      </c>
      <c r="I17" s="23">
        <v>474.038</v>
      </c>
      <c r="J17" s="23">
        <v>4.155</v>
      </c>
      <c r="K17" s="23">
        <v>0.014</v>
      </c>
      <c r="L17" s="23">
        <v>161.035</v>
      </c>
      <c r="M17" s="23">
        <v>20.525</v>
      </c>
      <c r="N17" s="23">
        <v>129.671</v>
      </c>
      <c r="O17" s="23">
        <v>20.464</v>
      </c>
      <c r="P17" s="23">
        <v>73.9</v>
      </c>
      <c r="Q17" s="23">
        <v>22.204</v>
      </c>
      <c r="R17" s="13">
        <v>160.122</v>
      </c>
      <c r="S17" s="23">
        <v>21.935</v>
      </c>
      <c r="T17" s="23">
        <v>129.171</v>
      </c>
      <c r="U17" s="23">
        <v>21.461</v>
      </c>
      <c r="V17" s="23">
        <v>74.145</v>
      </c>
      <c r="W17" s="23">
        <v>22.804</v>
      </c>
      <c r="X17" s="23">
        <v>160.99</v>
      </c>
      <c r="Y17" s="23">
        <v>20.819</v>
      </c>
      <c r="Z17" s="23">
        <v>129.695</v>
      </c>
      <c r="AA17" s="23">
        <v>20.682</v>
      </c>
      <c r="AB17" s="23">
        <v>74.049</v>
      </c>
      <c r="AC17" s="23">
        <v>22.401</v>
      </c>
      <c r="AD17" s="22">
        <f t="shared" ref="AD17:AI17" si="18">AVERAGE(L17,R17,X17)</f>
        <v>160.7156667</v>
      </c>
      <c r="AE17" s="22">
        <f t="shared" si="18"/>
        <v>21.093</v>
      </c>
      <c r="AF17" s="22">
        <f t="shared" si="18"/>
        <v>129.5123333</v>
      </c>
      <c r="AG17" s="22">
        <f t="shared" si="18"/>
        <v>20.869</v>
      </c>
      <c r="AH17" s="22">
        <f t="shared" si="18"/>
        <v>74.03133333</v>
      </c>
      <c r="AI17" s="22">
        <f t="shared" si="18"/>
        <v>22.46966667</v>
      </c>
      <c r="AJ17" s="22"/>
      <c r="AK17" s="22"/>
      <c r="AL17" s="22"/>
      <c r="AM17" s="22"/>
    </row>
    <row r="18">
      <c r="A18" s="13" t="s">
        <v>20</v>
      </c>
      <c r="B18" s="26">
        <v>45558.0</v>
      </c>
      <c r="C18" s="13" t="s">
        <v>24</v>
      </c>
      <c r="D18" s="13">
        <v>2.1</v>
      </c>
      <c r="E18" s="13" t="s">
        <v>22</v>
      </c>
      <c r="F18" s="13">
        <v>3.0</v>
      </c>
      <c r="G18" s="13" t="s">
        <v>37</v>
      </c>
      <c r="H18" s="23">
        <v>11.0389</v>
      </c>
      <c r="I18" s="23">
        <v>546.0</v>
      </c>
      <c r="J18" s="13">
        <v>3.525</v>
      </c>
      <c r="K18" s="23">
        <v>0.065</v>
      </c>
      <c r="L18" s="23">
        <v>154.413</v>
      </c>
      <c r="M18" s="23">
        <v>24.442</v>
      </c>
      <c r="N18" s="23">
        <v>126.815</v>
      </c>
      <c r="O18" s="23">
        <v>23.111</v>
      </c>
      <c r="P18" s="23">
        <v>61.392</v>
      </c>
      <c r="Q18" s="23">
        <v>18.274</v>
      </c>
      <c r="R18" s="23">
        <v>155.22</v>
      </c>
      <c r="S18" s="23">
        <v>23.073</v>
      </c>
      <c r="T18" s="23">
        <v>127.461</v>
      </c>
      <c r="U18" s="23">
        <v>22.005</v>
      </c>
      <c r="V18" s="23">
        <v>61.611</v>
      </c>
      <c r="W18" s="23">
        <v>17.741</v>
      </c>
      <c r="X18" s="23">
        <v>154.778</v>
      </c>
      <c r="Y18" s="23">
        <v>23.493</v>
      </c>
      <c r="Z18" s="23">
        <v>127.159</v>
      </c>
      <c r="AA18" s="23">
        <v>22.427</v>
      </c>
      <c r="AB18" s="23">
        <v>61.667</v>
      </c>
      <c r="AC18" s="23">
        <v>18.34</v>
      </c>
      <c r="AD18" s="22">
        <f t="shared" ref="AD18:AI18" si="19">AVERAGE(L18,R18,X18)</f>
        <v>154.8036667</v>
      </c>
      <c r="AE18" s="22">
        <f t="shared" si="19"/>
        <v>23.66933333</v>
      </c>
      <c r="AF18" s="22">
        <f t="shared" si="19"/>
        <v>127.145</v>
      </c>
      <c r="AG18" s="22">
        <f t="shared" si="19"/>
        <v>22.51433333</v>
      </c>
      <c r="AH18" s="22">
        <f t="shared" si="19"/>
        <v>61.55666667</v>
      </c>
      <c r="AI18" s="22">
        <f t="shared" si="19"/>
        <v>18.11833333</v>
      </c>
      <c r="AJ18" s="22"/>
      <c r="AK18" s="22"/>
      <c r="AL18" s="22"/>
      <c r="AM18" s="22"/>
    </row>
    <row r="19">
      <c r="A19" s="13" t="s">
        <v>20</v>
      </c>
      <c r="B19" s="26">
        <v>45558.0</v>
      </c>
      <c r="C19" s="13" t="s">
        <v>24</v>
      </c>
      <c r="D19" s="13">
        <v>2.2</v>
      </c>
      <c r="E19" s="13" t="s">
        <v>22</v>
      </c>
      <c r="F19" s="13">
        <v>3.0</v>
      </c>
      <c r="G19" s="13" t="s">
        <v>37</v>
      </c>
      <c r="H19" s="23">
        <v>15.0124</v>
      </c>
      <c r="I19" s="23">
        <v>552.0326</v>
      </c>
      <c r="J19" s="23">
        <v>3.131</v>
      </c>
      <c r="K19" s="23">
        <v>0.05</v>
      </c>
      <c r="L19" s="23">
        <v>156.234</v>
      </c>
      <c r="M19" s="23">
        <v>21.067</v>
      </c>
      <c r="N19" s="23">
        <v>129.178</v>
      </c>
      <c r="O19" s="23">
        <v>21.316</v>
      </c>
      <c r="P19" s="23">
        <v>61.234</v>
      </c>
      <c r="Q19" s="23">
        <v>20.597</v>
      </c>
      <c r="R19" s="23">
        <v>156.272</v>
      </c>
      <c r="S19" s="23">
        <v>20.777</v>
      </c>
      <c r="T19" s="23">
        <v>129.125</v>
      </c>
      <c r="U19" s="23">
        <v>21.196</v>
      </c>
      <c r="V19" s="23">
        <v>60.99</v>
      </c>
      <c r="W19" s="23">
        <v>20.478</v>
      </c>
      <c r="X19" s="23">
        <v>156.87</v>
      </c>
      <c r="Y19" s="23">
        <v>20.498</v>
      </c>
      <c r="Z19" s="23">
        <v>129.754</v>
      </c>
      <c r="AA19" s="23">
        <v>20.9</v>
      </c>
      <c r="AB19" s="23">
        <v>61.566</v>
      </c>
      <c r="AC19" s="23">
        <v>20.63</v>
      </c>
      <c r="AD19" s="22">
        <f t="shared" ref="AD19:AI19" si="20">AVERAGE(L19,R19,X19)</f>
        <v>156.4586667</v>
      </c>
      <c r="AE19" s="22">
        <f t="shared" si="20"/>
        <v>20.78066667</v>
      </c>
      <c r="AF19" s="22">
        <f t="shared" si="20"/>
        <v>129.3523333</v>
      </c>
      <c r="AG19" s="22">
        <f t="shared" si="20"/>
        <v>21.13733333</v>
      </c>
      <c r="AH19" s="22">
        <f t="shared" si="20"/>
        <v>61.26333333</v>
      </c>
      <c r="AI19" s="22">
        <f t="shared" si="20"/>
        <v>20.56833333</v>
      </c>
      <c r="AJ19" s="22"/>
      <c r="AK19" s="22"/>
      <c r="AL19" s="22"/>
      <c r="AM19" s="22"/>
    </row>
    <row r="20">
      <c r="A20" s="13" t="s">
        <v>20</v>
      </c>
      <c r="B20" s="26">
        <v>45558.0</v>
      </c>
      <c r="C20" s="13" t="s">
        <v>24</v>
      </c>
      <c r="D20" s="13">
        <v>2.3</v>
      </c>
      <c r="E20" s="13" t="s">
        <v>22</v>
      </c>
      <c r="F20" s="13">
        <v>3.0</v>
      </c>
      <c r="G20" s="13" t="s">
        <v>37</v>
      </c>
      <c r="H20" s="23">
        <v>15.8196</v>
      </c>
      <c r="I20" s="23">
        <v>510.0353</v>
      </c>
      <c r="J20" s="23">
        <v>3.426</v>
      </c>
      <c r="K20" s="23">
        <v>0.072</v>
      </c>
      <c r="L20" s="23">
        <v>144.581</v>
      </c>
      <c r="M20" s="23">
        <v>30.777</v>
      </c>
      <c r="N20" s="23">
        <v>117.295</v>
      </c>
      <c r="O20" s="23">
        <v>28.94</v>
      </c>
      <c r="P20" s="23">
        <v>57.37</v>
      </c>
      <c r="Q20" s="23">
        <v>21.878</v>
      </c>
      <c r="R20" s="23">
        <v>145.329</v>
      </c>
      <c r="S20" s="23">
        <v>29.7</v>
      </c>
      <c r="T20" s="23">
        <v>117.883</v>
      </c>
      <c r="U20" s="23">
        <v>28.032</v>
      </c>
      <c r="V20" s="23">
        <v>57.559</v>
      </c>
      <c r="W20" s="23">
        <v>21.454</v>
      </c>
      <c r="X20" s="23">
        <v>146.226</v>
      </c>
      <c r="Y20" s="23">
        <v>29.02</v>
      </c>
      <c r="Z20" s="23">
        <v>118.687</v>
      </c>
      <c r="AA20" s="23">
        <v>27.587</v>
      </c>
      <c r="AB20" s="23">
        <v>57.949</v>
      </c>
      <c r="AC20" s="23">
        <v>21.488</v>
      </c>
      <c r="AD20" s="22">
        <f t="shared" ref="AD20:AI20" si="21">AVERAGE(L20,R20,X20)</f>
        <v>145.3786667</v>
      </c>
      <c r="AE20" s="22">
        <f t="shared" si="21"/>
        <v>29.83233333</v>
      </c>
      <c r="AF20" s="22">
        <f t="shared" si="21"/>
        <v>117.955</v>
      </c>
      <c r="AG20" s="22">
        <f t="shared" si="21"/>
        <v>28.18633333</v>
      </c>
      <c r="AH20" s="22">
        <f t="shared" si="21"/>
        <v>57.626</v>
      </c>
      <c r="AI20" s="22">
        <f t="shared" si="21"/>
        <v>21.60666667</v>
      </c>
      <c r="AJ20" s="22"/>
      <c r="AK20" s="22"/>
      <c r="AL20" s="22"/>
      <c r="AM20" s="22"/>
    </row>
    <row r="21">
      <c r="A21" s="13" t="s">
        <v>20</v>
      </c>
      <c r="B21" s="26">
        <v>45558.0</v>
      </c>
      <c r="C21" s="13" t="s">
        <v>24</v>
      </c>
      <c r="D21" s="13">
        <v>2.4</v>
      </c>
      <c r="E21" s="13" t="s">
        <v>22</v>
      </c>
      <c r="F21" s="13">
        <v>3.0</v>
      </c>
      <c r="G21" s="13" t="s">
        <v>37</v>
      </c>
      <c r="H21" s="23">
        <v>14.797</v>
      </c>
      <c r="I21" s="23">
        <v>486.037</v>
      </c>
      <c r="J21" s="23">
        <v>2.774</v>
      </c>
      <c r="K21" s="23">
        <v>0.083</v>
      </c>
      <c r="L21" s="23">
        <v>138.349</v>
      </c>
      <c r="M21" s="23">
        <v>26.179</v>
      </c>
      <c r="N21" s="23">
        <v>115.358</v>
      </c>
      <c r="O21" s="23">
        <v>23.778</v>
      </c>
      <c r="P21" s="23">
        <v>67.453</v>
      </c>
      <c r="Q21" s="23">
        <v>22.536</v>
      </c>
      <c r="R21" s="23">
        <v>137.87</v>
      </c>
      <c r="S21" s="23">
        <v>26.264</v>
      </c>
      <c r="T21" s="13">
        <v>115.085</v>
      </c>
      <c r="U21" s="13">
        <v>23.798</v>
      </c>
      <c r="V21" s="23">
        <v>67.367</v>
      </c>
      <c r="W21" s="23">
        <v>22.453</v>
      </c>
      <c r="X21" s="23">
        <v>138.056</v>
      </c>
      <c r="Y21" s="23">
        <v>26.009</v>
      </c>
      <c r="Z21" s="23">
        <v>115.231</v>
      </c>
      <c r="AA21" s="23">
        <v>23.505</v>
      </c>
      <c r="AB21" s="23">
        <v>67.395</v>
      </c>
      <c r="AC21" s="23">
        <v>22.253</v>
      </c>
      <c r="AD21" s="22">
        <f t="shared" ref="AD21:AE21" si="22">AVERAGE(L21,R21,X21)</f>
        <v>138.0916667</v>
      </c>
      <c r="AE21" s="22">
        <f t="shared" si="22"/>
        <v>26.15066667</v>
      </c>
      <c r="AF21" s="22">
        <f t="shared" ref="AF21:AG21" si="23">AVERAGE(N21,V21,Z21)</f>
        <v>99.31866667</v>
      </c>
      <c r="AG21" s="22">
        <f t="shared" si="23"/>
        <v>23.24533333</v>
      </c>
      <c r="AH21" s="22">
        <f t="shared" ref="AH21:AI21" si="24">AVERAGE(P21,V21,AB21)</f>
        <v>67.405</v>
      </c>
      <c r="AI21" s="22">
        <f t="shared" si="24"/>
        <v>22.414</v>
      </c>
      <c r="AJ21" s="22"/>
      <c r="AK21" s="22"/>
      <c r="AL21" s="22"/>
      <c r="AM21" s="22"/>
    </row>
    <row r="22">
      <c r="A22" s="13" t="s">
        <v>20</v>
      </c>
      <c r="B22" s="26">
        <v>45558.0</v>
      </c>
      <c r="C22" s="13" t="s">
        <v>24</v>
      </c>
      <c r="D22" s="13">
        <v>3.1</v>
      </c>
      <c r="E22" s="13" t="s">
        <v>22</v>
      </c>
      <c r="F22" s="13">
        <v>3.0</v>
      </c>
      <c r="G22" s="13" t="s">
        <v>37</v>
      </c>
      <c r="H22" s="23">
        <v>16.3226</v>
      </c>
      <c r="I22" s="23">
        <v>516.0349</v>
      </c>
      <c r="J22" s="23">
        <v>4.82</v>
      </c>
      <c r="K22" s="23">
        <v>0.024</v>
      </c>
      <c r="L22" s="23">
        <v>169.255</v>
      </c>
      <c r="M22" s="23">
        <v>22.317</v>
      </c>
      <c r="N22" s="23">
        <v>133.152</v>
      </c>
      <c r="O22" s="23">
        <v>23.645</v>
      </c>
      <c r="P22" s="23">
        <v>63.445</v>
      </c>
      <c r="Q22" s="23">
        <v>22.622</v>
      </c>
      <c r="R22" s="23">
        <v>169.64</v>
      </c>
      <c r="S22" s="23">
        <v>21.617</v>
      </c>
      <c r="T22" s="23">
        <v>133.446</v>
      </c>
      <c r="U22" s="23">
        <v>23.163</v>
      </c>
      <c r="V22" s="23">
        <v>63.399</v>
      </c>
      <c r="W22" s="23">
        <v>22.539</v>
      </c>
      <c r="X22" s="23">
        <v>169.368</v>
      </c>
      <c r="Y22" s="23">
        <v>22.48</v>
      </c>
      <c r="Z22" s="23">
        <v>133.178</v>
      </c>
      <c r="AA22" s="23">
        <v>23.848</v>
      </c>
      <c r="AB22" s="23">
        <v>63.485</v>
      </c>
      <c r="AC22" s="23">
        <v>22.666</v>
      </c>
      <c r="AD22" s="22">
        <f t="shared" ref="AD22:AI22" si="25">AVERAGE(L22,R22,X22)</f>
        <v>169.421</v>
      </c>
      <c r="AE22" s="22">
        <f t="shared" si="25"/>
        <v>22.138</v>
      </c>
      <c r="AF22" s="22">
        <f t="shared" si="25"/>
        <v>133.2586667</v>
      </c>
      <c r="AG22" s="22">
        <f t="shared" si="25"/>
        <v>23.552</v>
      </c>
      <c r="AH22" s="22">
        <f t="shared" si="25"/>
        <v>63.443</v>
      </c>
      <c r="AI22" s="22">
        <f t="shared" si="25"/>
        <v>22.609</v>
      </c>
      <c r="AJ22" s="22"/>
      <c r="AK22" s="22"/>
      <c r="AL22" s="22"/>
      <c r="AM22" s="22"/>
    </row>
    <row r="23">
      <c r="A23" s="13" t="s">
        <v>20</v>
      </c>
      <c r="B23" s="26">
        <v>45558.0</v>
      </c>
      <c r="C23" s="13" t="s">
        <v>24</v>
      </c>
      <c r="D23" s="13">
        <v>3.2</v>
      </c>
      <c r="E23" s="13" t="s">
        <v>22</v>
      </c>
      <c r="F23" s="13">
        <v>3.0</v>
      </c>
      <c r="G23" s="13" t="s">
        <v>37</v>
      </c>
      <c r="H23" s="23">
        <v>14.1655</v>
      </c>
      <c r="I23" s="23">
        <v>516.0349</v>
      </c>
      <c r="J23" s="23">
        <v>4.979</v>
      </c>
      <c r="K23" s="23">
        <v>0.031</v>
      </c>
      <c r="L23" s="23">
        <v>163.428</v>
      </c>
      <c r="M23" s="23">
        <v>26.273</v>
      </c>
      <c r="N23" s="23">
        <v>129.127</v>
      </c>
      <c r="O23" s="23">
        <v>24.578</v>
      </c>
      <c r="P23" s="23">
        <v>65.15</v>
      </c>
      <c r="Q23" s="23">
        <v>20.077</v>
      </c>
      <c r="R23" s="23">
        <v>164.126</v>
      </c>
      <c r="S23" s="23">
        <v>25.512</v>
      </c>
      <c r="T23" s="23">
        <v>129.781</v>
      </c>
      <c r="U23" s="23">
        <v>24.199</v>
      </c>
      <c r="V23" s="23">
        <v>65.682</v>
      </c>
      <c r="W23" s="23">
        <v>20.461</v>
      </c>
      <c r="X23" s="23">
        <v>164.426</v>
      </c>
      <c r="Y23" s="23">
        <v>24.54</v>
      </c>
      <c r="Z23" s="23">
        <v>129.901</v>
      </c>
      <c r="AA23" s="23">
        <v>23.329</v>
      </c>
      <c r="AB23" s="23">
        <v>65.52</v>
      </c>
      <c r="AC23" s="23">
        <v>19.577</v>
      </c>
      <c r="AD23" s="22">
        <f t="shared" ref="AD23:AI23" si="26">AVERAGE(L23,R23,X23)</f>
        <v>163.9933333</v>
      </c>
      <c r="AE23" s="22">
        <f t="shared" si="26"/>
        <v>25.44166667</v>
      </c>
      <c r="AF23" s="22">
        <f t="shared" si="26"/>
        <v>129.603</v>
      </c>
      <c r="AG23" s="22">
        <f t="shared" si="26"/>
        <v>24.03533333</v>
      </c>
      <c r="AH23" s="22">
        <f t="shared" si="26"/>
        <v>65.45066667</v>
      </c>
      <c r="AI23" s="22">
        <f t="shared" si="26"/>
        <v>20.03833333</v>
      </c>
      <c r="AJ23" s="22"/>
      <c r="AK23" s="22"/>
      <c r="AL23" s="22"/>
      <c r="AM23" s="22"/>
    </row>
    <row r="24">
      <c r="A24" s="13" t="s">
        <v>20</v>
      </c>
      <c r="B24" s="26">
        <v>45558.0</v>
      </c>
      <c r="C24" s="13" t="s">
        <v>24</v>
      </c>
      <c r="D24" s="13">
        <v>3.3</v>
      </c>
      <c r="E24" s="13" t="s">
        <v>22</v>
      </c>
      <c r="F24" s="13">
        <v>3.0</v>
      </c>
      <c r="G24" s="13" t="s">
        <v>37</v>
      </c>
      <c r="H24" s="23">
        <v>15.8026</v>
      </c>
      <c r="I24" s="23">
        <v>480.0375</v>
      </c>
      <c r="J24" s="23">
        <v>5.086</v>
      </c>
      <c r="K24" s="23">
        <v>0.107</v>
      </c>
      <c r="L24" s="23">
        <v>156.472</v>
      </c>
      <c r="M24" s="23">
        <v>24.631</v>
      </c>
      <c r="N24" s="23">
        <v>120.892</v>
      </c>
      <c r="O24" s="23">
        <v>24.526</v>
      </c>
      <c r="P24" s="23">
        <v>57.252</v>
      </c>
      <c r="Q24" s="23">
        <v>19.619</v>
      </c>
      <c r="R24" s="23">
        <v>155.381</v>
      </c>
      <c r="S24" s="23">
        <v>26.149</v>
      </c>
      <c r="T24" s="23">
        <v>120.13</v>
      </c>
      <c r="U24" s="23">
        <v>25.392</v>
      </c>
      <c r="V24" s="23">
        <v>57.002</v>
      </c>
      <c r="W24" s="23">
        <v>20.088</v>
      </c>
      <c r="X24" s="23">
        <v>155.38</v>
      </c>
      <c r="Y24" s="23">
        <v>26.062</v>
      </c>
      <c r="Z24" s="23">
        <v>120.229</v>
      </c>
      <c r="AA24" s="23">
        <v>25.368</v>
      </c>
      <c r="AB24" s="23">
        <v>57.213</v>
      </c>
      <c r="AC24" s="23">
        <v>20.474</v>
      </c>
      <c r="AD24" s="22">
        <f t="shared" ref="AD24:AI24" si="27">AVERAGE(L24,R24,X24)</f>
        <v>155.7443333</v>
      </c>
      <c r="AE24" s="22">
        <f t="shared" si="27"/>
        <v>25.614</v>
      </c>
      <c r="AF24" s="22">
        <f t="shared" si="27"/>
        <v>120.417</v>
      </c>
      <c r="AG24" s="22">
        <f t="shared" si="27"/>
        <v>25.09533333</v>
      </c>
      <c r="AH24" s="22">
        <f t="shared" si="27"/>
        <v>57.15566667</v>
      </c>
      <c r="AI24" s="22">
        <f t="shared" si="27"/>
        <v>20.06033333</v>
      </c>
      <c r="AJ24" s="22"/>
      <c r="AK24" s="22"/>
      <c r="AL24" s="22"/>
      <c r="AM24" s="22"/>
    </row>
    <row r="25">
      <c r="A25" s="13" t="s">
        <v>20</v>
      </c>
      <c r="B25" s="26">
        <v>45558.0</v>
      </c>
      <c r="C25" s="13" t="s">
        <v>24</v>
      </c>
      <c r="D25" s="13">
        <v>3.4</v>
      </c>
      <c r="E25" s="13" t="s">
        <v>22</v>
      </c>
      <c r="F25" s="13">
        <v>3.0</v>
      </c>
      <c r="G25" s="13" t="s">
        <v>37</v>
      </c>
      <c r="H25" s="23">
        <v>21.6658</v>
      </c>
      <c r="I25" s="23">
        <v>486.3332</v>
      </c>
      <c r="J25" s="23">
        <v>6.295</v>
      </c>
      <c r="K25" s="23">
        <v>0.061</v>
      </c>
      <c r="L25" s="23">
        <v>168.756</v>
      </c>
      <c r="M25" s="23">
        <v>28.818</v>
      </c>
      <c r="N25" s="23">
        <v>135.449</v>
      </c>
      <c r="O25" s="23">
        <v>27.68</v>
      </c>
      <c r="P25" s="23">
        <v>83.922</v>
      </c>
      <c r="Q25" s="23">
        <v>22.988</v>
      </c>
      <c r="R25" s="23">
        <v>169.806</v>
      </c>
      <c r="S25" s="23">
        <v>27.075</v>
      </c>
      <c r="T25" s="23">
        <v>136.215</v>
      </c>
      <c r="U25" s="23">
        <v>26.528</v>
      </c>
      <c r="V25" s="23">
        <v>84.319</v>
      </c>
      <c r="W25" s="23">
        <v>22.424</v>
      </c>
      <c r="X25" s="23">
        <v>169.441</v>
      </c>
      <c r="Y25" s="23">
        <v>27.867</v>
      </c>
      <c r="Z25" s="23">
        <v>135.979</v>
      </c>
      <c r="AA25" s="23">
        <v>27.1</v>
      </c>
      <c r="AB25" s="23">
        <v>84.254</v>
      </c>
      <c r="AC25" s="23">
        <v>22.802</v>
      </c>
      <c r="AD25" s="22">
        <f t="shared" ref="AD25:AI25" si="28">AVERAGE(L25,R25,X25)</f>
        <v>169.3343333</v>
      </c>
      <c r="AE25" s="22">
        <f t="shared" si="28"/>
        <v>27.92</v>
      </c>
      <c r="AF25" s="22">
        <f t="shared" si="28"/>
        <v>135.881</v>
      </c>
      <c r="AG25" s="22">
        <f t="shared" si="28"/>
        <v>27.10266667</v>
      </c>
      <c r="AH25" s="22">
        <f t="shared" si="28"/>
        <v>84.165</v>
      </c>
      <c r="AI25" s="22">
        <f t="shared" si="28"/>
        <v>22.738</v>
      </c>
      <c r="AJ25" s="22"/>
      <c r="AK25" s="22"/>
      <c r="AL25" s="22"/>
      <c r="AM25" s="22"/>
    </row>
    <row r="26">
      <c r="A26" s="13" t="s">
        <v>20</v>
      </c>
      <c r="B26" s="26">
        <v>45558.0</v>
      </c>
      <c r="C26" s="13" t="s">
        <v>25</v>
      </c>
      <c r="D26" s="13">
        <v>1.1</v>
      </c>
      <c r="E26" s="13" t="s">
        <v>22</v>
      </c>
      <c r="F26" s="13">
        <v>3.0</v>
      </c>
      <c r="G26" s="13" t="s">
        <v>37</v>
      </c>
      <c r="H26" s="23">
        <v>17.6534</v>
      </c>
      <c r="I26" s="23">
        <v>528.1363</v>
      </c>
      <c r="J26" s="23">
        <v>3.623</v>
      </c>
      <c r="K26" s="23">
        <v>0.037</v>
      </c>
      <c r="L26" s="23">
        <v>115.995</v>
      </c>
      <c r="M26" s="23">
        <v>31.531</v>
      </c>
      <c r="N26" s="23">
        <v>94.464</v>
      </c>
      <c r="O26" s="23">
        <v>32.034</v>
      </c>
      <c r="P26" s="23">
        <v>45.991</v>
      </c>
      <c r="Q26" s="23">
        <v>23.644</v>
      </c>
      <c r="R26" s="23">
        <v>115.85</v>
      </c>
      <c r="S26" s="23">
        <v>31.479</v>
      </c>
      <c r="T26" s="23">
        <v>94.396</v>
      </c>
      <c r="U26" s="23">
        <v>32.038</v>
      </c>
      <c r="V26" s="23">
        <v>46.112</v>
      </c>
      <c r="W26" s="23">
        <v>23.761</v>
      </c>
      <c r="X26" s="23">
        <v>115.626</v>
      </c>
      <c r="Y26" s="23">
        <v>31.357</v>
      </c>
      <c r="Z26" s="23">
        <v>94.124</v>
      </c>
      <c r="AA26" s="23">
        <v>31.902</v>
      </c>
      <c r="AB26" s="23">
        <v>45.875</v>
      </c>
      <c r="AC26" s="23">
        <v>23.589</v>
      </c>
      <c r="AD26" s="22">
        <f t="shared" ref="AD26:AI26" si="29">AVERAGE(L26,R26,X26)</f>
        <v>115.8236667</v>
      </c>
      <c r="AE26" s="22">
        <f t="shared" si="29"/>
        <v>31.45566667</v>
      </c>
      <c r="AF26" s="22">
        <f t="shared" si="29"/>
        <v>94.328</v>
      </c>
      <c r="AG26" s="22">
        <f t="shared" si="29"/>
        <v>31.99133333</v>
      </c>
      <c r="AH26" s="22">
        <f t="shared" si="29"/>
        <v>45.99266667</v>
      </c>
      <c r="AI26" s="22">
        <f t="shared" si="29"/>
        <v>23.66466667</v>
      </c>
      <c r="AJ26" s="22"/>
      <c r="AK26" s="22"/>
      <c r="AL26" s="22"/>
      <c r="AM26" s="22"/>
    </row>
    <row r="27">
      <c r="A27" s="13" t="s">
        <v>20</v>
      </c>
      <c r="B27" s="26">
        <v>45558.0</v>
      </c>
      <c r="C27" s="13" t="s">
        <v>25</v>
      </c>
      <c r="D27" s="13">
        <v>1.2</v>
      </c>
      <c r="E27" s="13" t="s">
        <v>22</v>
      </c>
      <c r="F27" s="13">
        <v>3.0</v>
      </c>
      <c r="G27" s="13" t="s">
        <v>37</v>
      </c>
      <c r="H27" s="23">
        <v>14.6034</v>
      </c>
      <c r="I27" s="23">
        <v>558.0323</v>
      </c>
      <c r="J27" s="23">
        <v>4.462</v>
      </c>
      <c r="K27" s="23">
        <v>0.135</v>
      </c>
      <c r="L27" s="23">
        <v>166.848</v>
      </c>
      <c r="M27" s="23">
        <v>25.504</v>
      </c>
      <c r="N27" s="23">
        <v>144.093</v>
      </c>
      <c r="O27" s="23">
        <v>26.488</v>
      </c>
      <c r="P27" s="23">
        <v>87.735</v>
      </c>
      <c r="Q27" s="23">
        <v>25.483</v>
      </c>
      <c r="R27" s="23">
        <v>166.281</v>
      </c>
      <c r="S27" s="23">
        <v>25.39</v>
      </c>
      <c r="T27" s="23">
        <v>143.439</v>
      </c>
      <c r="U27" s="23">
        <v>26.256</v>
      </c>
      <c r="V27" s="23">
        <v>87.348</v>
      </c>
      <c r="W27" s="23">
        <v>24.913</v>
      </c>
      <c r="X27" s="23">
        <v>165.859</v>
      </c>
      <c r="Y27" s="23">
        <v>25.585</v>
      </c>
      <c r="Z27" s="23">
        <v>143.053</v>
      </c>
      <c r="AA27" s="23">
        <v>26.405</v>
      </c>
      <c r="AB27" s="23">
        <v>86.989</v>
      </c>
      <c r="AC27" s="23">
        <v>24.806</v>
      </c>
      <c r="AD27" s="22">
        <f t="shared" ref="AD27:AI27" si="30">AVERAGE(L27,R27,X27)</f>
        <v>166.3293333</v>
      </c>
      <c r="AE27" s="22">
        <f t="shared" si="30"/>
        <v>25.493</v>
      </c>
      <c r="AF27" s="22">
        <f t="shared" si="30"/>
        <v>143.5283333</v>
      </c>
      <c r="AG27" s="22">
        <f t="shared" si="30"/>
        <v>26.383</v>
      </c>
      <c r="AH27" s="22">
        <f t="shared" si="30"/>
        <v>87.35733333</v>
      </c>
      <c r="AI27" s="22">
        <f t="shared" si="30"/>
        <v>25.06733333</v>
      </c>
      <c r="AJ27" s="22"/>
      <c r="AK27" s="22"/>
      <c r="AL27" s="22"/>
      <c r="AM27" s="22"/>
    </row>
    <row r="28">
      <c r="A28" s="13" t="s">
        <v>20</v>
      </c>
      <c r="B28" s="26">
        <v>45558.0</v>
      </c>
      <c r="C28" s="13" t="s">
        <v>25</v>
      </c>
      <c r="D28" s="13">
        <v>1.3</v>
      </c>
      <c r="E28" s="13" t="s">
        <v>22</v>
      </c>
      <c r="F28" s="13">
        <v>3.0</v>
      </c>
      <c r="G28" s="13" t="s">
        <v>37</v>
      </c>
      <c r="H28" s="23">
        <v>16.6271</v>
      </c>
      <c r="I28" s="23">
        <v>498.0</v>
      </c>
      <c r="J28" s="23">
        <v>3.639</v>
      </c>
      <c r="K28" s="23">
        <v>0.017</v>
      </c>
      <c r="L28" s="23">
        <v>130.18</v>
      </c>
      <c r="M28" s="23">
        <v>33.177</v>
      </c>
      <c r="N28" s="23">
        <v>107.96</v>
      </c>
      <c r="O28" s="23">
        <v>33.981</v>
      </c>
      <c r="P28" s="23">
        <v>54.646</v>
      </c>
      <c r="Q28" s="23">
        <v>25.975</v>
      </c>
      <c r="R28" s="23">
        <v>129.888</v>
      </c>
      <c r="S28" s="23">
        <v>33.264</v>
      </c>
      <c r="T28" s="23">
        <v>107.783</v>
      </c>
      <c r="U28" s="23">
        <v>34.0</v>
      </c>
      <c r="V28" s="23">
        <v>54.574</v>
      </c>
      <c r="W28" s="23">
        <v>26.276</v>
      </c>
      <c r="X28" s="23">
        <v>130.07</v>
      </c>
      <c r="Y28" s="23">
        <v>33.067</v>
      </c>
      <c r="Z28" s="23">
        <v>107.96</v>
      </c>
      <c r="AA28" s="23">
        <v>33.869</v>
      </c>
      <c r="AB28" s="23">
        <v>54.718</v>
      </c>
      <c r="AC28" s="23">
        <v>25.995</v>
      </c>
      <c r="AD28" s="22">
        <f t="shared" ref="AD28:AI28" si="31">AVERAGE(L28,R28,X28)</f>
        <v>130.046</v>
      </c>
      <c r="AE28" s="22">
        <f t="shared" si="31"/>
        <v>33.16933333</v>
      </c>
      <c r="AF28" s="22">
        <f t="shared" si="31"/>
        <v>107.901</v>
      </c>
      <c r="AG28" s="22">
        <f t="shared" si="31"/>
        <v>33.95</v>
      </c>
      <c r="AH28" s="22">
        <f t="shared" si="31"/>
        <v>54.646</v>
      </c>
      <c r="AI28" s="22">
        <f t="shared" si="31"/>
        <v>26.082</v>
      </c>
      <c r="AJ28" s="22"/>
      <c r="AK28" s="22"/>
      <c r="AL28" s="22"/>
      <c r="AM28" s="22"/>
    </row>
    <row r="29">
      <c r="A29" s="13" t="s">
        <v>20</v>
      </c>
      <c r="B29" s="26">
        <v>45558.0</v>
      </c>
      <c r="C29" s="13" t="s">
        <v>25</v>
      </c>
      <c r="D29" s="13">
        <v>1.4</v>
      </c>
      <c r="E29" s="13" t="s">
        <v>22</v>
      </c>
      <c r="F29" s="13">
        <v>3.0</v>
      </c>
      <c r="G29" s="13" t="s">
        <v>37</v>
      </c>
      <c r="H29" s="23">
        <v>20.1166</v>
      </c>
      <c r="I29" s="23">
        <v>474.038</v>
      </c>
      <c r="J29" s="23">
        <v>5.599</v>
      </c>
      <c r="K29" s="23">
        <v>0.02</v>
      </c>
      <c r="L29" s="23">
        <v>146.942</v>
      </c>
      <c r="M29" s="23">
        <v>23.485</v>
      </c>
      <c r="N29" s="23">
        <v>126.911</v>
      </c>
      <c r="O29" s="23">
        <v>24.349</v>
      </c>
      <c r="P29" s="23">
        <v>85.657</v>
      </c>
      <c r="Q29" s="23">
        <v>24.874</v>
      </c>
      <c r="R29" s="23">
        <v>146.64</v>
      </c>
      <c r="S29" s="23">
        <v>24.05</v>
      </c>
      <c r="T29" s="23">
        <v>126.624</v>
      </c>
      <c r="U29" s="23">
        <v>24.806</v>
      </c>
      <c r="V29" s="23">
        <v>85.421</v>
      </c>
      <c r="W29" s="23">
        <v>25.074</v>
      </c>
      <c r="X29" s="23">
        <v>146.699</v>
      </c>
      <c r="Y29" s="23">
        <v>23.794</v>
      </c>
      <c r="Z29" s="23">
        <v>126.752</v>
      </c>
      <c r="AA29" s="23">
        <v>24.555</v>
      </c>
      <c r="AB29" s="23">
        <v>85.645</v>
      </c>
      <c r="AC29" s="23">
        <v>25.028</v>
      </c>
      <c r="AD29" s="22">
        <f t="shared" ref="AD29:AI29" si="32">AVERAGE(L29,R29,X29)</f>
        <v>146.7603333</v>
      </c>
      <c r="AE29" s="22">
        <f t="shared" si="32"/>
        <v>23.77633333</v>
      </c>
      <c r="AF29" s="22">
        <f t="shared" si="32"/>
        <v>126.7623333</v>
      </c>
      <c r="AG29" s="22">
        <f t="shared" si="32"/>
        <v>24.57</v>
      </c>
      <c r="AH29" s="22">
        <f t="shared" si="32"/>
        <v>85.57433333</v>
      </c>
      <c r="AI29" s="22">
        <f t="shared" si="32"/>
        <v>24.992</v>
      </c>
      <c r="AJ29" s="22"/>
      <c r="AK29" s="22"/>
      <c r="AL29" s="22"/>
      <c r="AM29" s="22"/>
    </row>
    <row r="30">
      <c r="A30" s="13" t="s">
        <v>20</v>
      </c>
      <c r="B30" s="26">
        <v>45558.0</v>
      </c>
      <c r="C30" s="13" t="s">
        <v>25</v>
      </c>
      <c r="D30" s="13">
        <v>2.1</v>
      </c>
      <c r="E30" s="13" t="s">
        <v>22</v>
      </c>
      <c r="F30" s="13">
        <v>3.0</v>
      </c>
      <c r="G30" s="13" t="s">
        <v>37</v>
      </c>
      <c r="H30" s="23">
        <v>19.7071</v>
      </c>
      <c r="I30" s="23">
        <v>522.0</v>
      </c>
      <c r="J30" s="23">
        <v>5.239</v>
      </c>
      <c r="K30" s="23">
        <v>0.014</v>
      </c>
      <c r="L30" s="23">
        <v>144.386</v>
      </c>
      <c r="M30" s="23">
        <v>22.703</v>
      </c>
      <c r="N30" s="23">
        <v>119.499</v>
      </c>
      <c r="O30" s="23">
        <v>23.76</v>
      </c>
      <c r="P30" s="23">
        <v>62.353</v>
      </c>
      <c r="Q30" s="23">
        <v>19.68</v>
      </c>
      <c r="R30" s="23">
        <v>144.251</v>
      </c>
      <c r="S30" s="23">
        <v>22.941</v>
      </c>
      <c r="T30" s="23">
        <v>119.345</v>
      </c>
      <c r="U30" s="23">
        <v>23.965</v>
      </c>
      <c r="V30" s="23">
        <v>62.238</v>
      </c>
      <c r="W30" s="23">
        <v>19.685</v>
      </c>
      <c r="X30" s="23">
        <v>144.395</v>
      </c>
      <c r="Y30" s="23">
        <v>22.756</v>
      </c>
      <c r="Z30" s="23">
        <v>119.431</v>
      </c>
      <c r="AA30" s="23">
        <v>23.841</v>
      </c>
      <c r="AB30" s="23">
        <v>62.233</v>
      </c>
      <c r="AC30" s="23">
        <v>19.71</v>
      </c>
      <c r="AD30" s="22">
        <f t="shared" ref="AD30:AI30" si="33">AVERAGE(L30,R30,X30)</f>
        <v>144.344</v>
      </c>
      <c r="AE30" s="22">
        <f t="shared" si="33"/>
        <v>22.8</v>
      </c>
      <c r="AF30" s="22">
        <f t="shared" si="33"/>
        <v>119.425</v>
      </c>
      <c r="AG30" s="22">
        <f t="shared" si="33"/>
        <v>23.85533333</v>
      </c>
      <c r="AH30" s="22">
        <f t="shared" si="33"/>
        <v>62.27466667</v>
      </c>
      <c r="AI30" s="22">
        <f t="shared" si="33"/>
        <v>19.69166667</v>
      </c>
      <c r="AJ30" s="22"/>
      <c r="AK30" s="22"/>
      <c r="AL30" s="22"/>
      <c r="AM30" s="22"/>
    </row>
    <row r="31">
      <c r="A31" s="13" t="s">
        <v>20</v>
      </c>
      <c r="B31" s="26">
        <v>45558.0</v>
      </c>
      <c r="C31" s="13" t="s">
        <v>25</v>
      </c>
      <c r="D31" s="13">
        <v>2.2</v>
      </c>
      <c r="E31" s="13" t="s">
        <v>22</v>
      </c>
      <c r="F31" s="13">
        <v>3.0</v>
      </c>
      <c r="G31" s="13" t="s">
        <v>37</v>
      </c>
      <c r="H31" s="23">
        <v>23.0047</v>
      </c>
      <c r="I31" s="23">
        <v>546.033</v>
      </c>
      <c r="J31" s="23">
        <v>5.965</v>
      </c>
      <c r="K31" s="23">
        <v>0.017</v>
      </c>
      <c r="L31" s="23">
        <v>160.631</v>
      </c>
      <c r="M31" s="23">
        <v>33.735</v>
      </c>
      <c r="N31" s="23">
        <v>135.506</v>
      </c>
      <c r="O31" s="23">
        <v>35.408</v>
      </c>
      <c r="P31" s="23">
        <v>79.703</v>
      </c>
      <c r="Q31" s="23">
        <v>31.16</v>
      </c>
      <c r="R31" s="23">
        <v>160.609</v>
      </c>
      <c r="S31" s="23">
        <v>33.316</v>
      </c>
      <c r="T31" s="23">
        <v>135.715</v>
      </c>
      <c r="U31" s="23">
        <v>35.052</v>
      </c>
      <c r="V31" s="23">
        <v>80.225</v>
      </c>
      <c r="W31" s="23">
        <v>31.204</v>
      </c>
      <c r="X31" s="23">
        <v>160.262</v>
      </c>
      <c r="Y31" s="23">
        <v>33.776</v>
      </c>
      <c r="Z31" s="23">
        <v>135.209</v>
      </c>
      <c r="AA31" s="23">
        <v>35.368</v>
      </c>
      <c r="AB31" s="23">
        <v>79.654</v>
      </c>
      <c r="AC31" s="23">
        <v>31.033</v>
      </c>
      <c r="AD31" s="22">
        <f t="shared" ref="AD31:AI31" si="34">AVERAGE(L31,R31,X31)</f>
        <v>160.5006667</v>
      </c>
      <c r="AE31" s="22">
        <f t="shared" si="34"/>
        <v>33.609</v>
      </c>
      <c r="AF31" s="22">
        <f t="shared" si="34"/>
        <v>135.4766667</v>
      </c>
      <c r="AG31" s="22">
        <f t="shared" si="34"/>
        <v>35.276</v>
      </c>
      <c r="AH31" s="22">
        <f t="shared" si="34"/>
        <v>79.86066667</v>
      </c>
      <c r="AI31" s="22">
        <f t="shared" si="34"/>
        <v>31.13233333</v>
      </c>
      <c r="AJ31" s="22"/>
      <c r="AK31" s="22"/>
      <c r="AL31" s="22"/>
      <c r="AM31" s="22"/>
    </row>
    <row r="32">
      <c r="A32" s="13" t="s">
        <v>20</v>
      </c>
      <c r="B32" s="26">
        <v>45558.0</v>
      </c>
      <c r="C32" s="13" t="s">
        <v>25</v>
      </c>
      <c r="D32" s="13">
        <v>2.3</v>
      </c>
      <c r="E32" s="13" t="s">
        <v>22</v>
      </c>
      <c r="F32" s="13">
        <v>3.0</v>
      </c>
      <c r="G32" s="13" t="s">
        <v>37</v>
      </c>
      <c r="H32" s="23">
        <v>16.6178</v>
      </c>
      <c r="I32" s="23">
        <v>546.1319</v>
      </c>
      <c r="J32" s="23">
        <v>5.341</v>
      </c>
      <c r="K32" s="23">
        <v>0.066</v>
      </c>
      <c r="L32" s="23">
        <v>133.848</v>
      </c>
      <c r="M32" s="23">
        <v>30.734</v>
      </c>
      <c r="N32" s="23">
        <v>108.957</v>
      </c>
      <c r="O32" s="23">
        <v>31.956</v>
      </c>
      <c r="P32" s="23">
        <v>55.075</v>
      </c>
      <c r="Q32" s="23">
        <v>25.747</v>
      </c>
      <c r="R32" s="23">
        <v>133.453</v>
      </c>
      <c r="S32" s="23">
        <v>31.096</v>
      </c>
      <c r="T32" s="23">
        <v>108.589</v>
      </c>
      <c r="U32" s="23">
        <v>32.241</v>
      </c>
      <c r="V32" s="23">
        <v>54.94</v>
      </c>
      <c r="W32" s="23">
        <v>25.889</v>
      </c>
      <c r="X32" s="23">
        <v>134.214</v>
      </c>
      <c r="Y32" s="23">
        <v>30.331</v>
      </c>
      <c r="Z32" s="23">
        <v>109.267</v>
      </c>
      <c r="AA32" s="23">
        <v>31.664</v>
      </c>
      <c r="AB32" s="23">
        <v>55.192</v>
      </c>
      <c r="AC32" s="23">
        <v>25.633</v>
      </c>
      <c r="AD32" s="22">
        <f t="shared" ref="AD32:AI32" si="35">AVERAGE(L32,R32,X32)</f>
        <v>133.8383333</v>
      </c>
      <c r="AE32" s="22">
        <f t="shared" si="35"/>
        <v>30.72033333</v>
      </c>
      <c r="AF32" s="22">
        <f t="shared" si="35"/>
        <v>108.9376667</v>
      </c>
      <c r="AG32" s="22">
        <f t="shared" si="35"/>
        <v>31.95366667</v>
      </c>
      <c r="AH32" s="22">
        <f t="shared" si="35"/>
        <v>55.069</v>
      </c>
      <c r="AI32" s="22">
        <f t="shared" si="35"/>
        <v>25.75633333</v>
      </c>
      <c r="AJ32" s="22"/>
      <c r="AK32" s="22"/>
      <c r="AL32" s="22"/>
      <c r="AM32" s="22"/>
    </row>
    <row r="33">
      <c r="A33" s="13" t="s">
        <v>20</v>
      </c>
      <c r="B33" s="26">
        <v>45558.0</v>
      </c>
      <c r="C33" s="13" t="s">
        <v>25</v>
      </c>
      <c r="D33" s="13">
        <v>2.4</v>
      </c>
      <c r="E33" s="13" t="s">
        <v>22</v>
      </c>
      <c r="F33" s="13">
        <v>3.0</v>
      </c>
      <c r="G33" s="13" t="s">
        <v>37</v>
      </c>
      <c r="H33" s="23">
        <v>18.4541</v>
      </c>
      <c r="I33" s="23">
        <v>506.0158</v>
      </c>
      <c r="J33" s="23">
        <v>4.576</v>
      </c>
      <c r="K33" s="23">
        <v>0.054</v>
      </c>
      <c r="L33" s="23">
        <v>150.016</v>
      </c>
      <c r="M33" s="23">
        <v>24.968</v>
      </c>
      <c r="N33" s="23">
        <v>127.204</v>
      </c>
      <c r="O33" s="23">
        <v>26.004</v>
      </c>
      <c r="P33" s="23">
        <v>84.668</v>
      </c>
      <c r="Q33" s="23">
        <v>24.79</v>
      </c>
      <c r="R33" s="23">
        <v>149.352</v>
      </c>
      <c r="S33" s="23">
        <v>25.587</v>
      </c>
      <c r="T33" s="23">
        <v>126.506</v>
      </c>
      <c r="U33" s="23">
        <v>26.448</v>
      </c>
      <c r="V33" s="23">
        <v>84.175</v>
      </c>
      <c r="W33" s="23">
        <v>24.876</v>
      </c>
      <c r="X33" s="23">
        <v>149.953</v>
      </c>
      <c r="Y33" s="23">
        <v>24.987</v>
      </c>
      <c r="Z33" s="23">
        <v>127.086</v>
      </c>
      <c r="AA33" s="23">
        <v>26.021</v>
      </c>
      <c r="AB33" s="23">
        <v>84.481</v>
      </c>
      <c r="AC33" s="23">
        <v>24.661</v>
      </c>
      <c r="AD33" s="22">
        <f t="shared" ref="AD33:AI33" si="36">AVERAGE(L33,R33,X33)</f>
        <v>149.7736667</v>
      </c>
      <c r="AE33" s="22">
        <f t="shared" si="36"/>
        <v>25.18066667</v>
      </c>
      <c r="AF33" s="22">
        <f t="shared" si="36"/>
        <v>126.932</v>
      </c>
      <c r="AG33" s="22">
        <f t="shared" si="36"/>
        <v>26.15766667</v>
      </c>
      <c r="AH33" s="22">
        <f t="shared" si="36"/>
        <v>84.44133333</v>
      </c>
      <c r="AI33" s="22">
        <f t="shared" si="36"/>
        <v>24.77566667</v>
      </c>
      <c r="AJ33" s="22"/>
      <c r="AK33" s="22"/>
      <c r="AL33" s="22"/>
      <c r="AM33" s="22"/>
    </row>
    <row r="34">
      <c r="A34" s="13" t="s">
        <v>20</v>
      </c>
      <c r="B34" s="26">
        <v>45558.0</v>
      </c>
      <c r="C34" s="13" t="s">
        <v>25</v>
      </c>
      <c r="D34" s="13">
        <v>3.1</v>
      </c>
      <c r="E34" s="13" t="s">
        <v>22</v>
      </c>
      <c r="F34" s="13">
        <v>3.0</v>
      </c>
      <c r="G34" s="13" t="s">
        <v>37</v>
      </c>
      <c r="H34" s="23">
        <v>18.5042</v>
      </c>
      <c r="I34" s="23">
        <v>542.2075</v>
      </c>
      <c r="J34" s="23">
        <v>3.618</v>
      </c>
      <c r="K34" s="23">
        <v>0.058</v>
      </c>
      <c r="L34" s="23">
        <v>142.511</v>
      </c>
      <c r="M34" s="23">
        <v>27.972</v>
      </c>
      <c r="N34" s="23">
        <v>115.659</v>
      </c>
      <c r="O34" s="23">
        <v>29.331</v>
      </c>
      <c r="P34" s="23">
        <v>55.956</v>
      </c>
      <c r="Q34" s="23">
        <v>24.314</v>
      </c>
      <c r="R34" s="23">
        <v>142.935</v>
      </c>
      <c r="S34" s="23">
        <v>27.672</v>
      </c>
      <c r="T34" s="23">
        <v>116.004</v>
      </c>
      <c r="U34" s="23">
        <v>29.128</v>
      </c>
      <c r="V34" s="23">
        <v>56.085</v>
      </c>
      <c r="W34" s="23">
        <v>24.265</v>
      </c>
      <c r="X34" s="23">
        <v>142.242</v>
      </c>
      <c r="Y34" s="23">
        <v>28.156</v>
      </c>
      <c r="Z34" s="23">
        <v>115.461</v>
      </c>
      <c r="AA34" s="23">
        <v>29.389</v>
      </c>
      <c r="AB34" s="23">
        <v>55.835</v>
      </c>
      <c r="AC34" s="23">
        <v>24.308</v>
      </c>
      <c r="AD34" s="22">
        <f t="shared" ref="AD34:AI34" si="37">AVERAGE(L34,R34,X34)</f>
        <v>142.5626667</v>
      </c>
      <c r="AE34" s="22">
        <f t="shared" si="37"/>
        <v>27.93333333</v>
      </c>
      <c r="AF34" s="22">
        <f t="shared" si="37"/>
        <v>115.708</v>
      </c>
      <c r="AG34" s="22">
        <f t="shared" si="37"/>
        <v>29.28266667</v>
      </c>
      <c r="AH34" s="22">
        <f t="shared" si="37"/>
        <v>55.95866667</v>
      </c>
      <c r="AI34" s="22">
        <f t="shared" si="37"/>
        <v>24.29566667</v>
      </c>
      <c r="AJ34" s="22"/>
      <c r="AK34" s="22"/>
      <c r="AL34" s="22"/>
      <c r="AM34" s="22"/>
    </row>
    <row r="35">
      <c r="A35" s="13" t="s">
        <v>20</v>
      </c>
      <c r="B35" s="26">
        <v>45558.0</v>
      </c>
      <c r="C35" s="13" t="s">
        <v>25</v>
      </c>
      <c r="D35" s="13">
        <v>3.2</v>
      </c>
      <c r="E35" s="13" t="s">
        <v>22</v>
      </c>
      <c r="F35" s="13">
        <v>3.0</v>
      </c>
      <c r="G35" s="13" t="s">
        <v>37</v>
      </c>
      <c r="H35" s="23">
        <v>18.4463</v>
      </c>
      <c r="I35" s="23">
        <v>517.0</v>
      </c>
      <c r="J35" s="23">
        <v>4.396</v>
      </c>
      <c r="K35" s="23">
        <v>0.046</v>
      </c>
      <c r="L35" s="23">
        <v>127.698</v>
      </c>
      <c r="M35" s="23">
        <v>29.988</v>
      </c>
      <c r="N35" s="23">
        <v>102.909</v>
      </c>
      <c r="O35" s="23">
        <v>30.908</v>
      </c>
      <c r="P35" s="23">
        <v>48.319</v>
      </c>
      <c r="Q35" s="23">
        <v>23.468</v>
      </c>
      <c r="R35" s="23">
        <v>127.74</v>
      </c>
      <c r="S35" s="23">
        <v>29.983</v>
      </c>
      <c r="T35" s="23">
        <v>102.914</v>
      </c>
      <c r="U35" s="23">
        <v>30.855</v>
      </c>
      <c r="V35" s="23">
        <v>48.238</v>
      </c>
      <c r="W35" s="23">
        <v>23.177</v>
      </c>
      <c r="X35" s="23">
        <v>127.613</v>
      </c>
      <c r="Y35" s="23">
        <v>29.971</v>
      </c>
      <c r="Z35" s="23">
        <v>102.915</v>
      </c>
      <c r="AA35" s="23">
        <v>30.871</v>
      </c>
      <c r="AB35" s="23">
        <v>48.305</v>
      </c>
      <c r="AC35" s="23">
        <v>23.273</v>
      </c>
      <c r="AD35" s="22">
        <f t="shared" ref="AD35:AI35" si="38">AVERAGE(L35,R35,X35)</f>
        <v>127.6836667</v>
      </c>
      <c r="AE35" s="22">
        <f t="shared" si="38"/>
        <v>29.98066667</v>
      </c>
      <c r="AF35" s="22">
        <f t="shared" si="38"/>
        <v>102.9126667</v>
      </c>
      <c r="AG35" s="22">
        <f t="shared" si="38"/>
        <v>30.878</v>
      </c>
      <c r="AH35" s="22">
        <f t="shared" si="38"/>
        <v>48.28733333</v>
      </c>
      <c r="AI35" s="22">
        <f t="shared" si="38"/>
        <v>23.306</v>
      </c>
      <c r="AJ35" s="22"/>
      <c r="AK35" s="22"/>
      <c r="AL35" s="22"/>
      <c r="AM35" s="22"/>
    </row>
    <row r="36">
      <c r="A36" s="13" t="s">
        <v>20</v>
      </c>
      <c r="B36" s="26">
        <v>45558.0</v>
      </c>
      <c r="C36" s="13" t="s">
        <v>25</v>
      </c>
      <c r="D36" s="13">
        <v>3.3</v>
      </c>
      <c r="E36" s="13" t="s">
        <v>22</v>
      </c>
      <c r="F36" s="13">
        <v>3.0</v>
      </c>
      <c r="G36" s="13" t="s">
        <v>37</v>
      </c>
      <c r="H36" s="23">
        <v>15.3725</v>
      </c>
      <c r="I36" s="23">
        <v>522.0345</v>
      </c>
      <c r="J36" s="23">
        <v>4.397</v>
      </c>
      <c r="K36" s="23">
        <v>0.032</v>
      </c>
      <c r="L36" s="23">
        <v>139.52</v>
      </c>
      <c r="M36" s="23">
        <v>29.347</v>
      </c>
      <c r="N36" s="23">
        <v>113.536</v>
      </c>
      <c r="O36" s="23">
        <v>31.194</v>
      </c>
      <c r="P36" s="23">
        <v>56.563</v>
      </c>
      <c r="Q36" s="23">
        <v>25.447</v>
      </c>
      <c r="R36" s="23">
        <v>139.886</v>
      </c>
      <c r="S36" s="23">
        <v>29.26</v>
      </c>
      <c r="T36" s="23">
        <v>113.63</v>
      </c>
      <c r="U36" s="23">
        <v>31.262</v>
      </c>
      <c r="V36" s="23">
        <v>56.594</v>
      </c>
      <c r="W36" s="23">
        <v>25.52</v>
      </c>
      <c r="X36" s="23">
        <v>139.851</v>
      </c>
      <c r="Y36" s="23">
        <v>29.113</v>
      </c>
      <c r="Z36" s="23">
        <v>113.614</v>
      </c>
      <c r="AA36" s="23">
        <v>31.087</v>
      </c>
      <c r="AB36" s="23">
        <v>56.556</v>
      </c>
      <c r="AC36" s="23">
        <v>25.416</v>
      </c>
      <c r="AD36" s="22">
        <f t="shared" ref="AD36:AI36" si="39">AVERAGE(L36,R36,X36)</f>
        <v>139.7523333</v>
      </c>
      <c r="AE36" s="22">
        <f t="shared" si="39"/>
        <v>29.24</v>
      </c>
      <c r="AF36" s="22">
        <f t="shared" si="39"/>
        <v>113.5933333</v>
      </c>
      <c r="AG36" s="22">
        <f t="shared" si="39"/>
        <v>31.181</v>
      </c>
      <c r="AH36" s="22">
        <f t="shared" si="39"/>
        <v>56.571</v>
      </c>
      <c r="AI36" s="22">
        <f t="shared" si="39"/>
        <v>25.461</v>
      </c>
      <c r="AJ36" s="22"/>
      <c r="AK36" s="22"/>
      <c r="AL36" s="22"/>
      <c r="AM36" s="22"/>
    </row>
    <row r="37">
      <c r="A37" s="13" t="s">
        <v>20</v>
      </c>
      <c r="B37" s="26">
        <v>45558.0</v>
      </c>
      <c r="C37" s="13" t="s">
        <v>25</v>
      </c>
      <c r="D37" s="13">
        <v>3.4</v>
      </c>
      <c r="E37" s="13" t="s">
        <v>22</v>
      </c>
      <c r="F37" s="13">
        <v>3.0</v>
      </c>
      <c r="G37" s="13" t="s">
        <v>37</v>
      </c>
      <c r="H37" s="23">
        <v>18.0744</v>
      </c>
      <c r="I37" s="23">
        <v>459.0272</v>
      </c>
      <c r="J37" s="23">
        <v>5.154</v>
      </c>
      <c r="K37" s="23">
        <v>0.015</v>
      </c>
      <c r="L37" s="23">
        <v>127.989</v>
      </c>
      <c r="M37" s="23">
        <v>26.996</v>
      </c>
      <c r="N37" s="23">
        <v>106.479</v>
      </c>
      <c r="O37" s="23">
        <v>28.081</v>
      </c>
      <c r="P37" s="23">
        <v>68.479</v>
      </c>
      <c r="Q37" s="23">
        <v>26.282</v>
      </c>
      <c r="R37" s="23">
        <v>127.923</v>
      </c>
      <c r="S37" s="23">
        <v>26.525</v>
      </c>
      <c r="T37" s="23">
        <v>106.216</v>
      </c>
      <c r="U37" s="23">
        <v>27.468</v>
      </c>
      <c r="V37" s="23">
        <v>68.172</v>
      </c>
      <c r="W37" s="23">
        <v>25.25</v>
      </c>
      <c r="X37" s="23">
        <v>127.741</v>
      </c>
      <c r="Y37" s="23">
        <v>26.324</v>
      </c>
      <c r="Z37" s="23">
        <v>106.086</v>
      </c>
      <c r="AA37" s="23">
        <v>27.288</v>
      </c>
      <c r="AB37" s="23">
        <v>68.095</v>
      </c>
      <c r="AC37" s="23">
        <v>25.083</v>
      </c>
      <c r="AD37" s="22">
        <f t="shared" ref="AD37:AI37" si="40">AVERAGE(L37,R37,X37)</f>
        <v>127.8843333</v>
      </c>
      <c r="AE37" s="22">
        <f t="shared" si="40"/>
        <v>26.615</v>
      </c>
      <c r="AF37" s="22">
        <f t="shared" si="40"/>
        <v>106.2603333</v>
      </c>
      <c r="AG37" s="22">
        <f t="shared" si="40"/>
        <v>27.61233333</v>
      </c>
      <c r="AH37" s="22">
        <f t="shared" si="40"/>
        <v>68.24866667</v>
      </c>
      <c r="AI37" s="22">
        <f t="shared" si="40"/>
        <v>25.53833333</v>
      </c>
      <c r="AJ37" s="22"/>
      <c r="AK37" s="22"/>
      <c r="AL37" s="22"/>
      <c r="AM37" s="22"/>
    </row>
    <row r="38">
      <c r="A38" s="13" t="s">
        <v>20</v>
      </c>
      <c r="B38" s="26">
        <v>45639.0</v>
      </c>
      <c r="C38" s="13" t="s">
        <v>21</v>
      </c>
      <c r="D38" s="13">
        <v>7.1</v>
      </c>
      <c r="E38" s="13" t="s">
        <v>22</v>
      </c>
      <c r="F38" s="13">
        <v>4.0</v>
      </c>
      <c r="G38" s="13" t="s">
        <v>37</v>
      </c>
      <c r="H38" s="23">
        <v>10.7846</v>
      </c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 t="str">
        <f t="shared" ref="AD38:AI38" si="41">AVERAGE(L38,R38,X38)</f>
        <v>#DIV/0!</v>
      </c>
      <c r="AE38" s="22" t="str">
        <f t="shared" si="41"/>
        <v>#DIV/0!</v>
      </c>
      <c r="AF38" s="22" t="str">
        <f t="shared" si="41"/>
        <v>#DIV/0!</v>
      </c>
      <c r="AG38" s="22" t="str">
        <f t="shared" si="41"/>
        <v>#DIV/0!</v>
      </c>
      <c r="AH38" s="22" t="str">
        <f t="shared" si="41"/>
        <v>#DIV/0!</v>
      </c>
      <c r="AI38" s="22" t="str">
        <f t="shared" si="41"/>
        <v>#DIV/0!</v>
      </c>
      <c r="AJ38" s="22"/>
      <c r="AK38" s="22"/>
      <c r="AL38" s="22"/>
      <c r="AM38" s="22"/>
    </row>
    <row r="39">
      <c r="A39" s="13" t="s">
        <v>20</v>
      </c>
      <c r="B39" s="26">
        <v>45639.0</v>
      </c>
      <c r="C39" s="13" t="s">
        <v>21</v>
      </c>
      <c r="D39" s="13">
        <v>7.2</v>
      </c>
      <c r="E39" s="13" t="s">
        <v>22</v>
      </c>
      <c r="F39" s="13">
        <v>4.0</v>
      </c>
      <c r="G39" s="13" t="s">
        <v>37</v>
      </c>
      <c r="H39" s="23">
        <v>11.4597</v>
      </c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 t="str">
        <f t="shared" ref="AD39:AI39" si="42">AVERAGE(L39,R39,X39)</f>
        <v>#DIV/0!</v>
      </c>
      <c r="AE39" s="22" t="str">
        <f t="shared" si="42"/>
        <v>#DIV/0!</v>
      </c>
      <c r="AF39" s="22" t="str">
        <f t="shared" si="42"/>
        <v>#DIV/0!</v>
      </c>
      <c r="AG39" s="22" t="str">
        <f t="shared" si="42"/>
        <v>#DIV/0!</v>
      </c>
      <c r="AH39" s="22" t="str">
        <f t="shared" si="42"/>
        <v>#DIV/0!</v>
      </c>
      <c r="AI39" s="22" t="str">
        <f t="shared" si="42"/>
        <v>#DIV/0!</v>
      </c>
      <c r="AJ39" s="22"/>
      <c r="AK39" s="22"/>
      <c r="AL39" s="22"/>
      <c r="AM39" s="22"/>
    </row>
    <row r="40">
      <c r="A40" s="13" t="s">
        <v>20</v>
      </c>
      <c r="B40" s="26">
        <v>45639.0</v>
      </c>
      <c r="C40" s="13" t="s">
        <v>21</v>
      </c>
      <c r="D40" s="13">
        <v>7.3</v>
      </c>
      <c r="E40" s="13" t="s">
        <v>22</v>
      </c>
      <c r="F40" s="13">
        <v>4.0</v>
      </c>
      <c r="G40" s="13" t="s">
        <v>37</v>
      </c>
      <c r="H40" s="23">
        <v>13.3772</v>
      </c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 t="str">
        <f t="shared" ref="AD40:AI40" si="43">AVERAGE(L40,R40,X40)</f>
        <v>#DIV/0!</v>
      </c>
      <c r="AE40" s="22" t="str">
        <f t="shared" si="43"/>
        <v>#DIV/0!</v>
      </c>
      <c r="AF40" s="22" t="str">
        <f t="shared" si="43"/>
        <v>#DIV/0!</v>
      </c>
      <c r="AG40" s="22" t="str">
        <f t="shared" si="43"/>
        <v>#DIV/0!</v>
      </c>
      <c r="AH40" s="22" t="str">
        <f t="shared" si="43"/>
        <v>#DIV/0!</v>
      </c>
      <c r="AI40" s="22" t="str">
        <f t="shared" si="43"/>
        <v>#DIV/0!</v>
      </c>
      <c r="AJ40" s="22"/>
      <c r="AK40" s="22"/>
      <c r="AL40" s="22"/>
      <c r="AM40" s="22"/>
    </row>
    <row r="41">
      <c r="A41" s="13" t="s">
        <v>20</v>
      </c>
      <c r="B41" s="26">
        <v>45639.0</v>
      </c>
      <c r="C41" s="13" t="s">
        <v>21</v>
      </c>
      <c r="D41" s="13">
        <v>7.4</v>
      </c>
      <c r="E41" s="13" t="s">
        <v>22</v>
      </c>
      <c r="F41" s="13">
        <v>4.0</v>
      </c>
      <c r="G41" s="13" t="s">
        <v>37</v>
      </c>
      <c r="H41" s="23">
        <v>11.4658</v>
      </c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 t="str">
        <f t="shared" ref="AD41:AI41" si="44">AVERAGE(L41,R41,X41)</f>
        <v>#DIV/0!</v>
      </c>
      <c r="AE41" s="22" t="str">
        <f t="shared" si="44"/>
        <v>#DIV/0!</v>
      </c>
      <c r="AF41" s="22" t="str">
        <f t="shared" si="44"/>
        <v>#DIV/0!</v>
      </c>
      <c r="AG41" s="22" t="str">
        <f t="shared" si="44"/>
        <v>#DIV/0!</v>
      </c>
      <c r="AH41" s="22" t="str">
        <f t="shared" si="44"/>
        <v>#DIV/0!</v>
      </c>
      <c r="AI41" s="22" t="str">
        <f t="shared" si="44"/>
        <v>#DIV/0!</v>
      </c>
      <c r="AJ41" s="22"/>
      <c r="AK41" s="22"/>
      <c r="AL41" s="22"/>
      <c r="AM41" s="22"/>
    </row>
    <row r="42">
      <c r="A42" s="13" t="s">
        <v>20</v>
      </c>
      <c r="B42" s="26">
        <v>45639.0</v>
      </c>
      <c r="C42" s="13" t="s">
        <v>21</v>
      </c>
      <c r="D42" s="13">
        <v>8.1</v>
      </c>
      <c r="E42" s="13" t="s">
        <v>22</v>
      </c>
      <c r="F42" s="13">
        <v>4.0</v>
      </c>
      <c r="G42" s="13" t="s">
        <v>37</v>
      </c>
      <c r="H42" s="23">
        <v>12.8722</v>
      </c>
      <c r="I42" s="22"/>
      <c r="AI42" s="22" t="str">
        <f>AVERAGE(S1,Y1,AE1)</f>
        <v>#DIV/0!</v>
      </c>
      <c r="AJ42" s="22"/>
      <c r="AK42" s="22"/>
      <c r="AL42" s="22"/>
      <c r="AM42" s="22"/>
    </row>
    <row r="43">
      <c r="A43" s="13" t="s">
        <v>20</v>
      </c>
      <c r="B43" s="26">
        <v>45639.0</v>
      </c>
      <c r="C43" s="13" t="s">
        <v>21</v>
      </c>
      <c r="D43" s="13">
        <v>8.2</v>
      </c>
      <c r="E43" s="13" t="s">
        <v>22</v>
      </c>
      <c r="F43" s="13">
        <v>4.0</v>
      </c>
      <c r="G43" s="13" t="s">
        <v>37</v>
      </c>
      <c r="H43" s="23">
        <v>11.8004</v>
      </c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 t="str">
        <f t="shared" ref="AD43:AI43" si="45">AVERAGE(L43,R43,X43)</f>
        <v>#DIV/0!</v>
      </c>
      <c r="AE43" s="22" t="str">
        <f t="shared" si="45"/>
        <v>#DIV/0!</v>
      </c>
      <c r="AF43" s="22" t="str">
        <f t="shared" si="45"/>
        <v>#DIV/0!</v>
      </c>
      <c r="AG43" s="22" t="str">
        <f t="shared" si="45"/>
        <v>#DIV/0!</v>
      </c>
      <c r="AH43" s="22" t="str">
        <f t="shared" si="45"/>
        <v>#DIV/0!</v>
      </c>
      <c r="AI43" s="22" t="str">
        <f t="shared" si="45"/>
        <v>#DIV/0!</v>
      </c>
      <c r="AJ43" s="22"/>
      <c r="AK43" s="22"/>
      <c r="AL43" s="22"/>
      <c r="AM43" s="22"/>
    </row>
    <row r="44">
      <c r="A44" s="13" t="s">
        <v>20</v>
      </c>
      <c r="B44" s="26">
        <v>45639.0</v>
      </c>
      <c r="C44" s="13" t="s">
        <v>21</v>
      </c>
      <c r="D44" s="13">
        <v>8.3</v>
      </c>
      <c r="E44" s="13" t="s">
        <v>22</v>
      </c>
      <c r="F44" s="13">
        <v>4.0</v>
      </c>
      <c r="G44" s="13" t="s">
        <v>37</v>
      </c>
      <c r="H44" s="23">
        <v>12.0302</v>
      </c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 t="str">
        <f t="shared" ref="AD44:AI44" si="46">AVERAGE(L44,R44,X44)</f>
        <v>#DIV/0!</v>
      </c>
      <c r="AE44" s="22" t="str">
        <f t="shared" si="46"/>
        <v>#DIV/0!</v>
      </c>
      <c r="AF44" s="22" t="str">
        <f t="shared" si="46"/>
        <v>#DIV/0!</v>
      </c>
      <c r="AG44" s="22" t="str">
        <f t="shared" si="46"/>
        <v>#DIV/0!</v>
      </c>
      <c r="AH44" s="22" t="str">
        <f t="shared" si="46"/>
        <v>#DIV/0!</v>
      </c>
      <c r="AI44" s="22" t="str">
        <f t="shared" si="46"/>
        <v>#DIV/0!</v>
      </c>
      <c r="AJ44" s="22"/>
      <c r="AK44" s="22"/>
      <c r="AL44" s="22"/>
      <c r="AM44" s="22"/>
    </row>
    <row r="45">
      <c r="A45" s="13" t="s">
        <v>20</v>
      </c>
      <c r="B45" s="26">
        <v>45639.0</v>
      </c>
      <c r="C45" s="13" t="s">
        <v>21</v>
      </c>
      <c r="D45" s="13">
        <v>8.4</v>
      </c>
      <c r="E45" s="13" t="s">
        <v>22</v>
      </c>
      <c r="F45" s="13">
        <v>4.0</v>
      </c>
      <c r="G45" s="13" t="s">
        <v>37</v>
      </c>
      <c r="H45" s="23">
        <v>10.2447</v>
      </c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 t="str">
        <f t="shared" ref="AD45:AI45" si="47">AVERAGE(L45,R45,X45)</f>
        <v>#DIV/0!</v>
      </c>
      <c r="AE45" s="22" t="str">
        <f t="shared" si="47"/>
        <v>#DIV/0!</v>
      </c>
      <c r="AF45" s="22" t="str">
        <f t="shared" si="47"/>
        <v>#DIV/0!</v>
      </c>
      <c r="AG45" s="22" t="str">
        <f t="shared" si="47"/>
        <v>#DIV/0!</v>
      </c>
      <c r="AH45" s="22" t="str">
        <f t="shared" si="47"/>
        <v>#DIV/0!</v>
      </c>
      <c r="AI45" s="22" t="str">
        <f t="shared" si="47"/>
        <v>#DIV/0!</v>
      </c>
      <c r="AJ45" s="22"/>
      <c r="AK45" s="22"/>
      <c r="AL45" s="22"/>
      <c r="AM45" s="22"/>
    </row>
    <row r="46">
      <c r="A46" s="13" t="s">
        <v>20</v>
      </c>
      <c r="B46" s="26">
        <v>45639.0</v>
      </c>
      <c r="C46" s="13" t="s">
        <v>21</v>
      </c>
      <c r="D46" s="13">
        <v>9.1</v>
      </c>
      <c r="E46" s="13" t="s">
        <v>22</v>
      </c>
      <c r="F46" s="13">
        <v>4.0</v>
      </c>
      <c r="G46" s="13" t="s">
        <v>37</v>
      </c>
      <c r="H46" s="23">
        <v>11.5227</v>
      </c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 t="str">
        <f t="shared" ref="AD46:AI46" si="48">AVERAGE(L46,R46,X46)</f>
        <v>#DIV/0!</v>
      </c>
      <c r="AE46" s="22" t="str">
        <f t="shared" si="48"/>
        <v>#DIV/0!</v>
      </c>
      <c r="AF46" s="22" t="str">
        <f t="shared" si="48"/>
        <v>#DIV/0!</v>
      </c>
      <c r="AG46" s="22" t="str">
        <f t="shared" si="48"/>
        <v>#DIV/0!</v>
      </c>
      <c r="AH46" s="22" t="str">
        <f t="shared" si="48"/>
        <v>#DIV/0!</v>
      </c>
      <c r="AI46" s="22" t="str">
        <f t="shared" si="48"/>
        <v>#DIV/0!</v>
      </c>
      <c r="AJ46" s="22"/>
      <c r="AK46" s="22"/>
      <c r="AL46" s="22"/>
      <c r="AM46" s="22"/>
    </row>
    <row r="47">
      <c r="A47" s="13" t="s">
        <v>20</v>
      </c>
      <c r="B47" s="26">
        <v>45639.0</v>
      </c>
      <c r="C47" s="13" t="s">
        <v>21</v>
      </c>
      <c r="D47" s="13">
        <v>9.2</v>
      </c>
      <c r="E47" s="13" t="s">
        <v>22</v>
      </c>
      <c r="F47" s="13">
        <v>4.0</v>
      </c>
      <c r="G47" s="13" t="s">
        <v>37</v>
      </c>
      <c r="H47" s="23">
        <v>9.9259</v>
      </c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 t="str">
        <f t="shared" ref="AD47:AI47" si="49">AVERAGE(L47,R47,X47)</f>
        <v>#DIV/0!</v>
      </c>
      <c r="AE47" s="22" t="str">
        <f t="shared" si="49"/>
        <v>#DIV/0!</v>
      </c>
      <c r="AF47" s="22" t="str">
        <f t="shared" si="49"/>
        <v>#DIV/0!</v>
      </c>
      <c r="AG47" s="22" t="str">
        <f t="shared" si="49"/>
        <v>#DIV/0!</v>
      </c>
      <c r="AH47" s="22" t="str">
        <f t="shared" si="49"/>
        <v>#DIV/0!</v>
      </c>
      <c r="AI47" s="22" t="str">
        <f t="shared" si="49"/>
        <v>#DIV/0!</v>
      </c>
      <c r="AJ47" s="22"/>
      <c r="AK47" s="22"/>
      <c r="AL47" s="22"/>
      <c r="AM47" s="22"/>
    </row>
    <row r="48">
      <c r="A48" s="13" t="s">
        <v>20</v>
      </c>
      <c r="B48" s="26">
        <v>45639.0</v>
      </c>
      <c r="C48" s="13" t="s">
        <v>21</v>
      </c>
      <c r="D48" s="13">
        <v>9.3</v>
      </c>
      <c r="E48" s="13" t="s">
        <v>22</v>
      </c>
      <c r="F48" s="13">
        <v>4.0</v>
      </c>
      <c r="G48" s="13" t="s">
        <v>37</v>
      </c>
      <c r="H48" s="23">
        <v>11.8155</v>
      </c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 t="str">
        <f t="shared" ref="AD48:AI48" si="50">AVERAGE(L48,R48,X48)</f>
        <v>#DIV/0!</v>
      </c>
      <c r="AE48" s="22" t="str">
        <f t="shared" si="50"/>
        <v>#DIV/0!</v>
      </c>
      <c r="AF48" s="22" t="str">
        <f t="shared" si="50"/>
        <v>#DIV/0!</v>
      </c>
      <c r="AG48" s="22" t="str">
        <f t="shared" si="50"/>
        <v>#DIV/0!</v>
      </c>
      <c r="AH48" s="22" t="str">
        <f t="shared" si="50"/>
        <v>#DIV/0!</v>
      </c>
      <c r="AI48" s="22" t="str">
        <f t="shared" si="50"/>
        <v>#DIV/0!</v>
      </c>
      <c r="AJ48" s="22"/>
      <c r="AK48" s="22"/>
      <c r="AL48" s="22"/>
      <c r="AM48" s="22"/>
    </row>
    <row r="49">
      <c r="A49" s="13" t="s">
        <v>20</v>
      </c>
      <c r="B49" s="26">
        <v>45639.0</v>
      </c>
      <c r="C49" s="13" t="s">
        <v>21</v>
      </c>
      <c r="D49" s="13">
        <v>9.4</v>
      </c>
      <c r="E49" s="13" t="s">
        <v>22</v>
      </c>
      <c r="F49" s="13">
        <v>4.0</v>
      </c>
      <c r="G49" s="13" t="s">
        <v>37</v>
      </c>
      <c r="H49" s="23">
        <v>10.8954</v>
      </c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 t="str">
        <f t="shared" ref="AD49:AI49" si="51">AVERAGE(L49,R49,X49)</f>
        <v>#DIV/0!</v>
      </c>
      <c r="AE49" s="22" t="str">
        <f t="shared" si="51"/>
        <v>#DIV/0!</v>
      </c>
      <c r="AF49" s="22" t="str">
        <f t="shared" si="51"/>
        <v>#DIV/0!</v>
      </c>
      <c r="AG49" s="22" t="str">
        <f t="shared" si="51"/>
        <v>#DIV/0!</v>
      </c>
      <c r="AH49" s="22" t="str">
        <f t="shared" si="51"/>
        <v>#DIV/0!</v>
      </c>
      <c r="AI49" s="22" t="str">
        <f t="shared" si="51"/>
        <v>#DIV/0!</v>
      </c>
      <c r="AJ49" s="22"/>
      <c r="AK49" s="22"/>
      <c r="AL49" s="22"/>
      <c r="AM49" s="22"/>
    </row>
    <row r="50">
      <c r="A50" s="13" t="s">
        <v>20</v>
      </c>
      <c r="B50" s="26">
        <v>45639.0</v>
      </c>
      <c r="C50" s="13" t="s">
        <v>24</v>
      </c>
      <c r="D50" s="13">
        <v>7.1</v>
      </c>
      <c r="E50" s="13" t="s">
        <v>22</v>
      </c>
      <c r="F50" s="13">
        <v>4.0</v>
      </c>
      <c r="G50" s="13" t="s">
        <v>37</v>
      </c>
      <c r="H50" s="23">
        <v>11.3667</v>
      </c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22"/>
      <c r="Y50" s="22"/>
      <c r="Z50" s="22"/>
      <c r="AA50" s="22"/>
      <c r="AB50" s="22"/>
      <c r="AC50" s="22"/>
      <c r="AD50" s="22" t="str">
        <f t="shared" ref="AD50:AI50" si="52">AVERAGE(L50,R50,X50)</f>
        <v>#DIV/0!</v>
      </c>
      <c r="AE50" s="22" t="str">
        <f t="shared" si="52"/>
        <v>#DIV/0!</v>
      </c>
      <c r="AF50" s="22" t="str">
        <f t="shared" si="52"/>
        <v>#DIV/0!</v>
      </c>
      <c r="AG50" s="22" t="str">
        <f t="shared" si="52"/>
        <v>#DIV/0!</v>
      </c>
      <c r="AH50" s="22" t="str">
        <f t="shared" si="52"/>
        <v>#DIV/0!</v>
      </c>
      <c r="AI50" s="22" t="str">
        <f t="shared" si="52"/>
        <v>#DIV/0!</v>
      </c>
      <c r="AJ50" s="22"/>
      <c r="AK50" s="22"/>
      <c r="AL50" s="22"/>
      <c r="AM50" s="22"/>
    </row>
    <row r="51">
      <c r="A51" s="13" t="s">
        <v>20</v>
      </c>
      <c r="B51" s="26">
        <v>45639.0</v>
      </c>
      <c r="C51" s="13" t="s">
        <v>24</v>
      </c>
      <c r="D51" s="13">
        <v>7.2</v>
      </c>
      <c r="E51" s="13" t="s">
        <v>22</v>
      </c>
      <c r="F51" s="13">
        <v>4.0</v>
      </c>
      <c r="G51" s="13" t="s">
        <v>37</v>
      </c>
      <c r="H51" s="23">
        <v>11.657</v>
      </c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  <c r="AD51" s="22" t="str">
        <f t="shared" ref="AD51:AI51" si="53">AVERAGE(L51,R51,X51)</f>
        <v>#DIV/0!</v>
      </c>
      <c r="AE51" s="22" t="str">
        <f t="shared" si="53"/>
        <v>#DIV/0!</v>
      </c>
      <c r="AF51" s="22" t="str">
        <f t="shared" si="53"/>
        <v>#DIV/0!</v>
      </c>
      <c r="AG51" s="22" t="str">
        <f t="shared" si="53"/>
        <v>#DIV/0!</v>
      </c>
      <c r="AH51" s="22" t="str">
        <f t="shared" si="53"/>
        <v>#DIV/0!</v>
      </c>
      <c r="AI51" s="22" t="str">
        <f t="shared" si="53"/>
        <v>#DIV/0!</v>
      </c>
      <c r="AJ51" s="22"/>
      <c r="AK51" s="22"/>
      <c r="AL51" s="22"/>
      <c r="AM51" s="22"/>
    </row>
    <row r="52">
      <c r="A52" s="13" t="s">
        <v>20</v>
      </c>
      <c r="B52" s="26">
        <v>45639.0</v>
      </c>
      <c r="C52" s="13" t="s">
        <v>24</v>
      </c>
      <c r="D52" s="13">
        <v>7.3</v>
      </c>
      <c r="E52" s="13" t="s">
        <v>22</v>
      </c>
      <c r="F52" s="13">
        <v>4.0</v>
      </c>
      <c r="G52" s="13" t="s">
        <v>37</v>
      </c>
      <c r="H52" s="23">
        <v>13.2974</v>
      </c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22"/>
      <c r="Y52" s="22"/>
      <c r="Z52" s="22"/>
      <c r="AA52" s="22"/>
      <c r="AB52" s="22"/>
      <c r="AC52" s="22"/>
      <c r="AD52" s="22" t="str">
        <f t="shared" ref="AD52:AI52" si="54">AVERAGE(L52,R52,X52)</f>
        <v>#DIV/0!</v>
      </c>
      <c r="AE52" s="22" t="str">
        <f t="shared" si="54"/>
        <v>#DIV/0!</v>
      </c>
      <c r="AF52" s="22" t="str">
        <f t="shared" si="54"/>
        <v>#DIV/0!</v>
      </c>
      <c r="AG52" s="22" t="str">
        <f t="shared" si="54"/>
        <v>#DIV/0!</v>
      </c>
      <c r="AH52" s="22" t="str">
        <f t="shared" si="54"/>
        <v>#DIV/0!</v>
      </c>
      <c r="AI52" s="22" t="str">
        <f t="shared" si="54"/>
        <v>#DIV/0!</v>
      </c>
      <c r="AJ52" s="22"/>
      <c r="AK52" s="22"/>
      <c r="AL52" s="22"/>
      <c r="AM52" s="22"/>
    </row>
    <row r="53">
      <c r="A53" s="13" t="s">
        <v>20</v>
      </c>
      <c r="B53" s="26">
        <v>45639.0</v>
      </c>
      <c r="C53" s="13" t="s">
        <v>24</v>
      </c>
      <c r="D53" s="13">
        <v>7.4</v>
      </c>
      <c r="E53" s="13" t="s">
        <v>22</v>
      </c>
      <c r="F53" s="13">
        <v>4.0</v>
      </c>
      <c r="G53" s="13" t="s">
        <v>37</v>
      </c>
      <c r="H53" s="23">
        <v>11.3428</v>
      </c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  <c r="AA53" s="22"/>
      <c r="AB53" s="22"/>
      <c r="AC53" s="22"/>
      <c r="AD53" s="22" t="str">
        <f t="shared" ref="AD53:AI53" si="55">AVERAGE(L53,R53,X53)</f>
        <v>#DIV/0!</v>
      </c>
      <c r="AE53" s="22" t="str">
        <f t="shared" si="55"/>
        <v>#DIV/0!</v>
      </c>
      <c r="AF53" s="22" t="str">
        <f t="shared" si="55"/>
        <v>#DIV/0!</v>
      </c>
      <c r="AG53" s="22" t="str">
        <f t="shared" si="55"/>
        <v>#DIV/0!</v>
      </c>
      <c r="AH53" s="22" t="str">
        <f t="shared" si="55"/>
        <v>#DIV/0!</v>
      </c>
      <c r="AI53" s="22" t="str">
        <f t="shared" si="55"/>
        <v>#DIV/0!</v>
      </c>
      <c r="AJ53" s="22"/>
      <c r="AK53" s="22"/>
      <c r="AL53" s="22"/>
      <c r="AM53" s="22"/>
    </row>
    <row r="54">
      <c r="A54" s="13" t="s">
        <v>20</v>
      </c>
      <c r="B54" s="26">
        <v>45639.0</v>
      </c>
      <c r="C54" s="13" t="s">
        <v>24</v>
      </c>
      <c r="D54" s="13">
        <v>8.1</v>
      </c>
      <c r="E54" s="13" t="s">
        <v>22</v>
      </c>
      <c r="F54" s="13">
        <v>4.0</v>
      </c>
      <c r="G54" s="13" t="s">
        <v>37</v>
      </c>
      <c r="H54" s="23">
        <v>10.2376</v>
      </c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  <c r="AA54" s="22"/>
      <c r="AB54" s="22"/>
      <c r="AC54" s="22"/>
      <c r="AD54" s="22" t="str">
        <f t="shared" ref="AD54:AI54" si="56">AVERAGE(L54,R54,X54)</f>
        <v>#DIV/0!</v>
      </c>
      <c r="AE54" s="22" t="str">
        <f t="shared" si="56"/>
        <v>#DIV/0!</v>
      </c>
      <c r="AF54" s="22" t="str">
        <f t="shared" si="56"/>
        <v>#DIV/0!</v>
      </c>
      <c r="AG54" s="22" t="str">
        <f t="shared" si="56"/>
        <v>#DIV/0!</v>
      </c>
      <c r="AH54" s="22" t="str">
        <f t="shared" si="56"/>
        <v>#DIV/0!</v>
      </c>
      <c r="AI54" s="22" t="str">
        <f t="shared" si="56"/>
        <v>#DIV/0!</v>
      </c>
      <c r="AJ54" s="22"/>
      <c r="AK54" s="22"/>
      <c r="AL54" s="22"/>
      <c r="AM54" s="22"/>
    </row>
    <row r="55">
      <c r="A55" s="13" t="s">
        <v>20</v>
      </c>
      <c r="B55" s="26">
        <v>45639.0</v>
      </c>
      <c r="C55" s="13" t="s">
        <v>24</v>
      </c>
      <c r="D55" s="13">
        <v>8.2</v>
      </c>
      <c r="E55" s="13" t="s">
        <v>22</v>
      </c>
      <c r="F55" s="13">
        <v>4.0</v>
      </c>
      <c r="G55" s="13" t="s">
        <v>37</v>
      </c>
      <c r="H55" s="23">
        <v>10.3561</v>
      </c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 t="str">
        <f t="shared" ref="AD55:AI55" si="57">AVERAGE(L55,R55,X55)</f>
        <v>#DIV/0!</v>
      </c>
      <c r="AE55" s="22" t="str">
        <f t="shared" si="57"/>
        <v>#DIV/0!</v>
      </c>
      <c r="AF55" s="22" t="str">
        <f t="shared" si="57"/>
        <v>#DIV/0!</v>
      </c>
      <c r="AG55" s="22" t="str">
        <f t="shared" si="57"/>
        <v>#DIV/0!</v>
      </c>
      <c r="AH55" s="22" t="str">
        <f t="shared" si="57"/>
        <v>#DIV/0!</v>
      </c>
      <c r="AI55" s="22" t="str">
        <f t="shared" si="57"/>
        <v>#DIV/0!</v>
      </c>
      <c r="AJ55" s="22"/>
      <c r="AK55" s="22"/>
      <c r="AL55" s="22"/>
      <c r="AM55" s="22"/>
    </row>
    <row r="56">
      <c r="A56" s="13" t="s">
        <v>20</v>
      </c>
      <c r="B56" s="26">
        <v>45639.0</v>
      </c>
      <c r="C56" s="13" t="s">
        <v>24</v>
      </c>
      <c r="D56" s="13">
        <v>8.3</v>
      </c>
      <c r="E56" s="13" t="s">
        <v>22</v>
      </c>
      <c r="F56" s="13">
        <v>4.0</v>
      </c>
      <c r="G56" s="13" t="s">
        <v>37</v>
      </c>
      <c r="H56" s="23">
        <v>10.685</v>
      </c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 t="str">
        <f t="shared" ref="AD56:AI56" si="58">AVERAGE(L56,R56,X56)</f>
        <v>#DIV/0!</v>
      </c>
      <c r="AE56" s="22" t="str">
        <f t="shared" si="58"/>
        <v>#DIV/0!</v>
      </c>
      <c r="AF56" s="22" t="str">
        <f t="shared" si="58"/>
        <v>#DIV/0!</v>
      </c>
      <c r="AG56" s="22" t="str">
        <f t="shared" si="58"/>
        <v>#DIV/0!</v>
      </c>
      <c r="AH56" s="22" t="str">
        <f t="shared" si="58"/>
        <v>#DIV/0!</v>
      </c>
      <c r="AI56" s="22" t="str">
        <f t="shared" si="58"/>
        <v>#DIV/0!</v>
      </c>
      <c r="AJ56" s="22"/>
      <c r="AK56" s="22"/>
      <c r="AL56" s="22"/>
      <c r="AM56" s="22"/>
    </row>
    <row r="57">
      <c r="A57" s="13" t="s">
        <v>20</v>
      </c>
      <c r="B57" s="26">
        <v>45639.0</v>
      </c>
      <c r="C57" s="13" t="s">
        <v>24</v>
      </c>
      <c r="D57" s="13">
        <v>8.4</v>
      </c>
      <c r="E57" s="13" t="s">
        <v>22</v>
      </c>
      <c r="F57" s="13">
        <v>4.0</v>
      </c>
      <c r="G57" s="13" t="s">
        <v>37</v>
      </c>
      <c r="H57" s="23">
        <v>11.9243</v>
      </c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22"/>
      <c r="AB57" s="22"/>
      <c r="AC57" s="22"/>
      <c r="AD57" s="22" t="str">
        <f t="shared" ref="AD57:AI57" si="59">AVERAGE(L57,R57,X57)</f>
        <v>#DIV/0!</v>
      </c>
      <c r="AE57" s="22" t="str">
        <f t="shared" si="59"/>
        <v>#DIV/0!</v>
      </c>
      <c r="AF57" s="22" t="str">
        <f t="shared" si="59"/>
        <v>#DIV/0!</v>
      </c>
      <c r="AG57" s="22" t="str">
        <f t="shared" si="59"/>
        <v>#DIV/0!</v>
      </c>
      <c r="AH57" s="22" t="str">
        <f t="shared" si="59"/>
        <v>#DIV/0!</v>
      </c>
      <c r="AI57" s="22" t="str">
        <f t="shared" si="59"/>
        <v>#DIV/0!</v>
      </c>
      <c r="AJ57" s="22"/>
      <c r="AK57" s="22"/>
      <c r="AL57" s="22"/>
      <c r="AM57" s="22"/>
    </row>
    <row r="58">
      <c r="A58" s="13" t="s">
        <v>20</v>
      </c>
      <c r="B58" s="26">
        <v>45639.0</v>
      </c>
      <c r="C58" s="13" t="s">
        <v>24</v>
      </c>
      <c r="D58" s="13">
        <v>9.1</v>
      </c>
      <c r="E58" s="13" t="s">
        <v>22</v>
      </c>
      <c r="F58" s="13">
        <v>4.0</v>
      </c>
      <c r="G58" s="13" t="s">
        <v>37</v>
      </c>
      <c r="H58" s="23">
        <v>10.7424</v>
      </c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22"/>
      <c r="Y58" s="22"/>
      <c r="Z58" s="22"/>
      <c r="AA58" s="22"/>
      <c r="AB58" s="22"/>
      <c r="AC58" s="22"/>
      <c r="AD58" s="22" t="str">
        <f t="shared" ref="AD58:AI58" si="60">AVERAGE(L58,R58,X58)</f>
        <v>#DIV/0!</v>
      </c>
      <c r="AE58" s="22" t="str">
        <f t="shared" si="60"/>
        <v>#DIV/0!</v>
      </c>
      <c r="AF58" s="22" t="str">
        <f t="shared" si="60"/>
        <v>#DIV/0!</v>
      </c>
      <c r="AG58" s="22" t="str">
        <f t="shared" si="60"/>
        <v>#DIV/0!</v>
      </c>
      <c r="AH58" s="22" t="str">
        <f t="shared" si="60"/>
        <v>#DIV/0!</v>
      </c>
      <c r="AI58" s="22" t="str">
        <f t="shared" si="60"/>
        <v>#DIV/0!</v>
      </c>
      <c r="AJ58" s="22"/>
      <c r="AK58" s="22"/>
      <c r="AL58" s="22"/>
      <c r="AM58" s="22"/>
    </row>
    <row r="59">
      <c r="A59" s="13" t="s">
        <v>20</v>
      </c>
      <c r="B59" s="26">
        <v>45639.0</v>
      </c>
      <c r="C59" s="13" t="s">
        <v>24</v>
      </c>
      <c r="D59" s="13">
        <v>9.2</v>
      </c>
      <c r="E59" s="13" t="s">
        <v>22</v>
      </c>
      <c r="F59" s="13">
        <v>4.0</v>
      </c>
      <c r="G59" s="13" t="s">
        <v>37</v>
      </c>
      <c r="H59" s="23">
        <v>10.8712</v>
      </c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 t="str">
        <f t="shared" ref="AD59:AI59" si="61">AVERAGE(L59,R59,X59)</f>
        <v>#DIV/0!</v>
      </c>
      <c r="AE59" s="22" t="str">
        <f t="shared" si="61"/>
        <v>#DIV/0!</v>
      </c>
      <c r="AF59" s="22" t="str">
        <f t="shared" si="61"/>
        <v>#DIV/0!</v>
      </c>
      <c r="AG59" s="22" t="str">
        <f t="shared" si="61"/>
        <v>#DIV/0!</v>
      </c>
      <c r="AH59" s="22" t="str">
        <f t="shared" si="61"/>
        <v>#DIV/0!</v>
      </c>
      <c r="AI59" s="22" t="str">
        <f t="shared" si="61"/>
        <v>#DIV/0!</v>
      </c>
      <c r="AJ59" s="22"/>
      <c r="AK59" s="22"/>
      <c r="AL59" s="22"/>
      <c r="AM59" s="22"/>
    </row>
    <row r="60">
      <c r="A60" s="13" t="s">
        <v>20</v>
      </c>
      <c r="B60" s="26">
        <v>45639.0</v>
      </c>
      <c r="C60" s="13" t="s">
        <v>24</v>
      </c>
      <c r="D60" s="13">
        <v>9.3</v>
      </c>
      <c r="E60" s="13" t="s">
        <v>22</v>
      </c>
      <c r="F60" s="13">
        <v>4.0</v>
      </c>
      <c r="G60" s="13" t="s">
        <v>37</v>
      </c>
      <c r="H60" s="23">
        <v>9.8542</v>
      </c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 t="str">
        <f t="shared" ref="AD60:AI60" si="62">AVERAGE(L60,R60,X60)</f>
        <v>#DIV/0!</v>
      </c>
      <c r="AE60" s="22" t="str">
        <f t="shared" si="62"/>
        <v>#DIV/0!</v>
      </c>
      <c r="AF60" s="22" t="str">
        <f t="shared" si="62"/>
        <v>#DIV/0!</v>
      </c>
      <c r="AG60" s="22" t="str">
        <f t="shared" si="62"/>
        <v>#DIV/0!</v>
      </c>
      <c r="AH60" s="22" t="str">
        <f t="shared" si="62"/>
        <v>#DIV/0!</v>
      </c>
      <c r="AI60" s="22" t="str">
        <f t="shared" si="62"/>
        <v>#DIV/0!</v>
      </c>
      <c r="AJ60" s="22"/>
      <c r="AK60" s="22"/>
      <c r="AL60" s="22"/>
      <c r="AM60" s="22"/>
    </row>
    <row r="61">
      <c r="A61" s="13" t="s">
        <v>20</v>
      </c>
      <c r="B61" s="26">
        <v>45639.0</v>
      </c>
      <c r="C61" s="13" t="s">
        <v>24</v>
      </c>
      <c r="D61" s="13">
        <v>9.4</v>
      </c>
      <c r="E61" s="13" t="s">
        <v>22</v>
      </c>
      <c r="F61" s="13">
        <v>4.0</v>
      </c>
      <c r="G61" s="13" t="s">
        <v>37</v>
      </c>
      <c r="H61" s="23">
        <v>10.3656</v>
      </c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 t="str">
        <f t="shared" ref="AD61:AI61" si="63">AVERAGE(L61,R61,X61)</f>
        <v>#DIV/0!</v>
      </c>
      <c r="AE61" s="22" t="str">
        <f t="shared" si="63"/>
        <v>#DIV/0!</v>
      </c>
      <c r="AF61" s="22" t="str">
        <f t="shared" si="63"/>
        <v>#DIV/0!</v>
      </c>
      <c r="AG61" s="22" t="str">
        <f t="shared" si="63"/>
        <v>#DIV/0!</v>
      </c>
      <c r="AH61" s="22" t="str">
        <f t="shared" si="63"/>
        <v>#DIV/0!</v>
      </c>
      <c r="AI61" s="22" t="str">
        <f t="shared" si="63"/>
        <v>#DIV/0!</v>
      </c>
      <c r="AJ61" s="22"/>
      <c r="AK61" s="22"/>
      <c r="AL61" s="22"/>
      <c r="AM61" s="22"/>
    </row>
    <row r="62">
      <c r="A62" s="13" t="s">
        <v>20</v>
      </c>
      <c r="B62" s="26">
        <v>45639.0</v>
      </c>
      <c r="C62" s="13" t="s">
        <v>25</v>
      </c>
      <c r="D62" s="13">
        <v>7.1</v>
      </c>
      <c r="E62" s="13" t="s">
        <v>22</v>
      </c>
      <c r="F62" s="13">
        <v>4.0</v>
      </c>
      <c r="G62" s="13" t="s">
        <v>37</v>
      </c>
      <c r="H62" s="23">
        <v>14.0153</v>
      </c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 t="str">
        <f t="shared" ref="AD62:AI62" si="64">AVERAGE(L62,R62,X62)</f>
        <v>#DIV/0!</v>
      </c>
      <c r="AE62" s="22" t="str">
        <f t="shared" si="64"/>
        <v>#DIV/0!</v>
      </c>
      <c r="AF62" s="22" t="str">
        <f t="shared" si="64"/>
        <v>#DIV/0!</v>
      </c>
      <c r="AG62" s="22" t="str">
        <f t="shared" si="64"/>
        <v>#DIV/0!</v>
      </c>
      <c r="AH62" s="22" t="str">
        <f t="shared" si="64"/>
        <v>#DIV/0!</v>
      </c>
      <c r="AI62" s="22" t="str">
        <f t="shared" si="64"/>
        <v>#DIV/0!</v>
      </c>
      <c r="AJ62" s="22"/>
      <c r="AK62" s="22"/>
      <c r="AL62" s="22"/>
      <c r="AM62" s="22"/>
    </row>
    <row r="63">
      <c r="A63" s="13" t="s">
        <v>20</v>
      </c>
      <c r="B63" s="26">
        <v>45639.0</v>
      </c>
      <c r="C63" s="13" t="s">
        <v>25</v>
      </c>
      <c r="D63" s="13">
        <v>7.2</v>
      </c>
      <c r="E63" s="13" t="s">
        <v>22</v>
      </c>
      <c r="F63" s="13">
        <v>4.0</v>
      </c>
      <c r="G63" s="13" t="s">
        <v>37</v>
      </c>
      <c r="H63" s="23">
        <v>10.8829</v>
      </c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 t="str">
        <f t="shared" ref="AD63:AI63" si="65">AVERAGE(L63,R63,X63)</f>
        <v>#DIV/0!</v>
      </c>
      <c r="AE63" s="22" t="str">
        <f t="shared" si="65"/>
        <v>#DIV/0!</v>
      </c>
      <c r="AF63" s="22" t="str">
        <f t="shared" si="65"/>
        <v>#DIV/0!</v>
      </c>
      <c r="AG63" s="22" t="str">
        <f t="shared" si="65"/>
        <v>#DIV/0!</v>
      </c>
      <c r="AH63" s="22" t="str">
        <f t="shared" si="65"/>
        <v>#DIV/0!</v>
      </c>
      <c r="AI63" s="22" t="str">
        <f t="shared" si="65"/>
        <v>#DIV/0!</v>
      </c>
      <c r="AJ63" s="22"/>
      <c r="AK63" s="22"/>
      <c r="AL63" s="22"/>
      <c r="AM63" s="22"/>
    </row>
    <row r="64">
      <c r="A64" s="13" t="s">
        <v>20</v>
      </c>
      <c r="B64" s="26">
        <v>45639.0</v>
      </c>
      <c r="C64" s="13" t="s">
        <v>25</v>
      </c>
      <c r="D64" s="13">
        <v>7.3</v>
      </c>
      <c r="E64" s="13" t="s">
        <v>22</v>
      </c>
      <c r="F64" s="13">
        <v>4.0</v>
      </c>
      <c r="G64" s="13" t="s">
        <v>37</v>
      </c>
      <c r="H64" s="23">
        <v>11.7745</v>
      </c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22"/>
      <c r="Y64" s="22"/>
      <c r="Z64" s="22"/>
      <c r="AA64" s="22"/>
      <c r="AB64" s="22"/>
      <c r="AC64" s="22"/>
      <c r="AD64" s="22" t="str">
        <f t="shared" ref="AD64:AI64" si="66">AVERAGE(L64,R64,X64)</f>
        <v>#DIV/0!</v>
      </c>
      <c r="AE64" s="22" t="str">
        <f t="shared" si="66"/>
        <v>#DIV/0!</v>
      </c>
      <c r="AF64" s="22" t="str">
        <f t="shared" si="66"/>
        <v>#DIV/0!</v>
      </c>
      <c r="AG64" s="22" t="str">
        <f t="shared" si="66"/>
        <v>#DIV/0!</v>
      </c>
      <c r="AH64" s="22" t="str">
        <f t="shared" si="66"/>
        <v>#DIV/0!</v>
      </c>
      <c r="AI64" s="22" t="str">
        <f t="shared" si="66"/>
        <v>#DIV/0!</v>
      </c>
      <c r="AJ64" s="22"/>
      <c r="AK64" s="22"/>
      <c r="AL64" s="22"/>
      <c r="AM64" s="22"/>
    </row>
    <row r="65">
      <c r="A65" s="13" t="s">
        <v>20</v>
      </c>
      <c r="B65" s="26">
        <v>45639.0</v>
      </c>
      <c r="C65" s="13" t="s">
        <v>25</v>
      </c>
      <c r="D65" s="13">
        <v>7.4</v>
      </c>
      <c r="E65" s="13" t="s">
        <v>22</v>
      </c>
      <c r="F65" s="13">
        <v>4.0</v>
      </c>
      <c r="G65" s="13" t="s">
        <v>37</v>
      </c>
      <c r="H65" s="23">
        <v>12.6453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 t="str">
        <f t="shared" ref="AD65:AI65" si="67">AVERAGE(L65,R65,X65)</f>
        <v>#DIV/0!</v>
      </c>
      <c r="AE65" s="22" t="str">
        <f t="shared" si="67"/>
        <v>#DIV/0!</v>
      </c>
      <c r="AF65" s="22" t="str">
        <f t="shared" si="67"/>
        <v>#DIV/0!</v>
      </c>
      <c r="AG65" s="22" t="str">
        <f t="shared" si="67"/>
        <v>#DIV/0!</v>
      </c>
      <c r="AH65" s="22" t="str">
        <f t="shared" si="67"/>
        <v>#DIV/0!</v>
      </c>
      <c r="AI65" s="22" t="str">
        <f t="shared" si="67"/>
        <v>#DIV/0!</v>
      </c>
      <c r="AJ65" s="22"/>
      <c r="AK65" s="22"/>
      <c r="AL65" s="22"/>
      <c r="AM65" s="22"/>
    </row>
    <row r="66">
      <c r="A66" s="13" t="s">
        <v>20</v>
      </c>
      <c r="B66" s="26">
        <v>45639.0</v>
      </c>
      <c r="C66" s="13" t="s">
        <v>25</v>
      </c>
      <c r="D66" s="13">
        <v>8.1</v>
      </c>
      <c r="E66" s="13" t="s">
        <v>22</v>
      </c>
      <c r="F66" s="13">
        <v>4.0</v>
      </c>
      <c r="G66" s="13" t="s">
        <v>37</v>
      </c>
      <c r="H66" s="23">
        <v>12.8698</v>
      </c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22"/>
      <c r="Y66" s="22"/>
      <c r="Z66" s="22"/>
      <c r="AA66" s="22"/>
      <c r="AB66" s="22"/>
      <c r="AC66" s="22"/>
      <c r="AD66" s="22" t="str">
        <f t="shared" ref="AD66:AI66" si="68">AVERAGE(L66,R66,X66)</f>
        <v>#DIV/0!</v>
      </c>
      <c r="AE66" s="22" t="str">
        <f t="shared" si="68"/>
        <v>#DIV/0!</v>
      </c>
      <c r="AF66" s="22" t="str">
        <f t="shared" si="68"/>
        <v>#DIV/0!</v>
      </c>
      <c r="AG66" s="22" t="str">
        <f t="shared" si="68"/>
        <v>#DIV/0!</v>
      </c>
      <c r="AH66" s="22" t="str">
        <f t="shared" si="68"/>
        <v>#DIV/0!</v>
      </c>
      <c r="AI66" s="22" t="str">
        <f t="shared" si="68"/>
        <v>#DIV/0!</v>
      </c>
      <c r="AJ66" s="22"/>
      <c r="AK66" s="22"/>
      <c r="AL66" s="22"/>
      <c r="AM66" s="22"/>
    </row>
    <row r="67">
      <c r="A67" s="13" t="s">
        <v>20</v>
      </c>
      <c r="B67" s="26">
        <v>45639.0</v>
      </c>
      <c r="C67" s="13" t="s">
        <v>25</v>
      </c>
      <c r="D67" s="13">
        <v>8.2</v>
      </c>
      <c r="E67" s="13" t="s">
        <v>22</v>
      </c>
      <c r="F67" s="13">
        <v>4.0</v>
      </c>
      <c r="G67" s="13" t="s">
        <v>37</v>
      </c>
      <c r="H67" s="23">
        <v>13.6177</v>
      </c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 t="str">
        <f t="shared" ref="AD67:AI67" si="69">AVERAGE(L67,R67,X67)</f>
        <v>#DIV/0!</v>
      </c>
      <c r="AE67" s="22" t="str">
        <f t="shared" si="69"/>
        <v>#DIV/0!</v>
      </c>
      <c r="AF67" s="22" t="str">
        <f t="shared" si="69"/>
        <v>#DIV/0!</v>
      </c>
      <c r="AG67" s="22" t="str">
        <f t="shared" si="69"/>
        <v>#DIV/0!</v>
      </c>
      <c r="AH67" s="22" t="str">
        <f t="shared" si="69"/>
        <v>#DIV/0!</v>
      </c>
      <c r="AI67" s="22" t="str">
        <f t="shared" si="69"/>
        <v>#DIV/0!</v>
      </c>
      <c r="AJ67" s="22"/>
      <c r="AK67" s="22"/>
      <c r="AL67" s="22"/>
      <c r="AM67" s="22"/>
    </row>
    <row r="68">
      <c r="A68" s="13" t="s">
        <v>20</v>
      </c>
      <c r="B68" s="26">
        <v>45639.0</v>
      </c>
      <c r="C68" s="13" t="s">
        <v>25</v>
      </c>
      <c r="D68" s="13">
        <v>8.3</v>
      </c>
      <c r="E68" s="13" t="s">
        <v>22</v>
      </c>
      <c r="F68" s="13">
        <v>4.0</v>
      </c>
      <c r="G68" s="13" t="s">
        <v>37</v>
      </c>
      <c r="H68" s="23">
        <v>10.5107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 t="str">
        <f t="shared" ref="AD68:AI68" si="70">AVERAGE(L68,R68,X68)</f>
        <v>#DIV/0!</v>
      </c>
      <c r="AE68" s="22" t="str">
        <f t="shared" si="70"/>
        <v>#DIV/0!</v>
      </c>
      <c r="AF68" s="22" t="str">
        <f t="shared" si="70"/>
        <v>#DIV/0!</v>
      </c>
      <c r="AG68" s="22" t="str">
        <f t="shared" si="70"/>
        <v>#DIV/0!</v>
      </c>
      <c r="AH68" s="22" t="str">
        <f t="shared" si="70"/>
        <v>#DIV/0!</v>
      </c>
      <c r="AI68" s="22" t="str">
        <f t="shared" si="70"/>
        <v>#DIV/0!</v>
      </c>
      <c r="AJ68" s="22"/>
      <c r="AK68" s="22"/>
      <c r="AL68" s="22"/>
      <c r="AM68" s="22"/>
    </row>
    <row r="69">
      <c r="A69" s="13" t="s">
        <v>20</v>
      </c>
      <c r="B69" s="26">
        <v>45639.0</v>
      </c>
      <c r="C69" s="13" t="s">
        <v>25</v>
      </c>
      <c r="D69" s="13">
        <v>8.4</v>
      </c>
      <c r="E69" s="13" t="s">
        <v>22</v>
      </c>
      <c r="F69" s="13">
        <v>4.0</v>
      </c>
      <c r="G69" s="13" t="s">
        <v>37</v>
      </c>
      <c r="H69" s="23">
        <v>13.1412</v>
      </c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22"/>
      <c r="Y69" s="22"/>
      <c r="Z69" s="22"/>
      <c r="AA69" s="22"/>
      <c r="AB69" s="22"/>
      <c r="AC69" s="22"/>
      <c r="AD69" s="22" t="str">
        <f t="shared" ref="AD69:AI69" si="71">AVERAGE(L69,R69,X69)</f>
        <v>#DIV/0!</v>
      </c>
      <c r="AE69" s="22" t="str">
        <f t="shared" si="71"/>
        <v>#DIV/0!</v>
      </c>
      <c r="AF69" s="22" t="str">
        <f t="shared" si="71"/>
        <v>#DIV/0!</v>
      </c>
      <c r="AG69" s="22" t="str">
        <f t="shared" si="71"/>
        <v>#DIV/0!</v>
      </c>
      <c r="AH69" s="22" t="str">
        <f t="shared" si="71"/>
        <v>#DIV/0!</v>
      </c>
      <c r="AI69" s="22" t="str">
        <f t="shared" si="71"/>
        <v>#DIV/0!</v>
      </c>
      <c r="AJ69" s="22"/>
      <c r="AK69" s="22"/>
      <c r="AL69" s="22"/>
      <c r="AM69" s="22"/>
    </row>
    <row r="70">
      <c r="A70" s="13" t="s">
        <v>20</v>
      </c>
      <c r="B70" s="26">
        <v>45639.0</v>
      </c>
      <c r="C70" s="13" t="s">
        <v>25</v>
      </c>
      <c r="D70" s="13">
        <v>9.1</v>
      </c>
      <c r="E70" s="13" t="s">
        <v>22</v>
      </c>
      <c r="F70" s="13">
        <v>4.0</v>
      </c>
      <c r="G70" s="13" t="s">
        <v>37</v>
      </c>
      <c r="H70" s="23">
        <v>12.2636</v>
      </c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 t="str">
        <f t="shared" ref="AD70:AI70" si="72">AVERAGE(L70,R70,X70)</f>
        <v>#DIV/0!</v>
      </c>
      <c r="AE70" s="22" t="str">
        <f t="shared" si="72"/>
        <v>#DIV/0!</v>
      </c>
      <c r="AF70" s="22" t="str">
        <f t="shared" si="72"/>
        <v>#DIV/0!</v>
      </c>
      <c r="AG70" s="22" t="str">
        <f t="shared" si="72"/>
        <v>#DIV/0!</v>
      </c>
      <c r="AH70" s="22" t="str">
        <f t="shared" si="72"/>
        <v>#DIV/0!</v>
      </c>
      <c r="AI70" s="22" t="str">
        <f t="shared" si="72"/>
        <v>#DIV/0!</v>
      </c>
      <c r="AJ70" s="22"/>
      <c r="AK70" s="22"/>
      <c r="AL70" s="22"/>
      <c r="AM70" s="22"/>
    </row>
    <row r="71">
      <c r="A71" s="13" t="s">
        <v>20</v>
      </c>
      <c r="B71" s="26">
        <v>45639.0</v>
      </c>
      <c r="C71" s="13" t="s">
        <v>25</v>
      </c>
      <c r="D71" s="13">
        <v>9.2</v>
      </c>
      <c r="E71" s="13" t="s">
        <v>22</v>
      </c>
      <c r="F71" s="13">
        <v>4.0</v>
      </c>
      <c r="G71" s="13" t="s">
        <v>37</v>
      </c>
      <c r="H71" s="23">
        <v>10.5409</v>
      </c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22"/>
      <c r="AB71" s="22"/>
      <c r="AC71" s="22"/>
      <c r="AD71" s="22" t="str">
        <f t="shared" ref="AD71:AI71" si="73">AVERAGE(L71,R71,X71)</f>
        <v>#DIV/0!</v>
      </c>
      <c r="AE71" s="22" t="str">
        <f t="shared" si="73"/>
        <v>#DIV/0!</v>
      </c>
      <c r="AF71" s="22" t="str">
        <f t="shared" si="73"/>
        <v>#DIV/0!</v>
      </c>
      <c r="AG71" s="22" t="str">
        <f t="shared" si="73"/>
        <v>#DIV/0!</v>
      </c>
      <c r="AH71" s="22" t="str">
        <f t="shared" si="73"/>
        <v>#DIV/0!</v>
      </c>
      <c r="AI71" s="22" t="str">
        <f t="shared" si="73"/>
        <v>#DIV/0!</v>
      </c>
      <c r="AJ71" s="22"/>
      <c r="AK71" s="22"/>
      <c r="AL71" s="22"/>
      <c r="AM71" s="22"/>
    </row>
    <row r="72">
      <c r="A72" s="13" t="s">
        <v>20</v>
      </c>
      <c r="B72" s="26">
        <v>45639.0</v>
      </c>
      <c r="C72" s="13" t="s">
        <v>25</v>
      </c>
      <c r="D72" s="13">
        <v>9.3</v>
      </c>
      <c r="E72" s="13" t="s">
        <v>22</v>
      </c>
      <c r="F72" s="13">
        <v>4.0</v>
      </c>
      <c r="G72" s="13" t="s">
        <v>37</v>
      </c>
      <c r="H72" s="23">
        <v>10.3669</v>
      </c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22"/>
      <c r="AC72" s="22"/>
      <c r="AD72" s="22" t="str">
        <f t="shared" ref="AD72:AI72" si="74">AVERAGE(L72,R72,X72)</f>
        <v>#DIV/0!</v>
      </c>
      <c r="AE72" s="22" t="str">
        <f t="shared" si="74"/>
        <v>#DIV/0!</v>
      </c>
      <c r="AF72" s="22" t="str">
        <f t="shared" si="74"/>
        <v>#DIV/0!</v>
      </c>
      <c r="AG72" s="22" t="str">
        <f t="shared" si="74"/>
        <v>#DIV/0!</v>
      </c>
      <c r="AH72" s="22" t="str">
        <f t="shared" si="74"/>
        <v>#DIV/0!</v>
      </c>
      <c r="AI72" s="22" t="str">
        <f t="shared" si="74"/>
        <v>#DIV/0!</v>
      </c>
      <c r="AJ72" s="22"/>
      <c r="AK72" s="22"/>
      <c r="AL72" s="22"/>
      <c r="AM72" s="22"/>
    </row>
    <row r="73">
      <c r="A73" s="13" t="s">
        <v>20</v>
      </c>
      <c r="B73" s="26">
        <v>45639.0</v>
      </c>
      <c r="C73" s="13" t="s">
        <v>25</v>
      </c>
      <c r="D73" s="13">
        <v>9.4</v>
      </c>
      <c r="E73" s="13" t="s">
        <v>22</v>
      </c>
      <c r="F73" s="13">
        <v>4.0</v>
      </c>
      <c r="G73" s="13" t="s">
        <v>37</v>
      </c>
      <c r="H73" s="23">
        <v>10.9574</v>
      </c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 t="str">
        <f t="shared" ref="AD73:AI73" si="75">AVERAGE(L73,R73,X73)</f>
        <v>#DIV/0!</v>
      </c>
      <c r="AE73" s="22" t="str">
        <f t="shared" si="75"/>
        <v>#DIV/0!</v>
      </c>
      <c r="AF73" s="22" t="str">
        <f t="shared" si="75"/>
        <v>#DIV/0!</v>
      </c>
      <c r="AG73" s="22" t="str">
        <f t="shared" si="75"/>
        <v>#DIV/0!</v>
      </c>
      <c r="AH73" s="22" t="str">
        <f t="shared" si="75"/>
        <v>#DIV/0!</v>
      </c>
      <c r="AI73" s="22" t="str">
        <f t="shared" si="75"/>
        <v>#DIV/0!</v>
      </c>
      <c r="AJ73" s="22"/>
      <c r="AK73" s="22"/>
      <c r="AL73" s="22"/>
      <c r="AM73" s="22"/>
    </row>
    <row r="74">
      <c r="A74" s="13" t="s">
        <v>20</v>
      </c>
      <c r="B74" s="26">
        <v>45684.0</v>
      </c>
      <c r="C74" s="13" t="s">
        <v>21</v>
      </c>
      <c r="D74" s="13">
        <v>10.1</v>
      </c>
      <c r="E74" s="13" t="s">
        <v>27</v>
      </c>
      <c r="F74" s="13">
        <v>3.0</v>
      </c>
      <c r="G74" s="13" t="s">
        <v>37</v>
      </c>
      <c r="H74" s="23">
        <v>18.0705</v>
      </c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 t="str">
        <f t="shared" ref="AD74:AI74" si="76">AVERAGE(L74,R74,X74)</f>
        <v>#DIV/0!</v>
      </c>
      <c r="AE74" s="22" t="str">
        <f t="shared" si="76"/>
        <v>#DIV/0!</v>
      </c>
      <c r="AF74" s="22" t="str">
        <f t="shared" si="76"/>
        <v>#DIV/0!</v>
      </c>
      <c r="AG74" s="22" t="str">
        <f t="shared" si="76"/>
        <v>#DIV/0!</v>
      </c>
      <c r="AH74" s="22" t="str">
        <f t="shared" si="76"/>
        <v>#DIV/0!</v>
      </c>
      <c r="AI74" s="22" t="str">
        <f t="shared" si="76"/>
        <v>#DIV/0!</v>
      </c>
      <c r="AJ74" s="22"/>
      <c r="AK74" s="22"/>
      <c r="AL74" s="22"/>
      <c r="AM74" s="22"/>
    </row>
    <row r="75">
      <c r="A75" s="13" t="s">
        <v>20</v>
      </c>
      <c r="B75" s="26">
        <v>45684.0</v>
      </c>
      <c r="C75" s="13" t="s">
        <v>21</v>
      </c>
      <c r="D75" s="13">
        <v>10.2</v>
      </c>
      <c r="E75" s="13" t="s">
        <v>27</v>
      </c>
      <c r="F75" s="13">
        <v>3.0</v>
      </c>
      <c r="G75" s="13" t="s">
        <v>37</v>
      </c>
      <c r="H75" s="23">
        <v>17.2551</v>
      </c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 t="str">
        <f t="shared" ref="AD75:AI75" si="77">AVERAGE(L75,R75,X75)</f>
        <v>#DIV/0!</v>
      </c>
      <c r="AE75" s="22" t="str">
        <f t="shared" si="77"/>
        <v>#DIV/0!</v>
      </c>
      <c r="AF75" s="22" t="str">
        <f t="shared" si="77"/>
        <v>#DIV/0!</v>
      </c>
      <c r="AG75" s="22" t="str">
        <f t="shared" si="77"/>
        <v>#DIV/0!</v>
      </c>
      <c r="AH75" s="22" t="str">
        <f t="shared" si="77"/>
        <v>#DIV/0!</v>
      </c>
      <c r="AI75" s="22" t="str">
        <f t="shared" si="77"/>
        <v>#DIV/0!</v>
      </c>
      <c r="AJ75" s="22"/>
      <c r="AK75" s="22"/>
      <c r="AL75" s="22"/>
      <c r="AM75" s="22"/>
    </row>
    <row r="76">
      <c r="A76" s="13" t="s">
        <v>20</v>
      </c>
      <c r="B76" s="26">
        <v>45684.0</v>
      </c>
      <c r="C76" s="13" t="s">
        <v>21</v>
      </c>
      <c r="D76" s="13">
        <v>10.3</v>
      </c>
      <c r="E76" s="13" t="s">
        <v>27</v>
      </c>
      <c r="F76" s="13">
        <v>3.0</v>
      </c>
      <c r="G76" s="13" t="s">
        <v>37</v>
      </c>
      <c r="H76" s="23">
        <v>16.7786</v>
      </c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 t="str">
        <f t="shared" ref="AD76:AI76" si="78">AVERAGE(L76,R76,X76)</f>
        <v>#DIV/0!</v>
      </c>
      <c r="AE76" s="22" t="str">
        <f t="shared" si="78"/>
        <v>#DIV/0!</v>
      </c>
      <c r="AF76" s="22" t="str">
        <f t="shared" si="78"/>
        <v>#DIV/0!</v>
      </c>
      <c r="AG76" s="22" t="str">
        <f t="shared" si="78"/>
        <v>#DIV/0!</v>
      </c>
      <c r="AH76" s="22" t="str">
        <f t="shared" si="78"/>
        <v>#DIV/0!</v>
      </c>
      <c r="AI76" s="22" t="str">
        <f t="shared" si="78"/>
        <v>#DIV/0!</v>
      </c>
      <c r="AJ76" s="22"/>
      <c r="AK76" s="22"/>
      <c r="AL76" s="22"/>
      <c r="AM76" s="22"/>
    </row>
    <row r="77">
      <c r="A77" s="13" t="s">
        <v>20</v>
      </c>
      <c r="B77" s="26">
        <v>45684.0</v>
      </c>
      <c r="C77" s="13" t="s">
        <v>21</v>
      </c>
      <c r="D77" s="13">
        <v>10.4</v>
      </c>
      <c r="E77" s="13" t="s">
        <v>27</v>
      </c>
      <c r="F77" s="13">
        <v>3.0</v>
      </c>
      <c r="G77" s="13" t="s">
        <v>37</v>
      </c>
      <c r="H77" s="23">
        <v>19.9316</v>
      </c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 t="str">
        <f t="shared" ref="AD77:AI77" si="79">AVERAGE(L77,R77,X77)</f>
        <v>#DIV/0!</v>
      </c>
      <c r="AE77" s="22" t="str">
        <f t="shared" si="79"/>
        <v>#DIV/0!</v>
      </c>
      <c r="AF77" s="22" t="str">
        <f t="shared" si="79"/>
        <v>#DIV/0!</v>
      </c>
      <c r="AG77" s="22" t="str">
        <f t="shared" si="79"/>
        <v>#DIV/0!</v>
      </c>
      <c r="AH77" s="22" t="str">
        <f t="shared" si="79"/>
        <v>#DIV/0!</v>
      </c>
      <c r="AI77" s="22" t="str">
        <f t="shared" si="79"/>
        <v>#DIV/0!</v>
      </c>
      <c r="AJ77" s="22"/>
      <c r="AK77" s="22"/>
      <c r="AL77" s="22"/>
      <c r="AM77" s="22"/>
    </row>
    <row r="78">
      <c r="A78" s="13" t="s">
        <v>20</v>
      </c>
      <c r="B78" s="26">
        <v>45684.0</v>
      </c>
      <c r="C78" s="13" t="s">
        <v>21</v>
      </c>
      <c r="D78" s="13">
        <v>11.1</v>
      </c>
      <c r="E78" s="13" t="s">
        <v>27</v>
      </c>
      <c r="F78" s="13">
        <v>3.0</v>
      </c>
      <c r="G78" s="13" t="s">
        <v>37</v>
      </c>
      <c r="H78" s="23">
        <v>18.2499</v>
      </c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 t="str">
        <f t="shared" ref="AD78:AI78" si="80">AVERAGE(L78,R78,X78)</f>
        <v>#DIV/0!</v>
      </c>
      <c r="AE78" s="22" t="str">
        <f t="shared" si="80"/>
        <v>#DIV/0!</v>
      </c>
      <c r="AF78" s="22" t="str">
        <f t="shared" si="80"/>
        <v>#DIV/0!</v>
      </c>
      <c r="AG78" s="22" t="str">
        <f t="shared" si="80"/>
        <v>#DIV/0!</v>
      </c>
      <c r="AH78" s="22" t="str">
        <f t="shared" si="80"/>
        <v>#DIV/0!</v>
      </c>
      <c r="AI78" s="22" t="str">
        <f t="shared" si="80"/>
        <v>#DIV/0!</v>
      </c>
      <c r="AJ78" s="22"/>
      <c r="AK78" s="22"/>
      <c r="AL78" s="22"/>
      <c r="AM78" s="22"/>
    </row>
    <row r="79">
      <c r="A79" s="13" t="s">
        <v>20</v>
      </c>
      <c r="B79" s="26">
        <v>45684.0</v>
      </c>
      <c r="C79" s="13" t="s">
        <v>21</v>
      </c>
      <c r="D79" s="13">
        <v>11.2</v>
      </c>
      <c r="E79" s="13" t="s">
        <v>27</v>
      </c>
      <c r="F79" s="13">
        <v>3.0</v>
      </c>
      <c r="G79" s="13" t="s">
        <v>37</v>
      </c>
      <c r="H79" s="23">
        <v>21.7189</v>
      </c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 t="str">
        <f t="shared" ref="AD79:AI79" si="81">AVERAGE(L79,R79,X79)</f>
        <v>#DIV/0!</v>
      </c>
      <c r="AE79" s="22" t="str">
        <f t="shared" si="81"/>
        <v>#DIV/0!</v>
      </c>
      <c r="AF79" s="22" t="str">
        <f t="shared" si="81"/>
        <v>#DIV/0!</v>
      </c>
      <c r="AG79" s="22" t="str">
        <f t="shared" si="81"/>
        <v>#DIV/0!</v>
      </c>
      <c r="AH79" s="22" t="str">
        <f t="shared" si="81"/>
        <v>#DIV/0!</v>
      </c>
      <c r="AI79" s="22" t="str">
        <f t="shared" si="81"/>
        <v>#DIV/0!</v>
      </c>
      <c r="AJ79" s="22"/>
      <c r="AK79" s="22"/>
      <c r="AL79" s="22"/>
      <c r="AM79" s="22"/>
    </row>
    <row r="80">
      <c r="A80" s="13" t="s">
        <v>20</v>
      </c>
      <c r="B80" s="26">
        <v>45684.0</v>
      </c>
      <c r="C80" s="13" t="s">
        <v>21</v>
      </c>
      <c r="D80" s="13">
        <v>11.3</v>
      </c>
      <c r="E80" s="13" t="s">
        <v>27</v>
      </c>
      <c r="F80" s="13">
        <v>3.0</v>
      </c>
      <c r="G80" s="13" t="s">
        <v>37</v>
      </c>
      <c r="H80" s="23">
        <v>20.1743</v>
      </c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 t="str">
        <f t="shared" ref="AD80:AI80" si="82">AVERAGE(L80,R80,X80)</f>
        <v>#DIV/0!</v>
      </c>
      <c r="AE80" s="22" t="str">
        <f t="shared" si="82"/>
        <v>#DIV/0!</v>
      </c>
      <c r="AF80" s="22" t="str">
        <f t="shared" si="82"/>
        <v>#DIV/0!</v>
      </c>
      <c r="AG80" s="22" t="str">
        <f t="shared" si="82"/>
        <v>#DIV/0!</v>
      </c>
      <c r="AH80" s="22" t="str">
        <f t="shared" si="82"/>
        <v>#DIV/0!</v>
      </c>
      <c r="AI80" s="22" t="str">
        <f t="shared" si="82"/>
        <v>#DIV/0!</v>
      </c>
      <c r="AJ80" s="22"/>
      <c r="AK80" s="22"/>
      <c r="AL80" s="22"/>
      <c r="AM80" s="22"/>
    </row>
    <row r="81">
      <c r="A81" s="13" t="s">
        <v>20</v>
      </c>
      <c r="B81" s="26">
        <v>45684.0</v>
      </c>
      <c r="C81" s="13" t="s">
        <v>21</v>
      </c>
      <c r="D81" s="13">
        <v>11.4</v>
      </c>
      <c r="E81" s="13" t="s">
        <v>27</v>
      </c>
      <c r="F81" s="13">
        <v>3.0</v>
      </c>
      <c r="G81" s="13" t="s">
        <v>37</v>
      </c>
      <c r="H81" s="23">
        <v>17.2881</v>
      </c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 t="str">
        <f t="shared" ref="AD81:AI81" si="83">AVERAGE(L81,R81,X81)</f>
        <v>#DIV/0!</v>
      </c>
      <c r="AE81" s="22" t="str">
        <f t="shared" si="83"/>
        <v>#DIV/0!</v>
      </c>
      <c r="AF81" s="22" t="str">
        <f t="shared" si="83"/>
        <v>#DIV/0!</v>
      </c>
      <c r="AG81" s="22" t="str">
        <f t="shared" si="83"/>
        <v>#DIV/0!</v>
      </c>
      <c r="AH81" s="22" t="str">
        <f t="shared" si="83"/>
        <v>#DIV/0!</v>
      </c>
      <c r="AI81" s="22" t="str">
        <f t="shared" si="83"/>
        <v>#DIV/0!</v>
      </c>
      <c r="AJ81" s="22"/>
      <c r="AK81" s="22"/>
      <c r="AL81" s="22"/>
      <c r="AM81" s="22"/>
    </row>
    <row r="82">
      <c r="A82" s="13" t="s">
        <v>20</v>
      </c>
      <c r="B82" s="26">
        <v>45684.0</v>
      </c>
      <c r="C82" s="13" t="s">
        <v>21</v>
      </c>
      <c r="D82" s="13">
        <v>12.1</v>
      </c>
      <c r="E82" s="13" t="s">
        <v>27</v>
      </c>
      <c r="F82" s="13">
        <v>3.0</v>
      </c>
      <c r="G82" s="13" t="s">
        <v>37</v>
      </c>
      <c r="H82" s="23">
        <v>17.3273</v>
      </c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 t="str">
        <f t="shared" ref="AD82:AI82" si="84">AVERAGE(L82,R82,X82)</f>
        <v>#DIV/0!</v>
      </c>
      <c r="AE82" s="22" t="str">
        <f t="shared" si="84"/>
        <v>#DIV/0!</v>
      </c>
      <c r="AF82" s="22" t="str">
        <f t="shared" si="84"/>
        <v>#DIV/0!</v>
      </c>
      <c r="AG82" s="22" t="str">
        <f t="shared" si="84"/>
        <v>#DIV/0!</v>
      </c>
      <c r="AH82" s="22" t="str">
        <f t="shared" si="84"/>
        <v>#DIV/0!</v>
      </c>
      <c r="AI82" s="22" t="str">
        <f t="shared" si="84"/>
        <v>#DIV/0!</v>
      </c>
      <c r="AJ82" s="22"/>
      <c r="AK82" s="22"/>
      <c r="AL82" s="22"/>
      <c r="AM82" s="22"/>
    </row>
    <row r="83">
      <c r="A83" s="13" t="s">
        <v>20</v>
      </c>
      <c r="B83" s="26">
        <v>45684.0</v>
      </c>
      <c r="C83" s="13" t="s">
        <v>21</v>
      </c>
      <c r="D83" s="13">
        <v>12.2</v>
      </c>
      <c r="E83" s="13" t="s">
        <v>27</v>
      </c>
      <c r="F83" s="13">
        <v>3.0</v>
      </c>
      <c r="G83" s="13" t="s">
        <v>37</v>
      </c>
      <c r="H83" s="23">
        <v>18.4778</v>
      </c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  <c r="AB83" s="22"/>
      <c r="AC83" s="22"/>
      <c r="AD83" s="22" t="str">
        <f t="shared" ref="AD83:AI83" si="85">AVERAGE(L83,R83,X83)</f>
        <v>#DIV/0!</v>
      </c>
      <c r="AE83" s="22" t="str">
        <f t="shared" si="85"/>
        <v>#DIV/0!</v>
      </c>
      <c r="AF83" s="22" t="str">
        <f t="shared" si="85"/>
        <v>#DIV/0!</v>
      </c>
      <c r="AG83" s="22" t="str">
        <f t="shared" si="85"/>
        <v>#DIV/0!</v>
      </c>
      <c r="AH83" s="22" t="str">
        <f t="shared" si="85"/>
        <v>#DIV/0!</v>
      </c>
      <c r="AI83" s="22" t="str">
        <f t="shared" si="85"/>
        <v>#DIV/0!</v>
      </c>
      <c r="AJ83" s="22"/>
      <c r="AK83" s="22"/>
      <c r="AL83" s="22"/>
      <c r="AM83" s="22"/>
    </row>
    <row r="84">
      <c r="A84" s="13" t="s">
        <v>20</v>
      </c>
      <c r="B84" s="26">
        <v>45684.0</v>
      </c>
      <c r="C84" s="13" t="s">
        <v>21</v>
      </c>
      <c r="D84" s="13">
        <v>12.3</v>
      </c>
      <c r="E84" s="13" t="s">
        <v>27</v>
      </c>
      <c r="F84" s="13">
        <v>3.0</v>
      </c>
      <c r="G84" s="13" t="s">
        <v>37</v>
      </c>
      <c r="H84" s="23">
        <v>19.0016</v>
      </c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 t="str">
        <f t="shared" ref="AD84:AI84" si="86">AVERAGE(L84,R84,X84)</f>
        <v>#DIV/0!</v>
      </c>
      <c r="AE84" s="22" t="str">
        <f t="shared" si="86"/>
        <v>#DIV/0!</v>
      </c>
      <c r="AF84" s="22" t="str">
        <f t="shared" si="86"/>
        <v>#DIV/0!</v>
      </c>
      <c r="AG84" s="22" t="str">
        <f t="shared" si="86"/>
        <v>#DIV/0!</v>
      </c>
      <c r="AH84" s="22" t="str">
        <f t="shared" si="86"/>
        <v>#DIV/0!</v>
      </c>
      <c r="AI84" s="22" t="str">
        <f t="shared" si="86"/>
        <v>#DIV/0!</v>
      </c>
      <c r="AJ84" s="22"/>
      <c r="AK84" s="22"/>
      <c r="AL84" s="22"/>
      <c r="AM84" s="22"/>
    </row>
    <row r="85">
      <c r="A85" s="13" t="s">
        <v>20</v>
      </c>
      <c r="B85" s="26">
        <v>45684.0</v>
      </c>
      <c r="C85" s="13" t="s">
        <v>21</v>
      </c>
      <c r="D85" s="13">
        <v>12.4</v>
      </c>
      <c r="E85" s="13" t="s">
        <v>27</v>
      </c>
      <c r="F85" s="13">
        <v>3.0</v>
      </c>
      <c r="G85" s="13" t="s">
        <v>37</v>
      </c>
      <c r="H85" s="23">
        <v>16.3644</v>
      </c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 t="str">
        <f t="shared" ref="AD85:AI85" si="87">AVERAGE(L85,R85,X85)</f>
        <v>#DIV/0!</v>
      </c>
      <c r="AE85" s="22" t="str">
        <f t="shared" si="87"/>
        <v>#DIV/0!</v>
      </c>
      <c r="AF85" s="22" t="str">
        <f t="shared" si="87"/>
        <v>#DIV/0!</v>
      </c>
      <c r="AG85" s="22" t="str">
        <f t="shared" si="87"/>
        <v>#DIV/0!</v>
      </c>
      <c r="AH85" s="22" t="str">
        <f t="shared" si="87"/>
        <v>#DIV/0!</v>
      </c>
      <c r="AI85" s="22" t="str">
        <f t="shared" si="87"/>
        <v>#DIV/0!</v>
      </c>
      <c r="AJ85" s="22"/>
      <c r="AK85" s="22"/>
      <c r="AL85" s="22"/>
      <c r="AM85" s="22"/>
    </row>
    <row r="86">
      <c r="A86" s="13" t="s">
        <v>20</v>
      </c>
      <c r="B86" s="26">
        <v>45684.0</v>
      </c>
      <c r="C86" s="13" t="s">
        <v>24</v>
      </c>
      <c r="D86" s="13">
        <v>10.1</v>
      </c>
      <c r="E86" s="13" t="s">
        <v>27</v>
      </c>
      <c r="F86" s="13">
        <v>3.0</v>
      </c>
      <c r="G86" s="13" t="s">
        <v>37</v>
      </c>
      <c r="H86" s="23">
        <v>19.8436</v>
      </c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  <c r="AB86" s="22"/>
      <c r="AC86" s="22"/>
      <c r="AD86" s="22" t="str">
        <f t="shared" ref="AD86:AI86" si="88">AVERAGE(L86,R86,X86)</f>
        <v>#DIV/0!</v>
      </c>
      <c r="AE86" s="22" t="str">
        <f t="shared" si="88"/>
        <v>#DIV/0!</v>
      </c>
      <c r="AF86" s="22" t="str">
        <f t="shared" si="88"/>
        <v>#DIV/0!</v>
      </c>
      <c r="AG86" s="22" t="str">
        <f t="shared" si="88"/>
        <v>#DIV/0!</v>
      </c>
      <c r="AH86" s="22" t="str">
        <f t="shared" si="88"/>
        <v>#DIV/0!</v>
      </c>
      <c r="AI86" s="22" t="str">
        <f t="shared" si="88"/>
        <v>#DIV/0!</v>
      </c>
      <c r="AJ86" s="22"/>
      <c r="AK86" s="22"/>
      <c r="AL86" s="22"/>
      <c r="AM86" s="22"/>
    </row>
    <row r="87">
      <c r="A87" s="13" t="s">
        <v>20</v>
      </c>
      <c r="B87" s="26">
        <v>45684.0</v>
      </c>
      <c r="C87" s="13" t="s">
        <v>24</v>
      </c>
      <c r="D87" s="13">
        <v>10.2</v>
      </c>
      <c r="E87" s="13" t="s">
        <v>27</v>
      </c>
      <c r="F87" s="13">
        <v>3.0</v>
      </c>
      <c r="G87" s="13" t="s">
        <v>37</v>
      </c>
      <c r="H87" s="23">
        <v>17.105</v>
      </c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 t="str">
        <f t="shared" ref="AD87:AI87" si="89">AVERAGE(L87,R87,X87)</f>
        <v>#DIV/0!</v>
      </c>
      <c r="AE87" s="22" t="str">
        <f t="shared" si="89"/>
        <v>#DIV/0!</v>
      </c>
      <c r="AF87" s="22" t="str">
        <f t="shared" si="89"/>
        <v>#DIV/0!</v>
      </c>
      <c r="AG87" s="22" t="str">
        <f t="shared" si="89"/>
        <v>#DIV/0!</v>
      </c>
      <c r="AH87" s="22" t="str">
        <f t="shared" si="89"/>
        <v>#DIV/0!</v>
      </c>
      <c r="AI87" s="22" t="str">
        <f t="shared" si="89"/>
        <v>#DIV/0!</v>
      </c>
      <c r="AJ87" s="22"/>
      <c r="AK87" s="22"/>
      <c r="AL87" s="22"/>
      <c r="AM87" s="22"/>
    </row>
    <row r="88">
      <c r="A88" s="13" t="s">
        <v>20</v>
      </c>
      <c r="B88" s="26">
        <v>45684.0</v>
      </c>
      <c r="C88" s="13" t="s">
        <v>24</v>
      </c>
      <c r="D88" s="13">
        <v>10.3</v>
      </c>
      <c r="E88" s="13" t="s">
        <v>27</v>
      </c>
      <c r="F88" s="13">
        <v>3.0</v>
      </c>
      <c r="G88" s="13" t="s">
        <v>37</v>
      </c>
      <c r="H88" s="23">
        <v>16.526</v>
      </c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22"/>
      <c r="Y88" s="22"/>
      <c r="Z88" s="22"/>
      <c r="AA88" s="22"/>
      <c r="AB88" s="22"/>
      <c r="AC88" s="22"/>
      <c r="AD88" s="22" t="str">
        <f t="shared" ref="AD88:AI88" si="90">AVERAGE(L88,R88,X88)</f>
        <v>#DIV/0!</v>
      </c>
      <c r="AE88" s="22" t="str">
        <f t="shared" si="90"/>
        <v>#DIV/0!</v>
      </c>
      <c r="AF88" s="22" t="str">
        <f t="shared" si="90"/>
        <v>#DIV/0!</v>
      </c>
      <c r="AG88" s="22" t="str">
        <f t="shared" si="90"/>
        <v>#DIV/0!</v>
      </c>
      <c r="AH88" s="22" t="str">
        <f t="shared" si="90"/>
        <v>#DIV/0!</v>
      </c>
      <c r="AI88" s="22" t="str">
        <f t="shared" si="90"/>
        <v>#DIV/0!</v>
      </c>
      <c r="AJ88" s="22"/>
      <c r="AK88" s="22"/>
      <c r="AL88" s="22"/>
      <c r="AM88" s="22"/>
    </row>
    <row r="89">
      <c r="A89" s="13" t="s">
        <v>20</v>
      </c>
      <c r="B89" s="26">
        <v>45684.0</v>
      </c>
      <c r="C89" s="13" t="s">
        <v>24</v>
      </c>
      <c r="D89" s="13">
        <v>10.4</v>
      </c>
      <c r="E89" s="13" t="s">
        <v>27</v>
      </c>
      <c r="F89" s="13">
        <v>3.0</v>
      </c>
      <c r="G89" s="13" t="s">
        <v>37</v>
      </c>
      <c r="H89" s="23">
        <v>19.8289</v>
      </c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22"/>
      <c r="Y89" s="22"/>
      <c r="Z89" s="22"/>
      <c r="AA89" s="22"/>
      <c r="AB89" s="22"/>
      <c r="AC89" s="22"/>
      <c r="AD89" s="22" t="str">
        <f t="shared" ref="AD89:AI89" si="91">AVERAGE(L89,R89,X89)</f>
        <v>#DIV/0!</v>
      </c>
      <c r="AE89" s="22" t="str">
        <f t="shared" si="91"/>
        <v>#DIV/0!</v>
      </c>
      <c r="AF89" s="22" t="str">
        <f t="shared" si="91"/>
        <v>#DIV/0!</v>
      </c>
      <c r="AG89" s="22" t="str">
        <f t="shared" si="91"/>
        <v>#DIV/0!</v>
      </c>
      <c r="AH89" s="22" t="str">
        <f t="shared" si="91"/>
        <v>#DIV/0!</v>
      </c>
      <c r="AI89" s="22" t="str">
        <f t="shared" si="91"/>
        <v>#DIV/0!</v>
      </c>
      <c r="AJ89" s="22"/>
      <c r="AK89" s="22"/>
      <c r="AL89" s="22"/>
      <c r="AM89" s="22"/>
    </row>
    <row r="90">
      <c r="A90" s="13" t="s">
        <v>20</v>
      </c>
      <c r="B90" s="26">
        <v>45684.0</v>
      </c>
      <c r="C90" s="13" t="s">
        <v>24</v>
      </c>
      <c r="D90" s="13">
        <v>11.1</v>
      </c>
      <c r="E90" s="13" t="s">
        <v>27</v>
      </c>
      <c r="F90" s="13">
        <v>3.0</v>
      </c>
      <c r="G90" s="13" t="s">
        <v>37</v>
      </c>
      <c r="H90" s="23">
        <v>27.8706</v>
      </c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22"/>
      <c r="Y90" s="22"/>
      <c r="Z90" s="22"/>
      <c r="AA90" s="22"/>
      <c r="AB90" s="22"/>
      <c r="AC90" s="22"/>
      <c r="AD90" s="22" t="str">
        <f t="shared" ref="AD90:AI90" si="92">AVERAGE(L90,R90,X90)</f>
        <v>#DIV/0!</v>
      </c>
      <c r="AE90" s="22" t="str">
        <f t="shared" si="92"/>
        <v>#DIV/0!</v>
      </c>
      <c r="AF90" s="22" t="str">
        <f t="shared" si="92"/>
        <v>#DIV/0!</v>
      </c>
      <c r="AG90" s="22" t="str">
        <f t="shared" si="92"/>
        <v>#DIV/0!</v>
      </c>
      <c r="AH90" s="22" t="str">
        <f t="shared" si="92"/>
        <v>#DIV/0!</v>
      </c>
      <c r="AI90" s="22" t="str">
        <f t="shared" si="92"/>
        <v>#DIV/0!</v>
      </c>
      <c r="AJ90" s="22"/>
      <c r="AK90" s="22"/>
      <c r="AL90" s="22"/>
      <c r="AM90" s="22"/>
    </row>
    <row r="91">
      <c r="A91" s="13" t="s">
        <v>20</v>
      </c>
      <c r="B91" s="26">
        <v>45684.0</v>
      </c>
      <c r="C91" s="13" t="s">
        <v>24</v>
      </c>
      <c r="D91" s="13">
        <v>11.2</v>
      </c>
      <c r="E91" s="13" t="s">
        <v>27</v>
      </c>
      <c r="F91" s="13">
        <v>3.0</v>
      </c>
      <c r="G91" s="13" t="s">
        <v>37</v>
      </c>
      <c r="H91" s="23">
        <v>19.239</v>
      </c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 t="str">
        <f t="shared" ref="AD91:AI91" si="93">AVERAGE(L91,R91,X91)</f>
        <v>#DIV/0!</v>
      </c>
      <c r="AE91" s="22" t="str">
        <f t="shared" si="93"/>
        <v>#DIV/0!</v>
      </c>
      <c r="AF91" s="22" t="str">
        <f t="shared" si="93"/>
        <v>#DIV/0!</v>
      </c>
      <c r="AG91" s="22" t="str">
        <f t="shared" si="93"/>
        <v>#DIV/0!</v>
      </c>
      <c r="AH91" s="22" t="str">
        <f t="shared" si="93"/>
        <v>#DIV/0!</v>
      </c>
      <c r="AI91" s="22" t="str">
        <f t="shared" si="93"/>
        <v>#DIV/0!</v>
      </c>
      <c r="AJ91" s="22"/>
      <c r="AK91" s="22"/>
      <c r="AL91" s="22"/>
      <c r="AM91" s="22"/>
    </row>
    <row r="92">
      <c r="A92" s="13" t="s">
        <v>20</v>
      </c>
      <c r="B92" s="26">
        <v>45684.0</v>
      </c>
      <c r="C92" s="13" t="s">
        <v>24</v>
      </c>
      <c r="D92" s="13">
        <v>11.3</v>
      </c>
      <c r="E92" s="13" t="s">
        <v>27</v>
      </c>
      <c r="F92" s="13">
        <v>3.0</v>
      </c>
      <c r="G92" s="13" t="s">
        <v>37</v>
      </c>
      <c r="H92" s="23">
        <v>15.092</v>
      </c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22"/>
      <c r="Y92" s="22"/>
      <c r="Z92" s="22"/>
      <c r="AA92" s="22"/>
      <c r="AB92" s="22"/>
      <c r="AC92" s="22"/>
      <c r="AD92" s="22" t="str">
        <f t="shared" ref="AD92:AI92" si="94">AVERAGE(L92,R92,X92)</f>
        <v>#DIV/0!</v>
      </c>
      <c r="AE92" s="22" t="str">
        <f t="shared" si="94"/>
        <v>#DIV/0!</v>
      </c>
      <c r="AF92" s="22" t="str">
        <f t="shared" si="94"/>
        <v>#DIV/0!</v>
      </c>
      <c r="AG92" s="22" t="str">
        <f t="shared" si="94"/>
        <v>#DIV/0!</v>
      </c>
      <c r="AH92" s="22" t="str">
        <f t="shared" si="94"/>
        <v>#DIV/0!</v>
      </c>
      <c r="AI92" s="22" t="str">
        <f t="shared" si="94"/>
        <v>#DIV/0!</v>
      </c>
      <c r="AJ92" s="22"/>
      <c r="AK92" s="22"/>
      <c r="AL92" s="22"/>
      <c r="AM92" s="22"/>
    </row>
    <row r="93">
      <c r="A93" s="13" t="s">
        <v>20</v>
      </c>
      <c r="B93" s="26">
        <v>45684.0</v>
      </c>
      <c r="C93" s="13" t="s">
        <v>24</v>
      </c>
      <c r="D93" s="13">
        <v>11.4</v>
      </c>
      <c r="E93" s="13" t="s">
        <v>27</v>
      </c>
      <c r="F93" s="13">
        <v>3.0</v>
      </c>
      <c r="G93" s="13" t="s">
        <v>37</v>
      </c>
      <c r="H93" s="23">
        <v>13.4624</v>
      </c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22"/>
      <c r="Y93" s="22"/>
      <c r="Z93" s="22"/>
      <c r="AA93" s="22"/>
      <c r="AB93" s="22"/>
      <c r="AC93" s="22"/>
      <c r="AD93" s="22" t="str">
        <f t="shared" ref="AD93:AI93" si="95">AVERAGE(L93,R93,X93)</f>
        <v>#DIV/0!</v>
      </c>
      <c r="AE93" s="22" t="str">
        <f t="shared" si="95"/>
        <v>#DIV/0!</v>
      </c>
      <c r="AF93" s="22" t="str">
        <f t="shared" si="95"/>
        <v>#DIV/0!</v>
      </c>
      <c r="AG93" s="22" t="str">
        <f t="shared" si="95"/>
        <v>#DIV/0!</v>
      </c>
      <c r="AH93" s="22" t="str">
        <f t="shared" si="95"/>
        <v>#DIV/0!</v>
      </c>
      <c r="AI93" s="22" t="str">
        <f t="shared" si="95"/>
        <v>#DIV/0!</v>
      </c>
      <c r="AJ93" s="22"/>
      <c r="AK93" s="22"/>
      <c r="AL93" s="22"/>
      <c r="AM93" s="22"/>
    </row>
    <row r="94">
      <c r="A94" s="13" t="s">
        <v>20</v>
      </c>
      <c r="B94" s="26">
        <v>45684.0</v>
      </c>
      <c r="C94" s="13" t="s">
        <v>24</v>
      </c>
      <c r="D94" s="13">
        <v>12.1</v>
      </c>
      <c r="E94" s="13" t="s">
        <v>27</v>
      </c>
      <c r="F94" s="13">
        <v>3.0</v>
      </c>
      <c r="G94" s="13" t="s">
        <v>37</v>
      </c>
      <c r="H94" s="23">
        <v>14.1923</v>
      </c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22"/>
      <c r="Y94" s="22"/>
      <c r="Z94" s="22"/>
      <c r="AA94" s="22"/>
      <c r="AB94" s="22"/>
      <c r="AC94" s="22"/>
      <c r="AD94" s="22" t="str">
        <f t="shared" ref="AD94:AI94" si="96">AVERAGE(L94,R94,X94)</f>
        <v>#DIV/0!</v>
      </c>
      <c r="AE94" s="22" t="str">
        <f t="shared" si="96"/>
        <v>#DIV/0!</v>
      </c>
      <c r="AF94" s="22" t="str">
        <f t="shared" si="96"/>
        <v>#DIV/0!</v>
      </c>
      <c r="AG94" s="22" t="str">
        <f t="shared" si="96"/>
        <v>#DIV/0!</v>
      </c>
      <c r="AH94" s="22" t="str">
        <f t="shared" si="96"/>
        <v>#DIV/0!</v>
      </c>
      <c r="AI94" s="22" t="str">
        <f t="shared" si="96"/>
        <v>#DIV/0!</v>
      </c>
      <c r="AJ94" s="22"/>
      <c r="AK94" s="22"/>
      <c r="AL94" s="22"/>
      <c r="AM94" s="22"/>
    </row>
    <row r="95">
      <c r="A95" s="13" t="s">
        <v>20</v>
      </c>
      <c r="B95" s="26">
        <v>45684.0</v>
      </c>
      <c r="C95" s="13" t="s">
        <v>24</v>
      </c>
      <c r="D95" s="13">
        <v>12.2</v>
      </c>
      <c r="E95" s="13" t="s">
        <v>27</v>
      </c>
      <c r="F95" s="13">
        <v>3.0</v>
      </c>
      <c r="G95" s="13" t="s">
        <v>37</v>
      </c>
      <c r="H95" s="23">
        <v>16.2621</v>
      </c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22"/>
      <c r="Y95" s="22"/>
      <c r="Z95" s="22"/>
      <c r="AA95" s="22"/>
      <c r="AB95" s="22"/>
      <c r="AC95" s="22"/>
      <c r="AD95" s="22" t="str">
        <f t="shared" ref="AD95:AI95" si="97">AVERAGE(L95,R95,X95)</f>
        <v>#DIV/0!</v>
      </c>
      <c r="AE95" s="22" t="str">
        <f t="shared" si="97"/>
        <v>#DIV/0!</v>
      </c>
      <c r="AF95" s="22" t="str">
        <f t="shared" si="97"/>
        <v>#DIV/0!</v>
      </c>
      <c r="AG95" s="22" t="str">
        <f t="shared" si="97"/>
        <v>#DIV/0!</v>
      </c>
      <c r="AH95" s="22" t="str">
        <f t="shared" si="97"/>
        <v>#DIV/0!</v>
      </c>
      <c r="AI95" s="22" t="str">
        <f t="shared" si="97"/>
        <v>#DIV/0!</v>
      </c>
      <c r="AJ95" s="22"/>
      <c r="AK95" s="22"/>
      <c r="AL95" s="22"/>
      <c r="AM95" s="22"/>
    </row>
    <row r="96">
      <c r="A96" s="13" t="s">
        <v>20</v>
      </c>
      <c r="B96" s="26">
        <v>45684.0</v>
      </c>
      <c r="C96" s="13" t="s">
        <v>24</v>
      </c>
      <c r="D96" s="13">
        <v>12.3</v>
      </c>
      <c r="E96" s="13" t="s">
        <v>27</v>
      </c>
      <c r="F96" s="13">
        <v>3.0</v>
      </c>
      <c r="G96" s="13" t="s">
        <v>37</v>
      </c>
      <c r="H96" s="23">
        <v>16.672</v>
      </c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22"/>
      <c r="Y96" s="22"/>
      <c r="Z96" s="22"/>
      <c r="AA96" s="22"/>
      <c r="AB96" s="22"/>
      <c r="AC96" s="22"/>
      <c r="AD96" s="22" t="str">
        <f t="shared" ref="AD96:AI96" si="98">AVERAGE(L96,R96,X96)</f>
        <v>#DIV/0!</v>
      </c>
      <c r="AE96" s="22" t="str">
        <f t="shared" si="98"/>
        <v>#DIV/0!</v>
      </c>
      <c r="AF96" s="22" t="str">
        <f t="shared" si="98"/>
        <v>#DIV/0!</v>
      </c>
      <c r="AG96" s="22" t="str">
        <f t="shared" si="98"/>
        <v>#DIV/0!</v>
      </c>
      <c r="AH96" s="22" t="str">
        <f t="shared" si="98"/>
        <v>#DIV/0!</v>
      </c>
      <c r="AI96" s="22" t="str">
        <f t="shared" si="98"/>
        <v>#DIV/0!</v>
      </c>
      <c r="AJ96" s="22"/>
      <c r="AK96" s="22"/>
      <c r="AL96" s="22"/>
      <c r="AM96" s="22"/>
    </row>
    <row r="97">
      <c r="A97" s="13" t="s">
        <v>20</v>
      </c>
      <c r="B97" s="26">
        <v>45684.0</v>
      </c>
      <c r="C97" s="13" t="s">
        <v>24</v>
      </c>
      <c r="D97" s="13">
        <v>12.4</v>
      </c>
      <c r="E97" s="13" t="s">
        <v>27</v>
      </c>
      <c r="F97" s="13">
        <v>3.0</v>
      </c>
      <c r="G97" s="13" t="s">
        <v>37</v>
      </c>
      <c r="H97" s="23">
        <v>18.3041</v>
      </c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22"/>
      <c r="Y97" s="22"/>
      <c r="Z97" s="22"/>
      <c r="AA97" s="22"/>
      <c r="AB97" s="22"/>
      <c r="AC97" s="22"/>
      <c r="AD97" s="22" t="str">
        <f t="shared" ref="AD97:AI97" si="99">AVERAGE(L97,R97,X97)</f>
        <v>#DIV/0!</v>
      </c>
      <c r="AE97" s="22" t="str">
        <f t="shared" si="99"/>
        <v>#DIV/0!</v>
      </c>
      <c r="AF97" s="22" t="str">
        <f t="shared" si="99"/>
        <v>#DIV/0!</v>
      </c>
      <c r="AG97" s="22" t="str">
        <f t="shared" si="99"/>
        <v>#DIV/0!</v>
      </c>
      <c r="AH97" s="22" t="str">
        <f t="shared" si="99"/>
        <v>#DIV/0!</v>
      </c>
      <c r="AI97" s="22" t="str">
        <f t="shared" si="99"/>
        <v>#DIV/0!</v>
      </c>
      <c r="AJ97" s="22"/>
      <c r="AK97" s="22"/>
      <c r="AL97" s="22"/>
      <c r="AM97" s="22"/>
    </row>
    <row r="98">
      <c r="A98" s="13" t="s">
        <v>20</v>
      </c>
      <c r="B98" s="26">
        <v>45684.0</v>
      </c>
      <c r="C98" s="13" t="s">
        <v>25</v>
      </c>
      <c r="D98" s="13">
        <v>10.1</v>
      </c>
      <c r="E98" s="13" t="s">
        <v>27</v>
      </c>
      <c r="F98" s="13">
        <v>3.0</v>
      </c>
      <c r="G98" s="13" t="s">
        <v>37</v>
      </c>
      <c r="H98" s="23">
        <v>10.7488</v>
      </c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 t="str">
        <f t="shared" ref="AD98:AI98" si="100">AVERAGE(L98,R98,X98)</f>
        <v>#DIV/0!</v>
      </c>
      <c r="AE98" s="22" t="str">
        <f t="shared" si="100"/>
        <v>#DIV/0!</v>
      </c>
      <c r="AF98" s="22" t="str">
        <f t="shared" si="100"/>
        <v>#DIV/0!</v>
      </c>
      <c r="AG98" s="22" t="str">
        <f t="shared" si="100"/>
        <v>#DIV/0!</v>
      </c>
      <c r="AH98" s="22" t="str">
        <f t="shared" si="100"/>
        <v>#DIV/0!</v>
      </c>
      <c r="AI98" s="22" t="str">
        <f t="shared" si="100"/>
        <v>#DIV/0!</v>
      </c>
      <c r="AJ98" s="22"/>
      <c r="AK98" s="22"/>
      <c r="AL98" s="22"/>
      <c r="AM98" s="22"/>
    </row>
    <row r="99">
      <c r="A99" s="13" t="s">
        <v>20</v>
      </c>
      <c r="B99" s="26">
        <v>45684.0</v>
      </c>
      <c r="C99" s="13" t="s">
        <v>25</v>
      </c>
      <c r="D99" s="13">
        <v>10.2</v>
      </c>
      <c r="E99" s="13" t="s">
        <v>27</v>
      </c>
      <c r="F99" s="13">
        <v>3.0</v>
      </c>
      <c r="G99" s="13" t="s">
        <v>37</v>
      </c>
      <c r="H99" s="23">
        <v>11.8225</v>
      </c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22"/>
      <c r="Y99" s="22"/>
      <c r="Z99" s="22"/>
      <c r="AA99" s="22"/>
      <c r="AB99" s="22"/>
      <c r="AC99" s="22"/>
      <c r="AD99" s="22" t="str">
        <f t="shared" ref="AD99:AI99" si="101">AVERAGE(L99,R99,X99)</f>
        <v>#DIV/0!</v>
      </c>
      <c r="AE99" s="22" t="str">
        <f t="shared" si="101"/>
        <v>#DIV/0!</v>
      </c>
      <c r="AF99" s="22" t="str">
        <f t="shared" si="101"/>
        <v>#DIV/0!</v>
      </c>
      <c r="AG99" s="22" t="str">
        <f t="shared" si="101"/>
        <v>#DIV/0!</v>
      </c>
      <c r="AH99" s="22" t="str">
        <f t="shared" si="101"/>
        <v>#DIV/0!</v>
      </c>
      <c r="AI99" s="22" t="str">
        <f t="shared" si="101"/>
        <v>#DIV/0!</v>
      </c>
      <c r="AJ99" s="22"/>
      <c r="AK99" s="22"/>
      <c r="AL99" s="22"/>
      <c r="AM99" s="22"/>
    </row>
    <row r="100">
      <c r="A100" s="13" t="s">
        <v>20</v>
      </c>
      <c r="B100" s="26">
        <v>45684.0</v>
      </c>
      <c r="C100" s="13" t="s">
        <v>25</v>
      </c>
      <c r="D100" s="13">
        <v>10.3</v>
      </c>
      <c r="E100" s="13" t="s">
        <v>27</v>
      </c>
      <c r="F100" s="13">
        <v>3.0</v>
      </c>
      <c r="G100" s="13" t="s">
        <v>37</v>
      </c>
      <c r="H100" s="23">
        <v>10.8205</v>
      </c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22"/>
      <c r="Y100" s="22"/>
      <c r="Z100" s="22"/>
      <c r="AA100" s="22"/>
      <c r="AB100" s="22"/>
      <c r="AC100" s="22"/>
      <c r="AD100" s="22" t="str">
        <f t="shared" ref="AD100:AI100" si="102">AVERAGE(L100,R100,X100)</f>
        <v>#DIV/0!</v>
      </c>
      <c r="AE100" s="22" t="str">
        <f t="shared" si="102"/>
        <v>#DIV/0!</v>
      </c>
      <c r="AF100" s="22" t="str">
        <f t="shared" si="102"/>
        <v>#DIV/0!</v>
      </c>
      <c r="AG100" s="22" t="str">
        <f t="shared" si="102"/>
        <v>#DIV/0!</v>
      </c>
      <c r="AH100" s="22" t="str">
        <f t="shared" si="102"/>
        <v>#DIV/0!</v>
      </c>
      <c r="AI100" s="22" t="str">
        <f t="shared" si="102"/>
        <v>#DIV/0!</v>
      </c>
      <c r="AJ100" s="22"/>
      <c r="AK100" s="22"/>
      <c r="AL100" s="22"/>
      <c r="AM100" s="22"/>
    </row>
    <row r="101">
      <c r="A101" s="13" t="s">
        <v>20</v>
      </c>
      <c r="B101" s="26">
        <v>45684.0</v>
      </c>
      <c r="C101" s="13" t="s">
        <v>25</v>
      </c>
      <c r="D101" s="13">
        <v>10.4</v>
      </c>
      <c r="E101" s="13" t="s">
        <v>27</v>
      </c>
      <c r="F101" s="13">
        <v>3.0</v>
      </c>
      <c r="G101" s="13" t="s">
        <v>37</v>
      </c>
      <c r="H101" s="23">
        <v>10.575</v>
      </c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22"/>
      <c r="Y101" s="22"/>
      <c r="Z101" s="22"/>
      <c r="AA101" s="22"/>
      <c r="AB101" s="22"/>
      <c r="AC101" s="22"/>
      <c r="AD101" s="22" t="str">
        <f t="shared" ref="AD101:AI101" si="103">AVERAGE(L101,R101,X101)</f>
        <v>#DIV/0!</v>
      </c>
      <c r="AE101" s="22" t="str">
        <f t="shared" si="103"/>
        <v>#DIV/0!</v>
      </c>
      <c r="AF101" s="22" t="str">
        <f t="shared" si="103"/>
        <v>#DIV/0!</v>
      </c>
      <c r="AG101" s="22" t="str">
        <f t="shared" si="103"/>
        <v>#DIV/0!</v>
      </c>
      <c r="AH101" s="22" t="str">
        <f t="shared" si="103"/>
        <v>#DIV/0!</v>
      </c>
      <c r="AI101" s="22" t="str">
        <f t="shared" si="103"/>
        <v>#DIV/0!</v>
      </c>
      <c r="AJ101" s="22"/>
      <c r="AK101" s="22"/>
      <c r="AL101" s="22"/>
      <c r="AM101" s="22"/>
    </row>
    <row r="102">
      <c r="A102" s="13" t="s">
        <v>20</v>
      </c>
      <c r="B102" s="26">
        <v>45684.0</v>
      </c>
      <c r="C102" s="13" t="s">
        <v>25</v>
      </c>
      <c r="D102" s="13">
        <v>11.1</v>
      </c>
      <c r="E102" s="13" t="s">
        <v>27</v>
      </c>
      <c r="F102" s="13">
        <v>3.0</v>
      </c>
      <c r="G102" s="13" t="s">
        <v>37</v>
      </c>
      <c r="H102" s="23">
        <v>13.1446</v>
      </c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22"/>
      <c r="Y102" s="22"/>
      <c r="Z102" s="22"/>
      <c r="AA102" s="22"/>
      <c r="AB102" s="22"/>
      <c r="AC102" s="22"/>
      <c r="AD102" s="22" t="str">
        <f t="shared" ref="AD102:AI102" si="104">AVERAGE(L102,R102,X102)</f>
        <v>#DIV/0!</v>
      </c>
      <c r="AE102" s="22" t="str">
        <f t="shared" si="104"/>
        <v>#DIV/0!</v>
      </c>
      <c r="AF102" s="22" t="str">
        <f t="shared" si="104"/>
        <v>#DIV/0!</v>
      </c>
      <c r="AG102" s="22" t="str">
        <f t="shared" si="104"/>
        <v>#DIV/0!</v>
      </c>
      <c r="AH102" s="22" t="str">
        <f t="shared" si="104"/>
        <v>#DIV/0!</v>
      </c>
      <c r="AI102" s="22" t="str">
        <f t="shared" si="104"/>
        <v>#DIV/0!</v>
      </c>
      <c r="AJ102" s="22"/>
      <c r="AK102" s="22"/>
      <c r="AL102" s="22"/>
      <c r="AM102" s="22"/>
    </row>
    <row r="103">
      <c r="A103" s="13" t="s">
        <v>20</v>
      </c>
      <c r="B103" s="26">
        <v>45684.0</v>
      </c>
      <c r="C103" s="13" t="s">
        <v>25</v>
      </c>
      <c r="D103" s="13">
        <v>11.2</v>
      </c>
      <c r="E103" s="13" t="s">
        <v>27</v>
      </c>
      <c r="F103" s="13">
        <v>3.0</v>
      </c>
      <c r="G103" s="13" t="s">
        <v>37</v>
      </c>
      <c r="H103" s="23">
        <v>10.7639</v>
      </c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22"/>
      <c r="Y103" s="22"/>
      <c r="Z103" s="22"/>
      <c r="AA103" s="22"/>
      <c r="AB103" s="22"/>
      <c r="AC103" s="22"/>
      <c r="AD103" s="22" t="str">
        <f t="shared" ref="AD103:AI103" si="105">AVERAGE(L103,R103,X103)</f>
        <v>#DIV/0!</v>
      </c>
      <c r="AE103" s="22" t="str">
        <f t="shared" si="105"/>
        <v>#DIV/0!</v>
      </c>
      <c r="AF103" s="22" t="str">
        <f t="shared" si="105"/>
        <v>#DIV/0!</v>
      </c>
      <c r="AG103" s="22" t="str">
        <f t="shared" si="105"/>
        <v>#DIV/0!</v>
      </c>
      <c r="AH103" s="22" t="str">
        <f t="shared" si="105"/>
        <v>#DIV/0!</v>
      </c>
      <c r="AI103" s="22" t="str">
        <f t="shared" si="105"/>
        <v>#DIV/0!</v>
      </c>
      <c r="AJ103" s="22"/>
      <c r="AK103" s="22"/>
      <c r="AL103" s="22"/>
      <c r="AM103" s="22"/>
    </row>
    <row r="104">
      <c r="A104" s="13" t="s">
        <v>20</v>
      </c>
      <c r="B104" s="26">
        <v>45684.0</v>
      </c>
      <c r="C104" s="13" t="s">
        <v>25</v>
      </c>
      <c r="D104" s="13">
        <v>11.3</v>
      </c>
      <c r="E104" s="13" t="s">
        <v>27</v>
      </c>
      <c r="F104" s="13">
        <v>3.0</v>
      </c>
      <c r="G104" s="13" t="s">
        <v>37</v>
      </c>
      <c r="H104" s="23">
        <v>11.5352</v>
      </c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22"/>
      <c r="Y104" s="22"/>
      <c r="Z104" s="22"/>
      <c r="AA104" s="22"/>
      <c r="AB104" s="22"/>
      <c r="AC104" s="22"/>
      <c r="AD104" s="22" t="str">
        <f t="shared" ref="AD104:AI104" si="106">AVERAGE(L104,R104,X104)</f>
        <v>#DIV/0!</v>
      </c>
      <c r="AE104" s="22" t="str">
        <f t="shared" si="106"/>
        <v>#DIV/0!</v>
      </c>
      <c r="AF104" s="22" t="str">
        <f t="shared" si="106"/>
        <v>#DIV/0!</v>
      </c>
      <c r="AG104" s="22" t="str">
        <f t="shared" si="106"/>
        <v>#DIV/0!</v>
      </c>
      <c r="AH104" s="22" t="str">
        <f t="shared" si="106"/>
        <v>#DIV/0!</v>
      </c>
      <c r="AI104" s="22" t="str">
        <f t="shared" si="106"/>
        <v>#DIV/0!</v>
      </c>
      <c r="AJ104" s="22"/>
      <c r="AK104" s="22"/>
      <c r="AL104" s="22"/>
      <c r="AM104" s="22"/>
    </row>
    <row r="105">
      <c r="A105" s="13" t="s">
        <v>20</v>
      </c>
      <c r="B105" s="26">
        <v>45684.0</v>
      </c>
      <c r="C105" s="13" t="s">
        <v>25</v>
      </c>
      <c r="D105" s="13">
        <v>11.4</v>
      </c>
      <c r="E105" s="13" t="s">
        <v>27</v>
      </c>
      <c r="F105" s="13">
        <v>3.0</v>
      </c>
      <c r="G105" s="13" t="s">
        <v>37</v>
      </c>
      <c r="H105" s="23">
        <v>12.1382</v>
      </c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 t="str">
        <f t="shared" ref="AD105:AI105" si="107">AVERAGE(L105,R105,X105)</f>
        <v>#DIV/0!</v>
      </c>
      <c r="AE105" s="22" t="str">
        <f t="shared" si="107"/>
        <v>#DIV/0!</v>
      </c>
      <c r="AF105" s="22" t="str">
        <f t="shared" si="107"/>
        <v>#DIV/0!</v>
      </c>
      <c r="AG105" s="22" t="str">
        <f t="shared" si="107"/>
        <v>#DIV/0!</v>
      </c>
      <c r="AH105" s="22" t="str">
        <f t="shared" si="107"/>
        <v>#DIV/0!</v>
      </c>
      <c r="AI105" s="22" t="str">
        <f t="shared" si="107"/>
        <v>#DIV/0!</v>
      </c>
      <c r="AJ105" s="22"/>
      <c r="AK105" s="22"/>
      <c r="AL105" s="22"/>
      <c r="AM105" s="22"/>
    </row>
    <row r="106">
      <c r="A106" s="13" t="s">
        <v>20</v>
      </c>
      <c r="B106" s="26">
        <v>45684.0</v>
      </c>
      <c r="C106" s="13" t="s">
        <v>25</v>
      </c>
      <c r="D106" s="13">
        <v>12.1</v>
      </c>
      <c r="E106" s="13" t="s">
        <v>27</v>
      </c>
      <c r="F106" s="13">
        <v>3.0</v>
      </c>
      <c r="G106" s="13" t="s">
        <v>37</v>
      </c>
      <c r="H106" s="23">
        <v>14.8577</v>
      </c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22"/>
      <c r="Y106" s="22"/>
      <c r="Z106" s="22"/>
      <c r="AA106" s="22"/>
      <c r="AB106" s="22"/>
      <c r="AC106" s="22"/>
      <c r="AD106" s="22" t="str">
        <f t="shared" ref="AD106:AI106" si="108">AVERAGE(L106,R106,X106)</f>
        <v>#DIV/0!</v>
      </c>
      <c r="AE106" s="22" t="str">
        <f t="shared" si="108"/>
        <v>#DIV/0!</v>
      </c>
      <c r="AF106" s="22" t="str">
        <f t="shared" si="108"/>
        <v>#DIV/0!</v>
      </c>
      <c r="AG106" s="22" t="str">
        <f t="shared" si="108"/>
        <v>#DIV/0!</v>
      </c>
      <c r="AH106" s="22" t="str">
        <f t="shared" si="108"/>
        <v>#DIV/0!</v>
      </c>
      <c r="AI106" s="22" t="str">
        <f t="shared" si="108"/>
        <v>#DIV/0!</v>
      </c>
      <c r="AJ106" s="22"/>
      <c r="AK106" s="22"/>
      <c r="AL106" s="22"/>
      <c r="AM106" s="22"/>
    </row>
    <row r="107">
      <c r="A107" s="13" t="s">
        <v>20</v>
      </c>
      <c r="B107" s="26">
        <v>45684.0</v>
      </c>
      <c r="C107" s="13" t="s">
        <v>25</v>
      </c>
      <c r="D107" s="13">
        <v>12.2</v>
      </c>
      <c r="E107" s="13" t="s">
        <v>27</v>
      </c>
      <c r="F107" s="13">
        <v>3.0</v>
      </c>
      <c r="G107" s="13" t="s">
        <v>37</v>
      </c>
      <c r="H107" s="23">
        <v>12.4747</v>
      </c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22"/>
      <c r="Y107" s="22"/>
      <c r="Z107" s="22"/>
      <c r="AA107" s="22"/>
      <c r="AB107" s="22"/>
      <c r="AC107" s="22"/>
      <c r="AD107" s="22" t="str">
        <f t="shared" ref="AD107:AI107" si="109">AVERAGE(L107,R107,X107)</f>
        <v>#DIV/0!</v>
      </c>
      <c r="AE107" s="22" t="str">
        <f t="shared" si="109"/>
        <v>#DIV/0!</v>
      </c>
      <c r="AF107" s="22" t="str">
        <f t="shared" si="109"/>
        <v>#DIV/0!</v>
      </c>
      <c r="AG107" s="22" t="str">
        <f t="shared" si="109"/>
        <v>#DIV/0!</v>
      </c>
      <c r="AH107" s="22" t="str">
        <f t="shared" si="109"/>
        <v>#DIV/0!</v>
      </c>
      <c r="AI107" s="22" t="str">
        <f t="shared" si="109"/>
        <v>#DIV/0!</v>
      </c>
      <c r="AJ107" s="22"/>
      <c r="AK107" s="22"/>
      <c r="AL107" s="22"/>
      <c r="AM107" s="22"/>
    </row>
    <row r="108">
      <c r="A108" s="13" t="s">
        <v>20</v>
      </c>
      <c r="B108" s="26">
        <v>45684.0</v>
      </c>
      <c r="C108" s="13" t="s">
        <v>25</v>
      </c>
      <c r="D108" s="13">
        <v>12.3</v>
      </c>
      <c r="E108" s="13" t="s">
        <v>27</v>
      </c>
      <c r="F108" s="13">
        <v>3.0</v>
      </c>
      <c r="G108" s="13" t="s">
        <v>37</v>
      </c>
      <c r="H108" s="23">
        <v>12.9533</v>
      </c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22"/>
      <c r="Y108" s="22"/>
      <c r="Z108" s="22"/>
      <c r="AA108" s="22"/>
      <c r="AB108" s="22"/>
      <c r="AC108" s="22"/>
      <c r="AD108" s="22" t="str">
        <f t="shared" ref="AD108:AI108" si="110">AVERAGE(L108,R108,X108)</f>
        <v>#DIV/0!</v>
      </c>
      <c r="AE108" s="22" t="str">
        <f t="shared" si="110"/>
        <v>#DIV/0!</v>
      </c>
      <c r="AF108" s="22" t="str">
        <f t="shared" si="110"/>
        <v>#DIV/0!</v>
      </c>
      <c r="AG108" s="22" t="str">
        <f t="shared" si="110"/>
        <v>#DIV/0!</v>
      </c>
      <c r="AH108" s="22" t="str">
        <f t="shared" si="110"/>
        <v>#DIV/0!</v>
      </c>
      <c r="AI108" s="22" t="str">
        <f t="shared" si="110"/>
        <v>#DIV/0!</v>
      </c>
      <c r="AJ108" s="22"/>
      <c r="AK108" s="22"/>
      <c r="AL108" s="22"/>
      <c r="AM108" s="22"/>
    </row>
    <row r="109">
      <c r="A109" s="13" t="s">
        <v>20</v>
      </c>
      <c r="B109" s="26">
        <v>45684.0</v>
      </c>
      <c r="C109" s="13" t="s">
        <v>25</v>
      </c>
      <c r="D109" s="13">
        <v>12.4</v>
      </c>
      <c r="E109" s="13" t="s">
        <v>27</v>
      </c>
      <c r="F109" s="13">
        <v>3.0</v>
      </c>
      <c r="G109" s="13" t="s">
        <v>37</v>
      </c>
      <c r="H109" s="23">
        <v>12.412</v>
      </c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22"/>
      <c r="Y109" s="22"/>
      <c r="Z109" s="22"/>
      <c r="AA109" s="22"/>
      <c r="AB109" s="22"/>
      <c r="AC109" s="22"/>
      <c r="AD109" s="22" t="str">
        <f t="shared" ref="AD109:AI109" si="111">AVERAGE(L109,R109,X109)</f>
        <v>#DIV/0!</v>
      </c>
      <c r="AE109" s="22" t="str">
        <f t="shared" si="111"/>
        <v>#DIV/0!</v>
      </c>
      <c r="AF109" s="22" t="str">
        <f t="shared" si="111"/>
        <v>#DIV/0!</v>
      </c>
      <c r="AG109" s="22" t="str">
        <f t="shared" si="111"/>
        <v>#DIV/0!</v>
      </c>
      <c r="AH109" s="22" t="str">
        <f t="shared" si="111"/>
        <v>#DIV/0!</v>
      </c>
      <c r="AI109" s="22" t="str">
        <f t="shared" si="111"/>
        <v>#DIV/0!</v>
      </c>
      <c r="AJ109" s="22"/>
      <c r="AK109" s="22"/>
      <c r="AL109" s="22"/>
      <c r="AM109" s="22"/>
    </row>
    <row r="110">
      <c r="A110" s="13" t="s">
        <v>20</v>
      </c>
      <c r="B110" s="26">
        <v>45965.0</v>
      </c>
      <c r="C110" s="13" t="s">
        <v>21</v>
      </c>
      <c r="D110" s="13">
        <v>4.1</v>
      </c>
      <c r="E110" s="13" t="s">
        <v>27</v>
      </c>
      <c r="F110" s="13">
        <v>2.0</v>
      </c>
      <c r="G110" s="13" t="s">
        <v>37</v>
      </c>
      <c r="H110" s="23">
        <v>8.1455</v>
      </c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22"/>
      <c r="Y110" s="22"/>
      <c r="Z110" s="22"/>
      <c r="AA110" s="22"/>
      <c r="AB110" s="22"/>
      <c r="AC110" s="22"/>
      <c r="AD110" s="22" t="str">
        <f t="shared" ref="AD110:AI110" si="112">AVERAGE(L110,R110,X110)</f>
        <v>#DIV/0!</v>
      </c>
      <c r="AE110" s="22" t="str">
        <f t="shared" si="112"/>
        <v>#DIV/0!</v>
      </c>
      <c r="AF110" s="22" t="str">
        <f t="shared" si="112"/>
        <v>#DIV/0!</v>
      </c>
      <c r="AG110" s="22" t="str">
        <f t="shared" si="112"/>
        <v>#DIV/0!</v>
      </c>
      <c r="AH110" s="22" t="str">
        <f t="shared" si="112"/>
        <v>#DIV/0!</v>
      </c>
      <c r="AI110" s="22" t="str">
        <f t="shared" si="112"/>
        <v>#DIV/0!</v>
      </c>
      <c r="AJ110" s="22"/>
      <c r="AK110" s="22"/>
      <c r="AL110" s="22"/>
      <c r="AM110" s="22"/>
    </row>
    <row r="111">
      <c r="A111" s="13" t="s">
        <v>20</v>
      </c>
      <c r="B111" s="26">
        <v>45965.0</v>
      </c>
      <c r="C111" s="13" t="s">
        <v>21</v>
      </c>
      <c r="D111" s="13">
        <v>4.2</v>
      </c>
      <c r="E111" s="13" t="s">
        <v>27</v>
      </c>
      <c r="F111" s="13">
        <v>2.0</v>
      </c>
      <c r="G111" s="13" t="s">
        <v>37</v>
      </c>
      <c r="H111" s="23">
        <v>8.5298</v>
      </c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22"/>
      <c r="Y111" s="22"/>
      <c r="Z111" s="22"/>
      <c r="AA111" s="22"/>
      <c r="AB111" s="22"/>
      <c r="AC111" s="22"/>
      <c r="AD111" s="22" t="str">
        <f t="shared" ref="AD111:AI111" si="113">AVERAGE(L111,R111,X111)</f>
        <v>#DIV/0!</v>
      </c>
      <c r="AE111" s="22" t="str">
        <f t="shared" si="113"/>
        <v>#DIV/0!</v>
      </c>
      <c r="AF111" s="22" t="str">
        <f t="shared" si="113"/>
        <v>#DIV/0!</v>
      </c>
      <c r="AG111" s="22" t="str">
        <f t="shared" si="113"/>
        <v>#DIV/0!</v>
      </c>
      <c r="AH111" s="22" t="str">
        <f t="shared" si="113"/>
        <v>#DIV/0!</v>
      </c>
      <c r="AI111" s="22" t="str">
        <f t="shared" si="113"/>
        <v>#DIV/0!</v>
      </c>
      <c r="AJ111" s="22"/>
      <c r="AK111" s="22"/>
      <c r="AL111" s="22"/>
      <c r="AM111" s="22"/>
    </row>
    <row r="112">
      <c r="A112" s="13" t="s">
        <v>20</v>
      </c>
      <c r="B112" s="26">
        <v>45965.0</v>
      </c>
      <c r="C112" s="13" t="s">
        <v>21</v>
      </c>
      <c r="D112" s="13">
        <v>4.3</v>
      </c>
      <c r="E112" s="13" t="s">
        <v>27</v>
      </c>
      <c r="F112" s="13">
        <v>2.0</v>
      </c>
      <c r="G112" s="13" t="s">
        <v>37</v>
      </c>
      <c r="H112" s="23">
        <v>8.3087</v>
      </c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 t="str">
        <f t="shared" ref="AD112:AI112" si="114">AVERAGE(L112,R112,X112)</f>
        <v>#DIV/0!</v>
      </c>
      <c r="AE112" s="22" t="str">
        <f t="shared" si="114"/>
        <v>#DIV/0!</v>
      </c>
      <c r="AF112" s="22" t="str">
        <f t="shared" si="114"/>
        <v>#DIV/0!</v>
      </c>
      <c r="AG112" s="22" t="str">
        <f t="shared" si="114"/>
        <v>#DIV/0!</v>
      </c>
      <c r="AH112" s="22" t="str">
        <f t="shared" si="114"/>
        <v>#DIV/0!</v>
      </c>
      <c r="AI112" s="22" t="str">
        <f t="shared" si="114"/>
        <v>#DIV/0!</v>
      </c>
      <c r="AJ112" s="22"/>
      <c r="AK112" s="22"/>
      <c r="AL112" s="22"/>
      <c r="AM112" s="22"/>
    </row>
    <row r="113">
      <c r="A113" s="13" t="s">
        <v>20</v>
      </c>
      <c r="B113" s="26">
        <v>45965.0</v>
      </c>
      <c r="C113" s="13" t="s">
        <v>21</v>
      </c>
      <c r="D113" s="13">
        <v>4.4</v>
      </c>
      <c r="E113" s="13" t="s">
        <v>27</v>
      </c>
      <c r="F113" s="13">
        <v>2.0</v>
      </c>
      <c r="G113" s="13" t="s">
        <v>37</v>
      </c>
      <c r="H113" s="23">
        <v>7.5437</v>
      </c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/>
      <c r="AB113" s="22"/>
      <c r="AC113" s="22"/>
      <c r="AD113" s="22" t="str">
        <f t="shared" ref="AD113:AI113" si="115">AVERAGE(L113,R113,X113)</f>
        <v>#DIV/0!</v>
      </c>
      <c r="AE113" s="22" t="str">
        <f t="shared" si="115"/>
        <v>#DIV/0!</v>
      </c>
      <c r="AF113" s="22" t="str">
        <f t="shared" si="115"/>
        <v>#DIV/0!</v>
      </c>
      <c r="AG113" s="22" t="str">
        <f t="shared" si="115"/>
        <v>#DIV/0!</v>
      </c>
      <c r="AH113" s="22" t="str">
        <f t="shared" si="115"/>
        <v>#DIV/0!</v>
      </c>
      <c r="AI113" s="22" t="str">
        <f t="shared" si="115"/>
        <v>#DIV/0!</v>
      </c>
      <c r="AJ113" s="22"/>
      <c r="AK113" s="22"/>
      <c r="AL113" s="22"/>
      <c r="AM113" s="22"/>
    </row>
    <row r="114">
      <c r="A114" s="13" t="s">
        <v>20</v>
      </c>
      <c r="B114" s="26">
        <v>45965.0</v>
      </c>
      <c r="C114" s="13" t="s">
        <v>21</v>
      </c>
      <c r="D114" s="13">
        <v>5.1</v>
      </c>
      <c r="E114" s="13" t="s">
        <v>27</v>
      </c>
      <c r="F114" s="13">
        <v>2.0</v>
      </c>
      <c r="G114" s="13" t="s">
        <v>37</v>
      </c>
      <c r="H114" s="23">
        <v>8.8989</v>
      </c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22"/>
      <c r="Y114" s="22"/>
      <c r="Z114" s="22"/>
      <c r="AA114" s="22"/>
      <c r="AB114" s="22"/>
      <c r="AC114" s="22"/>
      <c r="AD114" s="22" t="str">
        <f t="shared" ref="AD114:AI114" si="116">AVERAGE(L114,R114,X114)</f>
        <v>#DIV/0!</v>
      </c>
      <c r="AE114" s="22" t="str">
        <f t="shared" si="116"/>
        <v>#DIV/0!</v>
      </c>
      <c r="AF114" s="22" t="str">
        <f t="shared" si="116"/>
        <v>#DIV/0!</v>
      </c>
      <c r="AG114" s="22" t="str">
        <f t="shared" si="116"/>
        <v>#DIV/0!</v>
      </c>
      <c r="AH114" s="22" t="str">
        <f t="shared" si="116"/>
        <v>#DIV/0!</v>
      </c>
      <c r="AI114" s="22" t="str">
        <f t="shared" si="116"/>
        <v>#DIV/0!</v>
      </c>
      <c r="AJ114" s="22"/>
      <c r="AK114" s="22"/>
      <c r="AL114" s="22"/>
      <c r="AM114" s="22"/>
    </row>
    <row r="115">
      <c r="A115" s="13" t="s">
        <v>20</v>
      </c>
      <c r="B115" s="26">
        <v>45965.0</v>
      </c>
      <c r="C115" s="13" t="s">
        <v>21</v>
      </c>
      <c r="D115" s="13">
        <v>5.2</v>
      </c>
      <c r="E115" s="13" t="s">
        <v>27</v>
      </c>
      <c r="F115" s="13">
        <v>2.0</v>
      </c>
      <c r="G115" s="13" t="s">
        <v>37</v>
      </c>
      <c r="H115" s="23">
        <v>9.4928</v>
      </c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22"/>
      <c r="Y115" s="22"/>
      <c r="Z115" s="22"/>
      <c r="AA115" s="22"/>
      <c r="AB115" s="22"/>
      <c r="AC115" s="22"/>
      <c r="AD115" s="22" t="str">
        <f t="shared" ref="AD115:AI115" si="117">AVERAGE(L115,R115,X115)</f>
        <v>#DIV/0!</v>
      </c>
      <c r="AE115" s="22" t="str">
        <f t="shared" si="117"/>
        <v>#DIV/0!</v>
      </c>
      <c r="AF115" s="22" t="str">
        <f t="shared" si="117"/>
        <v>#DIV/0!</v>
      </c>
      <c r="AG115" s="22" t="str">
        <f t="shared" si="117"/>
        <v>#DIV/0!</v>
      </c>
      <c r="AH115" s="22" t="str">
        <f t="shared" si="117"/>
        <v>#DIV/0!</v>
      </c>
      <c r="AI115" s="22" t="str">
        <f t="shared" si="117"/>
        <v>#DIV/0!</v>
      </c>
      <c r="AJ115" s="22"/>
      <c r="AK115" s="22"/>
      <c r="AL115" s="22"/>
      <c r="AM115" s="22"/>
    </row>
    <row r="116">
      <c r="A116" s="13" t="s">
        <v>20</v>
      </c>
      <c r="B116" s="26">
        <v>45965.0</v>
      </c>
      <c r="C116" s="13" t="s">
        <v>21</v>
      </c>
      <c r="D116" s="13">
        <v>5.3</v>
      </c>
      <c r="E116" s="13" t="s">
        <v>27</v>
      </c>
      <c r="F116" s="13">
        <v>2.0</v>
      </c>
      <c r="G116" s="13" t="s">
        <v>37</v>
      </c>
      <c r="H116" s="23">
        <v>9.7133</v>
      </c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22"/>
      <c r="Y116" s="22"/>
      <c r="Z116" s="22"/>
      <c r="AA116" s="22"/>
      <c r="AB116" s="22"/>
      <c r="AC116" s="22"/>
      <c r="AD116" s="22" t="str">
        <f t="shared" ref="AD116:AI116" si="118">AVERAGE(L116,R116,X116)</f>
        <v>#DIV/0!</v>
      </c>
      <c r="AE116" s="22" t="str">
        <f t="shared" si="118"/>
        <v>#DIV/0!</v>
      </c>
      <c r="AF116" s="22" t="str">
        <f t="shared" si="118"/>
        <v>#DIV/0!</v>
      </c>
      <c r="AG116" s="22" t="str">
        <f t="shared" si="118"/>
        <v>#DIV/0!</v>
      </c>
      <c r="AH116" s="22" t="str">
        <f t="shared" si="118"/>
        <v>#DIV/0!</v>
      </c>
      <c r="AI116" s="22" t="str">
        <f t="shared" si="118"/>
        <v>#DIV/0!</v>
      </c>
      <c r="AJ116" s="22"/>
      <c r="AK116" s="22"/>
      <c r="AL116" s="22"/>
      <c r="AM116" s="22"/>
    </row>
    <row r="117">
      <c r="A117" s="13" t="s">
        <v>20</v>
      </c>
      <c r="B117" s="26">
        <v>45965.0</v>
      </c>
      <c r="C117" s="13" t="s">
        <v>21</v>
      </c>
      <c r="D117" s="13">
        <v>5.4</v>
      </c>
      <c r="E117" s="13" t="s">
        <v>27</v>
      </c>
      <c r="F117" s="13">
        <v>2.0</v>
      </c>
      <c r="G117" s="13" t="s">
        <v>37</v>
      </c>
      <c r="H117" s="23">
        <v>8.9028</v>
      </c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22"/>
      <c r="Y117" s="22"/>
      <c r="Z117" s="22"/>
      <c r="AA117" s="22"/>
      <c r="AB117" s="22"/>
      <c r="AC117" s="22"/>
      <c r="AD117" s="22" t="str">
        <f t="shared" ref="AD117:AI117" si="119">AVERAGE(L117,R117,X117)</f>
        <v>#DIV/0!</v>
      </c>
      <c r="AE117" s="22" t="str">
        <f t="shared" si="119"/>
        <v>#DIV/0!</v>
      </c>
      <c r="AF117" s="22" t="str">
        <f t="shared" si="119"/>
        <v>#DIV/0!</v>
      </c>
      <c r="AG117" s="22" t="str">
        <f t="shared" si="119"/>
        <v>#DIV/0!</v>
      </c>
      <c r="AH117" s="22" t="str">
        <f t="shared" si="119"/>
        <v>#DIV/0!</v>
      </c>
      <c r="AI117" s="22" t="str">
        <f t="shared" si="119"/>
        <v>#DIV/0!</v>
      </c>
      <c r="AJ117" s="22"/>
      <c r="AK117" s="22"/>
      <c r="AL117" s="22"/>
      <c r="AM117" s="22"/>
    </row>
    <row r="118">
      <c r="A118" s="13" t="s">
        <v>20</v>
      </c>
      <c r="B118" s="26">
        <v>45965.0</v>
      </c>
      <c r="C118" s="13" t="s">
        <v>21</v>
      </c>
      <c r="D118" s="13">
        <v>6.1</v>
      </c>
      <c r="E118" s="13" t="s">
        <v>27</v>
      </c>
      <c r="F118" s="13">
        <v>2.0</v>
      </c>
      <c r="G118" s="13" t="s">
        <v>37</v>
      </c>
      <c r="H118" s="23">
        <v>8.8362</v>
      </c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22"/>
      <c r="Y118" s="22"/>
      <c r="Z118" s="22"/>
      <c r="AA118" s="22"/>
      <c r="AB118" s="22"/>
      <c r="AC118" s="22"/>
      <c r="AD118" s="22" t="str">
        <f t="shared" ref="AD118:AI118" si="120">AVERAGE(L118,R118,X118)</f>
        <v>#DIV/0!</v>
      </c>
      <c r="AE118" s="22" t="str">
        <f t="shared" si="120"/>
        <v>#DIV/0!</v>
      </c>
      <c r="AF118" s="22" t="str">
        <f t="shared" si="120"/>
        <v>#DIV/0!</v>
      </c>
      <c r="AG118" s="22" t="str">
        <f t="shared" si="120"/>
        <v>#DIV/0!</v>
      </c>
      <c r="AH118" s="22" t="str">
        <f t="shared" si="120"/>
        <v>#DIV/0!</v>
      </c>
      <c r="AI118" s="22" t="str">
        <f t="shared" si="120"/>
        <v>#DIV/0!</v>
      </c>
      <c r="AJ118" s="22"/>
      <c r="AK118" s="22"/>
      <c r="AL118" s="22"/>
      <c r="AM118" s="22"/>
    </row>
    <row r="119">
      <c r="A119" s="13" t="s">
        <v>20</v>
      </c>
      <c r="B119" s="26">
        <v>45965.0</v>
      </c>
      <c r="C119" s="13" t="s">
        <v>21</v>
      </c>
      <c r="D119" s="13">
        <v>6.2</v>
      </c>
      <c r="E119" s="13" t="s">
        <v>27</v>
      </c>
      <c r="F119" s="13">
        <v>2.0</v>
      </c>
      <c r="G119" s="13" t="s">
        <v>37</v>
      </c>
      <c r="H119" s="23">
        <v>7.8567</v>
      </c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 t="str">
        <f t="shared" ref="AD119:AI119" si="121">AVERAGE(L119,R119,X119)</f>
        <v>#DIV/0!</v>
      </c>
      <c r="AE119" s="22" t="str">
        <f t="shared" si="121"/>
        <v>#DIV/0!</v>
      </c>
      <c r="AF119" s="22" t="str">
        <f t="shared" si="121"/>
        <v>#DIV/0!</v>
      </c>
      <c r="AG119" s="22" t="str">
        <f t="shared" si="121"/>
        <v>#DIV/0!</v>
      </c>
      <c r="AH119" s="22" t="str">
        <f t="shared" si="121"/>
        <v>#DIV/0!</v>
      </c>
      <c r="AI119" s="22" t="str">
        <f t="shared" si="121"/>
        <v>#DIV/0!</v>
      </c>
      <c r="AJ119" s="22"/>
      <c r="AK119" s="22"/>
      <c r="AL119" s="22"/>
      <c r="AM119" s="22"/>
    </row>
    <row r="120">
      <c r="A120" s="13" t="s">
        <v>20</v>
      </c>
      <c r="B120" s="26">
        <v>45965.0</v>
      </c>
      <c r="C120" s="13" t="s">
        <v>21</v>
      </c>
      <c r="D120" s="13">
        <v>6.3</v>
      </c>
      <c r="E120" s="13" t="s">
        <v>27</v>
      </c>
      <c r="F120" s="13">
        <v>2.0</v>
      </c>
      <c r="G120" s="13" t="s">
        <v>37</v>
      </c>
      <c r="H120" s="23">
        <v>8.4416</v>
      </c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22"/>
      <c r="Y120" s="22"/>
      <c r="Z120" s="22"/>
      <c r="AA120" s="22"/>
      <c r="AB120" s="22"/>
      <c r="AC120" s="22"/>
      <c r="AD120" s="22" t="str">
        <f t="shared" ref="AD120:AI120" si="122">AVERAGE(L120,R120,X120)</f>
        <v>#DIV/0!</v>
      </c>
      <c r="AE120" s="22" t="str">
        <f t="shared" si="122"/>
        <v>#DIV/0!</v>
      </c>
      <c r="AF120" s="22" t="str">
        <f t="shared" si="122"/>
        <v>#DIV/0!</v>
      </c>
      <c r="AG120" s="22" t="str">
        <f t="shared" si="122"/>
        <v>#DIV/0!</v>
      </c>
      <c r="AH120" s="22" t="str">
        <f t="shared" si="122"/>
        <v>#DIV/0!</v>
      </c>
      <c r="AI120" s="22" t="str">
        <f t="shared" si="122"/>
        <v>#DIV/0!</v>
      </c>
      <c r="AJ120" s="22"/>
      <c r="AK120" s="22"/>
      <c r="AL120" s="22"/>
      <c r="AM120" s="22"/>
    </row>
    <row r="121">
      <c r="A121" s="13" t="s">
        <v>20</v>
      </c>
      <c r="B121" s="26">
        <v>45965.0</v>
      </c>
      <c r="C121" s="13" t="s">
        <v>21</v>
      </c>
      <c r="D121" s="13">
        <v>6.4</v>
      </c>
      <c r="E121" s="13" t="s">
        <v>27</v>
      </c>
      <c r="F121" s="13">
        <v>2.0</v>
      </c>
      <c r="G121" s="13" t="s">
        <v>37</v>
      </c>
      <c r="H121" s="23">
        <v>7.9359</v>
      </c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22"/>
      <c r="Y121" s="22"/>
      <c r="Z121" s="22"/>
      <c r="AA121" s="22"/>
      <c r="AB121" s="22"/>
      <c r="AC121" s="22"/>
      <c r="AD121" s="22" t="str">
        <f t="shared" ref="AD121:AI121" si="123">AVERAGE(L121,R121,X121)</f>
        <v>#DIV/0!</v>
      </c>
      <c r="AE121" s="22" t="str">
        <f t="shared" si="123"/>
        <v>#DIV/0!</v>
      </c>
      <c r="AF121" s="22" t="str">
        <f t="shared" si="123"/>
        <v>#DIV/0!</v>
      </c>
      <c r="AG121" s="22" t="str">
        <f t="shared" si="123"/>
        <v>#DIV/0!</v>
      </c>
      <c r="AH121" s="22" t="str">
        <f t="shared" si="123"/>
        <v>#DIV/0!</v>
      </c>
      <c r="AI121" s="22" t="str">
        <f t="shared" si="123"/>
        <v>#DIV/0!</v>
      </c>
      <c r="AJ121" s="22"/>
      <c r="AK121" s="22"/>
      <c r="AL121" s="22"/>
      <c r="AM121" s="22"/>
    </row>
    <row r="122">
      <c r="A122" s="13" t="s">
        <v>20</v>
      </c>
      <c r="B122" s="26">
        <v>45965.0</v>
      </c>
      <c r="C122" s="13" t="s">
        <v>24</v>
      </c>
      <c r="D122" s="13">
        <v>4.1</v>
      </c>
      <c r="E122" s="13" t="s">
        <v>27</v>
      </c>
      <c r="F122" s="13">
        <v>2.0</v>
      </c>
      <c r="G122" s="13" t="s">
        <v>37</v>
      </c>
      <c r="H122" s="23">
        <v>12.1276</v>
      </c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22"/>
      <c r="AD122" s="22" t="str">
        <f t="shared" ref="AD122:AI122" si="124">AVERAGE(L122,R122,X122)</f>
        <v>#DIV/0!</v>
      </c>
      <c r="AE122" s="22" t="str">
        <f t="shared" si="124"/>
        <v>#DIV/0!</v>
      </c>
      <c r="AF122" s="22" t="str">
        <f t="shared" si="124"/>
        <v>#DIV/0!</v>
      </c>
      <c r="AG122" s="22" t="str">
        <f t="shared" si="124"/>
        <v>#DIV/0!</v>
      </c>
      <c r="AH122" s="22" t="str">
        <f t="shared" si="124"/>
        <v>#DIV/0!</v>
      </c>
      <c r="AI122" s="22" t="str">
        <f t="shared" si="124"/>
        <v>#DIV/0!</v>
      </c>
      <c r="AJ122" s="22"/>
      <c r="AK122" s="22"/>
      <c r="AL122" s="22"/>
      <c r="AM122" s="22"/>
    </row>
    <row r="123">
      <c r="A123" s="13" t="s">
        <v>20</v>
      </c>
      <c r="B123" s="26">
        <v>45965.0</v>
      </c>
      <c r="C123" s="13" t="s">
        <v>24</v>
      </c>
      <c r="D123" s="13">
        <v>4.2</v>
      </c>
      <c r="E123" s="13" t="s">
        <v>27</v>
      </c>
      <c r="F123" s="13">
        <v>2.0</v>
      </c>
      <c r="G123" s="13" t="s">
        <v>37</v>
      </c>
      <c r="H123" s="23">
        <v>12.8229</v>
      </c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22"/>
      <c r="AD123" s="22" t="str">
        <f t="shared" ref="AD123:AI123" si="125">AVERAGE(L123,R123,X123)</f>
        <v>#DIV/0!</v>
      </c>
      <c r="AE123" s="22" t="str">
        <f t="shared" si="125"/>
        <v>#DIV/0!</v>
      </c>
      <c r="AF123" s="22" t="str">
        <f t="shared" si="125"/>
        <v>#DIV/0!</v>
      </c>
      <c r="AG123" s="22" t="str">
        <f t="shared" si="125"/>
        <v>#DIV/0!</v>
      </c>
      <c r="AH123" s="22" t="str">
        <f t="shared" si="125"/>
        <v>#DIV/0!</v>
      </c>
      <c r="AI123" s="22" t="str">
        <f t="shared" si="125"/>
        <v>#DIV/0!</v>
      </c>
      <c r="AJ123" s="22"/>
      <c r="AK123" s="22"/>
      <c r="AL123" s="22"/>
      <c r="AM123" s="22"/>
    </row>
    <row r="124">
      <c r="A124" s="13" t="s">
        <v>20</v>
      </c>
      <c r="B124" s="26">
        <v>45965.0</v>
      </c>
      <c r="C124" s="13" t="s">
        <v>24</v>
      </c>
      <c r="D124" s="13">
        <v>4.3</v>
      </c>
      <c r="E124" s="13" t="s">
        <v>27</v>
      </c>
      <c r="F124" s="13">
        <v>2.0</v>
      </c>
      <c r="G124" s="13" t="s">
        <v>37</v>
      </c>
      <c r="H124" s="23">
        <v>13.147</v>
      </c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22"/>
      <c r="AD124" s="22" t="str">
        <f t="shared" ref="AD124:AI124" si="126">AVERAGE(L124,R124,X124)</f>
        <v>#DIV/0!</v>
      </c>
      <c r="AE124" s="22" t="str">
        <f t="shared" si="126"/>
        <v>#DIV/0!</v>
      </c>
      <c r="AF124" s="22" t="str">
        <f t="shared" si="126"/>
        <v>#DIV/0!</v>
      </c>
      <c r="AG124" s="22" t="str">
        <f t="shared" si="126"/>
        <v>#DIV/0!</v>
      </c>
      <c r="AH124" s="22" t="str">
        <f t="shared" si="126"/>
        <v>#DIV/0!</v>
      </c>
      <c r="AI124" s="22" t="str">
        <f t="shared" si="126"/>
        <v>#DIV/0!</v>
      </c>
      <c r="AJ124" s="22"/>
      <c r="AK124" s="22"/>
      <c r="AL124" s="22"/>
      <c r="AM124" s="22"/>
    </row>
    <row r="125">
      <c r="A125" s="13" t="s">
        <v>20</v>
      </c>
      <c r="B125" s="26">
        <v>45965.0</v>
      </c>
      <c r="C125" s="13" t="s">
        <v>24</v>
      </c>
      <c r="D125" s="13">
        <v>4.4</v>
      </c>
      <c r="E125" s="13" t="s">
        <v>27</v>
      </c>
      <c r="F125" s="13">
        <v>2.0</v>
      </c>
      <c r="G125" s="13" t="s">
        <v>37</v>
      </c>
      <c r="H125" s="23">
        <v>12.8892</v>
      </c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22"/>
      <c r="AD125" s="22" t="str">
        <f t="shared" ref="AD125:AI125" si="127">AVERAGE(L125,R125,X125)</f>
        <v>#DIV/0!</v>
      </c>
      <c r="AE125" s="22" t="str">
        <f t="shared" si="127"/>
        <v>#DIV/0!</v>
      </c>
      <c r="AF125" s="22" t="str">
        <f t="shared" si="127"/>
        <v>#DIV/0!</v>
      </c>
      <c r="AG125" s="22" t="str">
        <f t="shared" si="127"/>
        <v>#DIV/0!</v>
      </c>
      <c r="AH125" s="22" t="str">
        <f t="shared" si="127"/>
        <v>#DIV/0!</v>
      </c>
      <c r="AI125" s="22" t="str">
        <f t="shared" si="127"/>
        <v>#DIV/0!</v>
      </c>
      <c r="AJ125" s="22"/>
      <c r="AK125" s="22"/>
      <c r="AL125" s="22"/>
      <c r="AM125" s="22"/>
    </row>
    <row r="126">
      <c r="A126" s="13" t="s">
        <v>20</v>
      </c>
      <c r="B126" s="26">
        <v>45965.0</v>
      </c>
      <c r="C126" s="13" t="s">
        <v>24</v>
      </c>
      <c r="D126" s="13">
        <v>5.1</v>
      </c>
      <c r="E126" s="13" t="s">
        <v>27</v>
      </c>
      <c r="F126" s="13">
        <v>2.0</v>
      </c>
      <c r="G126" s="13" t="s">
        <v>37</v>
      </c>
      <c r="H126" s="23">
        <v>9.9326</v>
      </c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 t="str">
        <f t="shared" ref="AD126:AI126" si="128">AVERAGE(L126,R126,X126)</f>
        <v>#DIV/0!</v>
      </c>
      <c r="AE126" s="22" t="str">
        <f t="shared" si="128"/>
        <v>#DIV/0!</v>
      </c>
      <c r="AF126" s="22" t="str">
        <f t="shared" si="128"/>
        <v>#DIV/0!</v>
      </c>
      <c r="AG126" s="22" t="str">
        <f t="shared" si="128"/>
        <v>#DIV/0!</v>
      </c>
      <c r="AH126" s="22" t="str">
        <f t="shared" si="128"/>
        <v>#DIV/0!</v>
      </c>
      <c r="AI126" s="22" t="str">
        <f t="shared" si="128"/>
        <v>#DIV/0!</v>
      </c>
      <c r="AJ126" s="22"/>
      <c r="AK126" s="22"/>
      <c r="AL126" s="22"/>
      <c r="AM126" s="22"/>
    </row>
    <row r="127">
      <c r="A127" s="13" t="s">
        <v>20</v>
      </c>
      <c r="B127" s="26">
        <v>45965.0</v>
      </c>
      <c r="C127" s="13" t="s">
        <v>24</v>
      </c>
      <c r="D127" s="13">
        <v>5.2</v>
      </c>
      <c r="E127" s="13" t="s">
        <v>27</v>
      </c>
      <c r="F127" s="13">
        <v>2.0</v>
      </c>
      <c r="G127" s="13" t="s">
        <v>37</v>
      </c>
      <c r="H127" s="23">
        <v>9.0589</v>
      </c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22"/>
      <c r="AD127" s="22" t="str">
        <f t="shared" ref="AD127:AI127" si="129">AVERAGE(L127,R127,X127)</f>
        <v>#DIV/0!</v>
      </c>
      <c r="AE127" s="22" t="str">
        <f t="shared" si="129"/>
        <v>#DIV/0!</v>
      </c>
      <c r="AF127" s="22" t="str">
        <f t="shared" si="129"/>
        <v>#DIV/0!</v>
      </c>
      <c r="AG127" s="22" t="str">
        <f t="shared" si="129"/>
        <v>#DIV/0!</v>
      </c>
      <c r="AH127" s="22" t="str">
        <f t="shared" si="129"/>
        <v>#DIV/0!</v>
      </c>
      <c r="AI127" s="22" t="str">
        <f t="shared" si="129"/>
        <v>#DIV/0!</v>
      </c>
      <c r="AJ127" s="22"/>
      <c r="AK127" s="22"/>
      <c r="AL127" s="22"/>
      <c r="AM127" s="22"/>
    </row>
    <row r="128">
      <c r="A128" s="13" t="s">
        <v>20</v>
      </c>
      <c r="B128" s="26">
        <v>45965.0</v>
      </c>
      <c r="C128" s="13" t="s">
        <v>24</v>
      </c>
      <c r="D128" s="13">
        <v>5.3</v>
      </c>
      <c r="E128" s="13" t="s">
        <v>27</v>
      </c>
      <c r="F128" s="13">
        <v>2.0</v>
      </c>
      <c r="G128" s="13" t="s">
        <v>37</v>
      </c>
      <c r="H128" s="23">
        <v>9.5399</v>
      </c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22"/>
      <c r="AD128" s="22" t="str">
        <f t="shared" ref="AD128:AI128" si="130">AVERAGE(L128,R128,X128)</f>
        <v>#DIV/0!</v>
      </c>
      <c r="AE128" s="22" t="str">
        <f t="shared" si="130"/>
        <v>#DIV/0!</v>
      </c>
      <c r="AF128" s="22" t="str">
        <f t="shared" si="130"/>
        <v>#DIV/0!</v>
      </c>
      <c r="AG128" s="22" t="str">
        <f t="shared" si="130"/>
        <v>#DIV/0!</v>
      </c>
      <c r="AH128" s="22" t="str">
        <f t="shared" si="130"/>
        <v>#DIV/0!</v>
      </c>
      <c r="AI128" s="22" t="str">
        <f t="shared" si="130"/>
        <v>#DIV/0!</v>
      </c>
      <c r="AJ128" s="22"/>
      <c r="AK128" s="22"/>
      <c r="AL128" s="22"/>
      <c r="AM128" s="22"/>
    </row>
    <row r="129">
      <c r="A129" s="13" t="s">
        <v>20</v>
      </c>
      <c r="B129" s="26">
        <v>45965.0</v>
      </c>
      <c r="C129" s="13" t="s">
        <v>24</v>
      </c>
      <c r="D129" s="13">
        <v>5.4</v>
      </c>
      <c r="E129" s="13" t="s">
        <v>27</v>
      </c>
      <c r="F129" s="13">
        <v>2.0</v>
      </c>
      <c r="G129" s="13" t="s">
        <v>37</v>
      </c>
      <c r="H129" s="23">
        <v>9.7351</v>
      </c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22"/>
      <c r="AD129" s="22" t="str">
        <f t="shared" ref="AD129:AI129" si="131">AVERAGE(L129,R129,X129)</f>
        <v>#DIV/0!</v>
      </c>
      <c r="AE129" s="22" t="str">
        <f t="shared" si="131"/>
        <v>#DIV/0!</v>
      </c>
      <c r="AF129" s="22" t="str">
        <f t="shared" si="131"/>
        <v>#DIV/0!</v>
      </c>
      <c r="AG129" s="22" t="str">
        <f t="shared" si="131"/>
        <v>#DIV/0!</v>
      </c>
      <c r="AH129" s="22" t="str">
        <f t="shared" si="131"/>
        <v>#DIV/0!</v>
      </c>
      <c r="AI129" s="22" t="str">
        <f t="shared" si="131"/>
        <v>#DIV/0!</v>
      </c>
      <c r="AJ129" s="22"/>
      <c r="AK129" s="22"/>
      <c r="AL129" s="22"/>
      <c r="AM129" s="22"/>
    </row>
    <row r="130">
      <c r="A130" s="13" t="s">
        <v>20</v>
      </c>
      <c r="B130" s="26">
        <v>45965.0</v>
      </c>
      <c r="C130" s="13" t="s">
        <v>24</v>
      </c>
      <c r="D130" s="13">
        <v>6.1</v>
      </c>
      <c r="E130" s="13" t="s">
        <v>27</v>
      </c>
      <c r="F130" s="13">
        <v>2.0</v>
      </c>
      <c r="G130" s="13" t="s">
        <v>37</v>
      </c>
      <c r="H130" s="23">
        <v>12.231</v>
      </c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22"/>
      <c r="AD130" s="22" t="str">
        <f t="shared" ref="AD130:AI130" si="132">AVERAGE(L130,R130,X130)</f>
        <v>#DIV/0!</v>
      </c>
      <c r="AE130" s="22" t="str">
        <f t="shared" si="132"/>
        <v>#DIV/0!</v>
      </c>
      <c r="AF130" s="22" t="str">
        <f t="shared" si="132"/>
        <v>#DIV/0!</v>
      </c>
      <c r="AG130" s="22" t="str">
        <f t="shared" si="132"/>
        <v>#DIV/0!</v>
      </c>
      <c r="AH130" s="22" t="str">
        <f t="shared" si="132"/>
        <v>#DIV/0!</v>
      </c>
      <c r="AI130" s="22" t="str">
        <f t="shared" si="132"/>
        <v>#DIV/0!</v>
      </c>
      <c r="AJ130" s="22"/>
      <c r="AK130" s="22"/>
      <c r="AL130" s="22"/>
      <c r="AM130" s="22"/>
    </row>
    <row r="131">
      <c r="A131" s="13" t="s">
        <v>20</v>
      </c>
      <c r="B131" s="26">
        <v>45965.0</v>
      </c>
      <c r="C131" s="13" t="s">
        <v>24</v>
      </c>
      <c r="D131" s="13">
        <v>6.2</v>
      </c>
      <c r="E131" s="13" t="s">
        <v>27</v>
      </c>
      <c r="F131" s="13">
        <v>2.0</v>
      </c>
      <c r="G131" s="13" t="s">
        <v>37</v>
      </c>
      <c r="H131" s="23">
        <v>11.7378</v>
      </c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22"/>
      <c r="AD131" s="22" t="str">
        <f t="shared" ref="AD131:AI131" si="133">AVERAGE(L131,R131,X131)</f>
        <v>#DIV/0!</v>
      </c>
      <c r="AE131" s="22" t="str">
        <f t="shared" si="133"/>
        <v>#DIV/0!</v>
      </c>
      <c r="AF131" s="22" t="str">
        <f t="shared" si="133"/>
        <v>#DIV/0!</v>
      </c>
      <c r="AG131" s="22" t="str">
        <f t="shared" si="133"/>
        <v>#DIV/0!</v>
      </c>
      <c r="AH131" s="22" t="str">
        <f t="shared" si="133"/>
        <v>#DIV/0!</v>
      </c>
      <c r="AI131" s="22" t="str">
        <f t="shared" si="133"/>
        <v>#DIV/0!</v>
      </c>
      <c r="AJ131" s="22"/>
      <c r="AK131" s="22"/>
      <c r="AL131" s="22"/>
      <c r="AM131" s="22"/>
    </row>
    <row r="132">
      <c r="A132" s="13" t="s">
        <v>20</v>
      </c>
      <c r="B132" s="26">
        <v>45965.0</v>
      </c>
      <c r="C132" s="13" t="s">
        <v>24</v>
      </c>
      <c r="D132" s="13">
        <v>6.3</v>
      </c>
      <c r="E132" s="13" t="s">
        <v>27</v>
      </c>
      <c r="F132" s="13">
        <v>2.0</v>
      </c>
      <c r="G132" s="13" t="s">
        <v>37</v>
      </c>
      <c r="H132" s="23">
        <v>11.6213</v>
      </c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22"/>
      <c r="AD132" s="22" t="str">
        <f t="shared" ref="AD132:AI132" si="134">AVERAGE(L132,R132,X132)</f>
        <v>#DIV/0!</v>
      </c>
      <c r="AE132" s="22" t="str">
        <f t="shared" si="134"/>
        <v>#DIV/0!</v>
      </c>
      <c r="AF132" s="22" t="str">
        <f t="shared" si="134"/>
        <v>#DIV/0!</v>
      </c>
      <c r="AG132" s="22" t="str">
        <f t="shared" si="134"/>
        <v>#DIV/0!</v>
      </c>
      <c r="AH132" s="22" t="str">
        <f t="shared" si="134"/>
        <v>#DIV/0!</v>
      </c>
      <c r="AI132" s="22" t="str">
        <f t="shared" si="134"/>
        <v>#DIV/0!</v>
      </c>
      <c r="AJ132" s="22"/>
      <c r="AK132" s="22"/>
      <c r="AL132" s="22"/>
      <c r="AM132" s="22"/>
    </row>
    <row r="133">
      <c r="A133" s="13" t="s">
        <v>20</v>
      </c>
      <c r="B133" s="26">
        <v>45965.0</v>
      </c>
      <c r="C133" s="13" t="s">
        <v>24</v>
      </c>
      <c r="D133" s="13">
        <v>6.4</v>
      </c>
      <c r="E133" s="13" t="s">
        <v>27</v>
      </c>
      <c r="F133" s="13">
        <v>2.0</v>
      </c>
      <c r="G133" s="13" t="s">
        <v>37</v>
      </c>
      <c r="H133" s="23">
        <v>11.0019</v>
      </c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 t="str">
        <f t="shared" ref="AD133:AI133" si="135">AVERAGE(L133,R133,X133)</f>
        <v>#DIV/0!</v>
      </c>
      <c r="AE133" s="22" t="str">
        <f t="shared" si="135"/>
        <v>#DIV/0!</v>
      </c>
      <c r="AF133" s="22" t="str">
        <f t="shared" si="135"/>
        <v>#DIV/0!</v>
      </c>
      <c r="AG133" s="22" t="str">
        <f t="shared" si="135"/>
        <v>#DIV/0!</v>
      </c>
      <c r="AH133" s="22" t="str">
        <f t="shared" si="135"/>
        <v>#DIV/0!</v>
      </c>
      <c r="AI133" s="22" t="str">
        <f t="shared" si="135"/>
        <v>#DIV/0!</v>
      </c>
      <c r="AJ133" s="22"/>
      <c r="AK133" s="22"/>
      <c r="AL133" s="22"/>
      <c r="AM133" s="22"/>
    </row>
    <row r="134">
      <c r="A134" s="13" t="s">
        <v>20</v>
      </c>
      <c r="B134" s="26">
        <v>45965.0</v>
      </c>
      <c r="C134" s="13" t="s">
        <v>25</v>
      </c>
      <c r="D134" s="13">
        <v>4.1</v>
      </c>
      <c r="E134" s="13" t="s">
        <v>27</v>
      </c>
      <c r="F134" s="13">
        <v>2.0</v>
      </c>
      <c r="G134" s="13" t="s">
        <v>37</v>
      </c>
      <c r="H134" s="23">
        <v>11.8916</v>
      </c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22"/>
      <c r="AD134" s="22" t="str">
        <f t="shared" ref="AD134:AI134" si="136">AVERAGE(L134,R134,X134)</f>
        <v>#DIV/0!</v>
      </c>
      <c r="AE134" s="22" t="str">
        <f t="shared" si="136"/>
        <v>#DIV/0!</v>
      </c>
      <c r="AF134" s="22" t="str">
        <f t="shared" si="136"/>
        <v>#DIV/0!</v>
      </c>
      <c r="AG134" s="22" t="str">
        <f t="shared" si="136"/>
        <v>#DIV/0!</v>
      </c>
      <c r="AH134" s="22" t="str">
        <f t="shared" si="136"/>
        <v>#DIV/0!</v>
      </c>
      <c r="AI134" s="22" t="str">
        <f t="shared" si="136"/>
        <v>#DIV/0!</v>
      </c>
      <c r="AJ134" s="22"/>
      <c r="AK134" s="22"/>
      <c r="AL134" s="22"/>
      <c r="AM134" s="22"/>
    </row>
    <row r="135">
      <c r="A135" s="13" t="s">
        <v>20</v>
      </c>
      <c r="B135" s="26">
        <v>45965.0</v>
      </c>
      <c r="C135" s="13" t="s">
        <v>25</v>
      </c>
      <c r="D135" s="13">
        <v>4.2</v>
      </c>
      <c r="E135" s="13" t="s">
        <v>27</v>
      </c>
      <c r="F135" s="13">
        <v>2.0</v>
      </c>
      <c r="G135" s="13" t="s">
        <v>37</v>
      </c>
      <c r="H135" s="23">
        <v>10.2085</v>
      </c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22"/>
      <c r="AD135" s="22" t="str">
        <f t="shared" ref="AD135:AI135" si="137">AVERAGE(L135,R135,X135)</f>
        <v>#DIV/0!</v>
      </c>
      <c r="AE135" s="22" t="str">
        <f t="shared" si="137"/>
        <v>#DIV/0!</v>
      </c>
      <c r="AF135" s="22" t="str">
        <f t="shared" si="137"/>
        <v>#DIV/0!</v>
      </c>
      <c r="AG135" s="22" t="str">
        <f t="shared" si="137"/>
        <v>#DIV/0!</v>
      </c>
      <c r="AH135" s="22" t="str">
        <f t="shared" si="137"/>
        <v>#DIV/0!</v>
      </c>
      <c r="AI135" s="22" t="str">
        <f t="shared" si="137"/>
        <v>#DIV/0!</v>
      </c>
      <c r="AJ135" s="22"/>
      <c r="AK135" s="22"/>
      <c r="AL135" s="22"/>
      <c r="AM135" s="22"/>
    </row>
    <row r="136">
      <c r="A136" s="13" t="s">
        <v>20</v>
      </c>
      <c r="B136" s="26">
        <v>45965.0</v>
      </c>
      <c r="C136" s="13" t="s">
        <v>25</v>
      </c>
      <c r="D136" s="13">
        <v>4.3</v>
      </c>
      <c r="E136" s="13" t="s">
        <v>27</v>
      </c>
      <c r="F136" s="13">
        <v>2.0</v>
      </c>
      <c r="G136" s="13" t="s">
        <v>37</v>
      </c>
      <c r="H136" s="23">
        <v>12.3264</v>
      </c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22"/>
      <c r="Y136" s="22"/>
      <c r="Z136" s="22"/>
      <c r="AA136" s="22"/>
      <c r="AB136" s="22"/>
      <c r="AC136" s="22"/>
      <c r="AD136" s="22" t="str">
        <f t="shared" ref="AD136:AI136" si="138">AVERAGE(L136,R136,X136)</f>
        <v>#DIV/0!</v>
      </c>
      <c r="AE136" s="22" t="str">
        <f t="shared" si="138"/>
        <v>#DIV/0!</v>
      </c>
      <c r="AF136" s="22" t="str">
        <f t="shared" si="138"/>
        <v>#DIV/0!</v>
      </c>
      <c r="AG136" s="22" t="str">
        <f t="shared" si="138"/>
        <v>#DIV/0!</v>
      </c>
      <c r="AH136" s="22" t="str">
        <f t="shared" si="138"/>
        <v>#DIV/0!</v>
      </c>
      <c r="AI136" s="22" t="str">
        <f t="shared" si="138"/>
        <v>#DIV/0!</v>
      </c>
      <c r="AJ136" s="22"/>
      <c r="AK136" s="22"/>
      <c r="AL136" s="22"/>
      <c r="AM136" s="22"/>
    </row>
    <row r="137">
      <c r="A137" s="13" t="s">
        <v>20</v>
      </c>
      <c r="B137" s="26">
        <v>45965.0</v>
      </c>
      <c r="C137" s="13" t="s">
        <v>25</v>
      </c>
      <c r="D137" s="13">
        <v>4.4</v>
      </c>
      <c r="E137" s="13" t="s">
        <v>27</v>
      </c>
      <c r="F137" s="13">
        <v>2.0</v>
      </c>
      <c r="G137" s="13" t="s">
        <v>37</v>
      </c>
      <c r="H137" s="23">
        <v>11.0514</v>
      </c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22"/>
      <c r="Y137" s="22"/>
      <c r="Z137" s="22"/>
      <c r="AA137" s="22"/>
      <c r="AB137" s="22"/>
      <c r="AC137" s="22"/>
      <c r="AD137" s="22" t="str">
        <f t="shared" ref="AD137:AI137" si="139">AVERAGE(L137,R137,X137)</f>
        <v>#DIV/0!</v>
      </c>
      <c r="AE137" s="22" t="str">
        <f t="shared" si="139"/>
        <v>#DIV/0!</v>
      </c>
      <c r="AF137" s="22" t="str">
        <f t="shared" si="139"/>
        <v>#DIV/0!</v>
      </c>
      <c r="AG137" s="22" t="str">
        <f t="shared" si="139"/>
        <v>#DIV/0!</v>
      </c>
      <c r="AH137" s="22" t="str">
        <f t="shared" si="139"/>
        <v>#DIV/0!</v>
      </c>
      <c r="AI137" s="22" t="str">
        <f t="shared" si="139"/>
        <v>#DIV/0!</v>
      </c>
      <c r="AJ137" s="22"/>
      <c r="AK137" s="22"/>
      <c r="AL137" s="22"/>
      <c r="AM137" s="22"/>
    </row>
    <row r="138">
      <c r="A138" s="13" t="s">
        <v>20</v>
      </c>
      <c r="B138" s="26">
        <v>45965.0</v>
      </c>
      <c r="C138" s="13" t="s">
        <v>25</v>
      </c>
      <c r="D138" s="13">
        <v>5.1</v>
      </c>
      <c r="E138" s="13" t="s">
        <v>27</v>
      </c>
      <c r="F138" s="13">
        <v>2.0</v>
      </c>
      <c r="G138" s="13" t="s">
        <v>37</v>
      </c>
      <c r="H138" s="23">
        <v>9.4504</v>
      </c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22"/>
      <c r="Y138" s="22"/>
      <c r="Z138" s="22"/>
      <c r="AA138" s="22"/>
      <c r="AB138" s="22"/>
      <c r="AC138" s="22"/>
      <c r="AD138" s="22" t="str">
        <f t="shared" ref="AD138:AI138" si="140">AVERAGE(L138,R138,X138)</f>
        <v>#DIV/0!</v>
      </c>
      <c r="AE138" s="22" t="str">
        <f t="shared" si="140"/>
        <v>#DIV/0!</v>
      </c>
      <c r="AF138" s="22" t="str">
        <f t="shared" si="140"/>
        <v>#DIV/0!</v>
      </c>
      <c r="AG138" s="22" t="str">
        <f t="shared" si="140"/>
        <v>#DIV/0!</v>
      </c>
      <c r="AH138" s="22" t="str">
        <f t="shared" si="140"/>
        <v>#DIV/0!</v>
      </c>
      <c r="AI138" s="22" t="str">
        <f t="shared" si="140"/>
        <v>#DIV/0!</v>
      </c>
      <c r="AJ138" s="22"/>
      <c r="AK138" s="22"/>
      <c r="AL138" s="22"/>
      <c r="AM138" s="22"/>
    </row>
    <row r="139">
      <c r="A139" s="13" t="s">
        <v>20</v>
      </c>
      <c r="B139" s="26">
        <v>45965.0</v>
      </c>
      <c r="C139" s="13" t="s">
        <v>25</v>
      </c>
      <c r="D139" s="13">
        <v>5.2</v>
      </c>
      <c r="E139" s="13" t="s">
        <v>27</v>
      </c>
      <c r="F139" s="13">
        <v>2.0</v>
      </c>
      <c r="G139" s="13" t="s">
        <v>37</v>
      </c>
      <c r="H139" s="23">
        <v>9.2295</v>
      </c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22"/>
      <c r="Y139" s="22"/>
      <c r="Z139" s="22"/>
      <c r="AA139" s="22"/>
      <c r="AB139" s="22"/>
      <c r="AC139" s="22"/>
      <c r="AD139" s="22" t="str">
        <f t="shared" ref="AD139:AI139" si="141">AVERAGE(L139,R139,X139)</f>
        <v>#DIV/0!</v>
      </c>
      <c r="AE139" s="22" t="str">
        <f t="shared" si="141"/>
        <v>#DIV/0!</v>
      </c>
      <c r="AF139" s="22" t="str">
        <f t="shared" si="141"/>
        <v>#DIV/0!</v>
      </c>
      <c r="AG139" s="22" t="str">
        <f t="shared" si="141"/>
        <v>#DIV/0!</v>
      </c>
      <c r="AH139" s="22" t="str">
        <f t="shared" si="141"/>
        <v>#DIV/0!</v>
      </c>
      <c r="AI139" s="22" t="str">
        <f t="shared" si="141"/>
        <v>#DIV/0!</v>
      </c>
      <c r="AJ139" s="22"/>
      <c r="AK139" s="22"/>
      <c r="AL139" s="22"/>
      <c r="AM139" s="22"/>
    </row>
    <row r="140">
      <c r="A140" s="13" t="s">
        <v>20</v>
      </c>
      <c r="B140" s="26">
        <v>45965.0</v>
      </c>
      <c r="C140" s="13" t="s">
        <v>25</v>
      </c>
      <c r="D140" s="13">
        <v>5.3</v>
      </c>
      <c r="E140" s="13" t="s">
        <v>27</v>
      </c>
      <c r="F140" s="13">
        <v>2.0</v>
      </c>
      <c r="G140" s="13" t="s">
        <v>37</v>
      </c>
      <c r="H140" s="23">
        <v>9.7777</v>
      </c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 t="str">
        <f t="shared" ref="AD140:AI140" si="142">AVERAGE(L140,R140,X140)</f>
        <v>#DIV/0!</v>
      </c>
      <c r="AE140" s="22" t="str">
        <f t="shared" si="142"/>
        <v>#DIV/0!</v>
      </c>
      <c r="AF140" s="22" t="str">
        <f t="shared" si="142"/>
        <v>#DIV/0!</v>
      </c>
      <c r="AG140" s="22" t="str">
        <f t="shared" si="142"/>
        <v>#DIV/0!</v>
      </c>
      <c r="AH140" s="22" t="str">
        <f t="shared" si="142"/>
        <v>#DIV/0!</v>
      </c>
      <c r="AI140" s="22" t="str">
        <f t="shared" si="142"/>
        <v>#DIV/0!</v>
      </c>
      <c r="AJ140" s="22"/>
      <c r="AK140" s="22"/>
      <c r="AL140" s="22"/>
      <c r="AM140" s="22"/>
    </row>
    <row r="141">
      <c r="A141" s="13" t="s">
        <v>20</v>
      </c>
      <c r="B141" s="26">
        <v>45965.0</v>
      </c>
      <c r="C141" s="13" t="s">
        <v>25</v>
      </c>
      <c r="D141" s="13">
        <v>5.4</v>
      </c>
      <c r="E141" s="13" t="s">
        <v>27</v>
      </c>
      <c r="F141" s="13">
        <v>2.0</v>
      </c>
      <c r="G141" s="13" t="s">
        <v>37</v>
      </c>
      <c r="H141" s="23">
        <v>10.5838</v>
      </c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22"/>
      <c r="Y141" s="22"/>
      <c r="Z141" s="22"/>
      <c r="AA141" s="22"/>
      <c r="AB141" s="22"/>
      <c r="AC141" s="22"/>
      <c r="AD141" s="22" t="str">
        <f t="shared" ref="AD141:AI141" si="143">AVERAGE(L141,R141,X141)</f>
        <v>#DIV/0!</v>
      </c>
      <c r="AE141" s="22" t="str">
        <f t="shared" si="143"/>
        <v>#DIV/0!</v>
      </c>
      <c r="AF141" s="22" t="str">
        <f t="shared" si="143"/>
        <v>#DIV/0!</v>
      </c>
      <c r="AG141" s="22" t="str">
        <f t="shared" si="143"/>
        <v>#DIV/0!</v>
      </c>
      <c r="AH141" s="22" t="str">
        <f t="shared" si="143"/>
        <v>#DIV/0!</v>
      </c>
      <c r="AI141" s="22" t="str">
        <f t="shared" si="143"/>
        <v>#DIV/0!</v>
      </c>
      <c r="AJ141" s="22"/>
      <c r="AK141" s="22"/>
      <c r="AL141" s="22"/>
      <c r="AM141" s="22"/>
    </row>
    <row r="142">
      <c r="A142" s="13" t="s">
        <v>20</v>
      </c>
      <c r="B142" s="26">
        <v>45965.0</v>
      </c>
      <c r="C142" s="13" t="s">
        <v>25</v>
      </c>
      <c r="D142" s="13">
        <v>6.1</v>
      </c>
      <c r="E142" s="13" t="s">
        <v>27</v>
      </c>
      <c r="F142" s="13">
        <v>2.0</v>
      </c>
      <c r="G142" s="13" t="s">
        <v>37</v>
      </c>
      <c r="H142" s="23">
        <v>10.2668</v>
      </c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22"/>
      <c r="Y142" s="22"/>
      <c r="Z142" s="22"/>
      <c r="AA142" s="22"/>
      <c r="AB142" s="22"/>
      <c r="AC142" s="22"/>
      <c r="AD142" s="22" t="str">
        <f t="shared" ref="AD142:AI142" si="144">AVERAGE(L142,R142,X142)</f>
        <v>#DIV/0!</v>
      </c>
      <c r="AE142" s="22" t="str">
        <f t="shared" si="144"/>
        <v>#DIV/0!</v>
      </c>
      <c r="AF142" s="22" t="str">
        <f t="shared" si="144"/>
        <v>#DIV/0!</v>
      </c>
      <c r="AG142" s="22" t="str">
        <f t="shared" si="144"/>
        <v>#DIV/0!</v>
      </c>
      <c r="AH142" s="22" t="str">
        <f t="shared" si="144"/>
        <v>#DIV/0!</v>
      </c>
      <c r="AI142" s="22" t="str">
        <f t="shared" si="144"/>
        <v>#DIV/0!</v>
      </c>
      <c r="AJ142" s="22"/>
      <c r="AK142" s="22"/>
      <c r="AL142" s="22"/>
      <c r="AM142" s="22"/>
    </row>
    <row r="143">
      <c r="A143" s="13" t="s">
        <v>20</v>
      </c>
      <c r="B143" s="26">
        <v>45965.0</v>
      </c>
      <c r="C143" s="13" t="s">
        <v>25</v>
      </c>
      <c r="D143" s="13">
        <v>6.2</v>
      </c>
      <c r="E143" s="13" t="s">
        <v>27</v>
      </c>
      <c r="F143" s="13">
        <v>2.0</v>
      </c>
      <c r="G143" s="13" t="s">
        <v>37</v>
      </c>
      <c r="H143" s="23">
        <v>14.3632</v>
      </c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22"/>
      <c r="Y143" s="22"/>
      <c r="Z143" s="22"/>
      <c r="AA143" s="22"/>
      <c r="AB143" s="22"/>
      <c r="AC143" s="22"/>
      <c r="AD143" s="22" t="str">
        <f t="shared" ref="AD143:AI143" si="145">AVERAGE(L143,R143,X143)</f>
        <v>#DIV/0!</v>
      </c>
      <c r="AE143" s="22" t="str">
        <f t="shared" si="145"/>
        <v>#DIV/0!</v>
      </c>
      <c r="AF143" s="22" t="str">
        <f t="shared" si="145"/>
        <v>#DIV/0!</v>
      </c>
      <c r="AG143" s="22" t="str">
        <f t="shared" si="145"/>
        <v>#DIV/0!</v>
      </c>
      <c r="AH143" s="22" t="str">
        <f t="shared" si="145"/>
        <v>#DIV/0!</v>
      </c>
      <c r="AI143" s="22" t="str">
        <f t="shared" si="145"/>
        <v>#DIV/0!</v>
      </c>
      <c r="AJ143" s="22"/>
      <c r="AK143" s="22"/>
      <c r="AL143" s="22"/>
      <c r="AM143" s="22"/>
    </row>
    <row r="144">
      <c r="A144" s="13" t="s">
        <v>20</v>
      </c>
      <c r="B144" s="26">
        <v>45965.0</v>
      </c>
      <c r="C144" s="13" t="s">
        <v>25</v>
      </c>
      <c r="D144" s="13">
        <v>6.3</v>
      </c>
      <c r="E144" s="13" t="s">
        <v>27</v>
      </c>
      <c r="F144" s="13">
        <v>2.0</v>
      </c>
      <c r="G144" s="13" t="s">
        <v>37</v>
      </c>
      <c r="H144" s="23">
        <v>12.8516</v>
      </c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22"/>
      <c r="Y144" s="22"/>
      <c r="Z144" s="22"/>
      <c r="AA144" s="22"/>
      <c r="AB144" s="22"/>
      <c r="AC144" s="22"/>
      <c r="AD144" s="22" t="str">
        <f t="shared" ref="AD144:AI144" si="146">AVERAGE(L144,R144,X144)</f>
        <v>#DIV/0!</v>
      </c>
      <c r="AE144" s="22" t="str">
        <f t="shared" si="146"/>
        <v>#DIV/0!</v>
      </c>
      <c r="AF144" s="22" t="str">
        <f t="shared" si="146"/>
        <v>#DIV/0!</v>
      </c>
      <c r="AG144" s="22" t="str">
        <f t="shared" si="146"/>
        <v>#DIV/0!</v>
      </c>
      <c r="AH144" s="22" t="str">
        <f t="shared" si="146"/>
        <v>#DIV/0!</v>
      </c>
      <c r="AI144" s="22" t="str">
        <f t="shared" si="146"/>
        <v>#DIV/0!</v>
      </c>
      <c r="AJ144" s="22"/>
      <c r="AK144" s="22"/>
      <c r="AL144" s="22"/>
      <c r="AM144" s="22"/>
    </row>
    <row r="145">
      <c r="A145" s="13" t="s">
        <v>20</v>
      </c>
      <c r="B145" s="26">
        <v>45965.0</v>
      </c>
      <c r="C145" s="13" t="s">
        <v>25</v>
      </c>
      <c r="D145" s="13">
        <v>6.4</v>
      </c>
      <c r="E145" s="13" t="s">
        <v>27</v>
      </c>
      <c r="F145" s="13">
        <v>2.0</v>
      </c>
      <c r="G145" s="13" t="s">
        <v>37</v>
      </c>
      <c r="H145" s="23">
        <v>13.9924</v>
      </c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22"/>
      <c r="Y145" s="22"/>
      <c r="Z145" s="22"/>
      <c r="AA145" s="22"/>
      <c r="AB145" s="22"/>
      <c r="AC145" s="22"/>
      <c r="AD145" s="22" t="str">
        <f t="shared" ref="AD145:AI145" si="147">AVERAGE(L145,R145,X145)</f>
        <v>#DIV/0!</v>
      </c>
      <c r="AE145" s="22" t="str">
        <f t="shared" si="147"/>
        <v>#DIV/0!</v>
      </c>
      <c r="AF145" s="22" t="str">
        <f t="shared" si="147"/>
        <v>#DIV/0!</v>
      </c>
      <c r="AG145" s="22" t="str">
        <f t="shared" si="147"/>
        <v>#DIV/0!</v>
      </c>
      <c r="AH145" s="22" t="str">
        <f t="shared" si="147"/>
        <v>#DIV/0!</v>
      </c>
      <c r="AI145" s="22" t="str">
        <f t="shared" si="147"/>
        <v>#DIV/0!</v>
      </c>
      <c r="AJ145" s="22"/>
      <c r="AK145" s="22"/>
      <c r="AL145" s="22"/>
      <c r="AM145" s="22"/>
    </row>
  </sheetData>
  <dataValidations>
    <dataValidation type="list" allowBlank="1" showErrorMessage="1" sqref="C2:C145">
      <formula1>"Mcav,Ofav,Pcli"</formula1>
    </dataValidation>
    <dataValidation type="list" allowBlank="1" showErrorMessage="1" sqref="E2:E145">
      <formula1>"PBR,PBC"</formula1>
    </dataValidation>
    <dataValidation type="list" allowBlank="1" showErrorMessage="1" sqref="G2:G145">
      <formula1>"Before R2,Before MO,After MO"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9.38"/>
    <col customWidth="1" min="4" max="4" width="7.63"/>
    <col customWidth="1" min="6" max="6" width="3.63"/>
    <col customWidth="1" min="7" max="7" width="14.0"/>
    <col customWidth="1" min="9" max="9" width="20.88"/>
    <col customWidth="1" min="10" max="10" width="14.13"/>
    <col customWidth="1" min="11" max="11" width="15.38"/>
    <col customWidth="1" min="12" max="12" width="13.63"/>
    <col customWidth="1" min="13" max="13" width="16.88"/>
    <col customWidth="1" min="14" max="14" width="15.25"/>
    <col customWidth="1" min="15" max="15" width="15.63"/>
    <col customWidth="1" min="16" max="17" width="14.0"/>
  </cols>
  <sheetData>
    <row r="1">
      <c r="A1" s="13" t="s">
        <v>38</v>
      </c>
      <c r="B1" s="15" t="s">
        <v>39</v>
      </c>
      <c r="C1" s="15" t="s">
        <v>40</v>
      </c>
      <c r="D1" s="15" t="s">
        <v>41</v>
      </c>
      <c r="E1" s="15" t="s">
        <v>42</v>
      </c>
      <c r="F1" s="51" t="s">
        <v>43</v>
      </c>
      <c r="G1" s="51" t="s">
        <v>44</v>
      </c>
      <c r="H1" s="51" t="s">
        <v>45</v>
      </c>
      <c r="I1" s="15" t="s">
        <v>46</v>
      </c>
      <c r="J1" s="15" t="s">
        <v>47</v>
      </c>
      <c r="K1" s="15" t="s">
        <v>48</v>
      </c>
      <c r="L1" s="15" t="s">
        <v>49</v>
      </c>
      <c r="M1" s="15" t="s">
        <v>50</v>
      </c>
      <c r="N1" s="15" t="s">
        <v>51</v>
      </c>
      <c r="O1" s="15" t="s">
        <v>52</v>
      </c>
      <c r="P1" s="15" t="s">
        <v>53</v>
      </c>
      <c r="Q1" s="15" t="s">
        <v>18</v>
      </c>
    </row>
    <row r="2">
      <c r="A2" s="13" t="s">
        <v>19</v>
      </c>
      <c r="B2" s="14">
        <v>45441.0</v>
      </c>
      <c r="C2" s="15" t="s">
        <v>21</v>
      </c>
      <c r="D2" s="16">
        <v>1.1</v>
      </c>
      <c r="E2" s="15" t="s">
        <v>22</v>
      </c>
      <c r="F2" s="17">
        <v>1.0</v>
      </c>
      <c r="G2" s="51" t="s">
        <v>54</v>
      </c>
      <c r="H2" s="19">
        <v>22.512</v>
      </c>
      <c r="I2" s="19">
        <v>5.689</v>
      </c>
      <c r="J2" s="19">
        <v>0.044</v>
      </c>
      <c r="K2" s="19">
        <v>155.716</v>
      </c>
      <c r="L2" s="19">
        <v>24.501</v>
      </c>
      <c r="M2" s="19">
        <v>131.072</v>
      </c>
      <c r="N2" s="19">
        <v>26.207</v>
      </c>
      <c r="O2" s="19">
        <v>86.806</v>
      </c>
      <c r="P2" s="19">
        <v>30.147</v>
      </c>
      <c r="Q2" s="15"/>
    </row>
    <row r="3">
      <c r="A3" s="13" t="s">
        <v>19</v>
      </c>
      <c r="B3" s="14">
        <v>45441.0</v>
      </c>
      <c r="C3" s="15" t="s">
        <v>21</v>
      </c>
      <c r="D3" s="16">
        <v>1.2</v>
      </c>
      <c r="E3" s="15" t="s">
        <v>22</v>
      </c>
      <c r="F3" s="17">
        <v>1.0</v>
      </c>
      <c r="G3" s="51" t="s">
        <v>54</v>
      </c>
      <c r="H3" s="19">
        <v>22.297</v>
      </c>
      <c r="I3" s="19">
        <v>5.877</v>
      </c>
      <c r="J3" s="19">
        <v>0.103</v>
      </c>
      <c r="K3" s="19">
        <v>150.55</v>
      </c>
      <c r="L3" s="19">
        <v>27.282</v>
      </c>
      <c r="M3" s="19">
        <v>134.261</v>
      </c>
      <c r="N3" s="19">
        <v>29.019</v>
      </c>
      <c r="O3" s="19">
        <v>86.761</v>
      </c>
      <c r="P3" s="19">
        <v>33.042</v>
      </c>
      <c r="Q3" s="15"/>
    </row>
    <row r="4">
      <c r="A4" s="13" t="s">
        <v>19</v>
      </c>
      <c r="B4" s="14">
        <v>45441.0</v>
      </c>
      <c r="C4" s="15" t="s">
        <v>21</v>
      </c>
      <c r="D4" s="16">
        <v>1.3</v>
      </c>
      <c r="E4" s="15" t="s">
        <v>22</v>
      </c>
      <c r="F4" s="17">
        <v>1.0</v>
      </c>
      <c r="G4" s="51" t="s">
        <v>54</v>
      </c>
      <c r="H4" s="19">
        <v>22.7</v>
      </c>
      <c r="I4" s="19">
        <v>6.448</v>
      </c>
      <c r="J4" s="19">
        <v>0.066</v>
      </c>
      <c r="K4" s="16">
        <v>153.479</v>
      </c>
      <c r="L4" s="19">
        <v>22.942</v>
      </c>
      <c r="M4" s="19">
        <v>134.975</v>
      </c>
      <c r="N4" s="19">
        <v>23.445</v>
      </c>
      <c r="O4" s="19">
        <v>93.727</v>
      </c>
      <c r="P4" s="19">
        <v>30.027</v>
      </c>
      <c r="Q4" s="15"/>
    </row>
    <row r="5">
      <c r="A5" s="13" t="s">
        <v>19</v>
      </c>
      <c r="B5" s="14">
        <v>45441.0</v>
      </c>
      <c r="C5" s="15" t="s">
        <v>21</v>
      </c>
      <c r="D5" s="16">
        <v>1.4</v>
      </c>
      <c r="E5" s="52" t="s">
        <v>22</v>
      </c>
      <c r="F5" s="17">
        <v>1.0</v>
      </c>
      <c r="G5" s="51" t="s">
        <v>54</v>
      </c>
      <c r="H5" s="19">
        <v>20.917</v>
      </c>
      <c r="I5" s="19">
        <v>6.251</v>
      </c>
      <c r="J5" s="19">
        <v>0.041</v>
      </c>
      <c r="K5" s="19">
        <v>148.467</v>
      </c>
      <c r="L5" s="19">
        <v>25.017</v>
      </c>
      <c r="M5" s="19">
        <v>122.47</v>
      </c>
      <c r="N5" s="19">
        <v>27.932</v>
      </c>
      <c r="O5" s="19">
        <v>72.137</v>
      </c>
      <c r="P5" s="19">
        <v>29.983</v>
      </c>
      <c r="Q5" s="15"/>
    </row>
    <row r="6">
      <c r="A6" s="13" t="s">
        <v>19</v>
      </c>
      <c r="B6" s="14">
        <v>45441.0</v>
      </c>
      <c r="C6" s="15" t="s">
        <v>21</v>
      </c>
      <c r="D6" s="16">
        <v>2.1</v>
      </c>
      <c r="E6" s="15" t="s">
        <v>22</v>
      </c>
      <c r="F6" s="17">
        <v>1.0</v>
      </c>
      <c r="G6" s="51" t="s">
        <v>54</v>
      </c>
      <c r="H6" s="19">
        <v>15.396</v>
      </c>
      <c r="I6" s="19">
        <v>2.942</v>
      </c>
      <c r="J6" s="19">
        <v>0.021</v>
      </c>
      <c r="K6" s="19">
        <v>246.119</v>
      </c>
      <c r="L6" s="19">
        <v>24.654</v>
      </c>
      <c r="M6" s="19">
        <v>120.72</v>
      </c>
      <c r="N6" s="19">
        <v>26.639</v>
      </c>
      <c r="O6" s="19">
        <v>79.608</v>
      </c>
      <c r="P6" s="19">
        <v>27.658</v>
      </c>
      <c r="Q6" s="15"/>
    </row>
    <row r="7">
      <c r="A7" s="13" t="s">
        <v>19</v>
      </c>
      <c r="B7" s="14">
        <v>45441.0</v>
      </c>
      <c r="C7" s="15" t="s">
        <v>21</v>
      </c>
      <c r="D7" s="16">
        <v>2.2</v>
      </c>
      <c r="E7" s="15" t="s">
        <v>22</v>
      </c>
      <c r="F7" s="17">
        <v>1.0</v>
      </c>
      <c r="G7" s="51" t="s">
        <v>54</v>
      </c>
      <c r="H7" s="19">
        <v>15.808</v>
      </c>
      <c r="I7" s="19">
        <v>3.958</v>
      </c>
      <c r="J7" s="19">
        <v>0.015</v>
      </c>
      <c r="K7" s="19">
        <v>158.625</v>
      </c>
      <c r="L7" s="19">
        <v>21.247</v>
      </c>
      <c r="M7" s="19">
        <v>131.432</v>
      </c>
      <c r="N7" s="19">
        <v>25.809</v>
      </c>
      <c r="O7" s="19">
        <v>80.519</v>
      </c>
      <c r="P7" s="19">
        <v>29.599</v>
      </c>
      <c r="Q7" s="15"/>
    </row>
    <row r="8">
      <c r="A8" s="13" t="s">
        <v>19</v>
      </c>
      <c r="B8" s="14">
        <v>45441.0</v>
      </c>
      <c r="C8" s="15" t="s">
        <v>21</v>
      </c>
      <c r="D8" s="16">
        <v>2.3</v>
      </c>
      <c r="E8" s="15" t="s">
        <v>22</v>
      </c>
      <c r="F8" s="17">
        <v>1.0</v>
      </c>
      <c r="G8" s="51" t="s">
        <v>54</v>
      </c>
      <c r="H8" s="19">
        <v>17.533</v>
      </c>
      <c r="I8" s="19">
        <v>3.382</v>
      </c>
      <c r="J8" s="19">
        <v>0.011</v>
      </c>
      <c r="K8" s="19">
        <v>150.82</v>
      </c>
      <c r="L8" s="19">
        <v>24.564</v>
      </c>
      <c r="M8" s="19">
        <v>124.504</v>
      </c>
      <c r="N8" s="19">
        <v>27.974</v>
      </c>
      <c r="O8" s="19">
        <v>75.868</v>
      </c>
      <c r="P8" s="19">
        <v>26.524</v>
      </c>
      <c r="Q8" s="53"/>
    </row>
    <row r="9">
      <c r="A9" s="13" t="s">
        <v>19</v>
      </c>
      <c r="B9" s="14">
        <v>45441.0</v>
      </c>
      <c r="C9" s="15" t="s">
        <v>21</v>
      </c>
      <c r="D9" s="16">
        <v>2.4</v>
      </c>
      <c r="E9" s="52" t="s">
        <v>22</v>
      </c>
      <c r="F9" s="17">
        <v>1.0</v>
      </c>
      <c r="G9" s="51" t="s">
        <v>54</v>
      </c>
      <c r="H9" s="19">
        <v>16.886</v>
      </c>
      <c r="I9" s="19">
        <v>3.461</v>
      </c>
      <c r="J9" s="19">
        <v>0.011</v>
      </c>
      <c r="K9" s="19">
        <v>156.347</v>
      </c>
      <c r="L9" s="19">
        <v>21.186</v>
      </c>
      <c r="M9" s="19">
        <v>130.678</v>
      </c>
      <c r="N9" s="19">
        <v>23.591</v>
      </c>
      <c r="O9" s="19">
        <v>77.784</v>
      </c>
      <c r="P9" s="19">
        <v>25.491</v>
      </c>
      <c r="Q9" s="15"/>
    </row>
    <row r="10">
      <c r="A10" s="13" t="s">
        <v>19</v>
      </c>
      <c r="B10" s="14">
        <v>45441.0</v>
      </c>
      <c r="C10" s="15" t="s">
        <v>21</v>
      </c>
      <c r="D10" s="16">
        <v>3.1</v>
      </c>
      <c r="E10" s="15" t="s">
        <v>22</v>
      </c>
      <c r="F10" s="17">
        <v>1.0</v>
      </c>
      <c r="G10" s="51" t="s">
        <v>54</v>
      </c>
      <c r="H10" s="19">
        <v>20.491</v>
      </c>
      <c r="I10" s="19">
        <v>4.544</v>
      </c>
      <c r="J10" s="19">
        <v>0.043</v>
      </c>
      <c r="K10" s="19">
        <v>135.05</v>
      </c>
      <c r="L10" s="19">
        <v>34.465</v>
      </c>
      <c r="M10" s="19">
        <v>166.918</v>
      </c>
      <c r="N10" s="19">
        <v>35.018</v>
      </c>
      <c r="O10" s="19">
        <v>77.427</v>
      </c>
      <c r="P10" s="19">
        <v>35.724</v>
      </c>
      <c r="Q10" s="15"/>
    </row>
    <row r="11">
      <c r="A11" s="13" t="s">
        <v>19</v>
      </c>
      <c r="B11" s="14">
        <v>45441.0</v>
      </c>
      <c r="C11" s="15" t="s">
        <v>21</v>
      </c>
      <c r="D11" s="16">
        <v>3.2</v>
      </c>
      <c r="E11" s="15" t="s">
        <v>22</v>
      </c>
      <c r="F11" s="17">
        <v>1.0</v>
      </c>
      <c r="G11" s="51" t="s">
        <v>54</v>
      </c>
      <c r="H11" s="19">
        <v>13.785</v>
      </c>
      <c r="I11" s="19">
        <v>4.09</v>
      </c>
      <c r="J11" s="19">
        <v>0.023</v>
      </c>
      <c r="K11" s="19">
        <v>132.56</v>
      </c>
      <c r="L11" s="19">
        <v>29.983</v>
      </c>
      <c r="M11" s="19">
        <v>115.541</v>
      </c>
      <c r="N11" s="19">
        <v>31.3346</v>
      </c>
      <c r="O11" s="19">
        <v>69.304</v>
      </c>
      <c r="P11" s="19">
        <v>31.68</v>
      </c>
      <c r="Q11" s="15"/>
    </row>
    <row r="12">
      <c r="A12" s="13" t="s">
        <v>19</v>
      </c>
      <c r="B12" s="14">
        <v>45441.0</v>
      </c>
      <c r="C12" s="15" t="s">
        <v>21</v>
      </c>
      <c r="D12" s="16">
        <v>3.3</v>
      </c>
      <c r="E12" s="15" t="s">
        <v>22</v>
      </c>
      <c r="F12" s="17">
        <v>1.0</v>
      </c>
      <c r="G12" s="51" t="s">
        <v>54</v>
      </c>
      <c r="H12" s="19">
        <v>16.607</v>
      </c>
      <c r="I12" s="19">
        <v>3.337</v>
      </c>
      <c r="J12" s="19">
        <v>0.022</v>
      </c>
      <c r="K12" s="19">
        <v>136.502</v>
      </c>
      <c r="L12" s="19">
        <v>31.502</v>
      </c>
      <c r="M12" s="19">
        <v>114.946</v>
      </c>
      <c r="N12" s="19">
        <v>32.692</v>
      </c>
      <c r="O12" s="19">
        <v>70.058</v>
      </c>
      <c r="P12" s="19">
        <v>32.246</v>
      </c>
      <c r="Q12" s="15"/>
    </row>
    <row r="13">
      <c r="A13" s="13" t="s">
        <v>19</v>
      </c>
      <c r="B13" s="14">
        <v>45441.0</v>
      </c>
      <c r="C13" s="15" t="s">
        <v>21</v>
      </c>
      <c r="D13" s="16">
        <v>3.4</v>
      </c>
      <c r="E13" s="52" t="s">
        <v>22</v>
      </c>
      <c r="F13" s="17">
        <v>1.0</v>
      </c>
      <c r="G13" s="51" t="s">
        <v>54</v>
      </c>
      <c r="H13" s="19">
        <v>17.348</v>
      </c>
      <c r="I13" s="19">
        <v>4.201</v>
      </c>
      <c r="J13" s="19">
        <v>0.15</v>
      </c>
      <c r="K13" s="19">
        <v>139.562</v>
      </c>
      <c r="L13" s="19">
        <v>28.924</v>
      </c>
      <c r="M13" s="19">
        <v>123.805</v>
      </c>
      <c r="N13" s="19">
        <v>29.876</v>
      </c>
      <c r="O13" s="19">
        <v>71.961</v>
      </c>
      <c r="P13" s="19">
        <v>33.654</v>
      </c>
      <c r="Q13" s="15"/>
    </row>
    <row r="14">
      <c r="A14" s="13" t="s">
        <v>19</v>
      </c>
      <c r="B14" s="14">
        <v>45441.0</v>
      </c>
      <c r="C14" s="15" t="s">
        <v>24</v>
      </c>
      <c r="D14" s="16">
        <v>1.1</v>
      </c>
      <c r="E14" s="15" t="s">
        <v>22</v>
      </c>
      <c r="F14" s="17">
        <v>1.0</v>
      </c>
      <c r="G14" s="51" t="s">
        <v>54</v>
      </c>
      <c r="H14" s="19">
        <v>19.145</v>
      </c>
      <c r="I14" s="19">
        <v>6.344</v>
      </c>
      <c r="J14" s="19">
        <v>0.042</v>
      </c>
      <c r="K14" s="19">
        <v>144.355</v>
      </c>
      <c r="L14" s="19">
        <v>18.835</v>
      </c>
      <c r="M14" s="19">
        <v>111.28</v>
      </c>
      <c r="N14" s="19">
        <v>19.699</v>
      </c>
      <c r="O14" s="19">
        <v>61.257</v>
      </c>
      <c r="P14" s="19">
        <v>21.62</v>
      </c>
      <c r="Q14" s="15"/>
    </row>
    <row r="15">
      <c r="A15" s="13" t="s">
        <v>19</v>
      </c>
      <c r="B15" s="14">
        <v>45441.0</v>
      </c>
      <c r="C15" s="15" t="s">
        <v>24</v>
      </c>
      <c r="D15" s="16">
        <v>1.2</v>
      </c>
      <c r="E15" s="15" t="s">
        <v>22</v>
      </c>
      <c r="F15" s="17">
        <v>1.0</v>
      </c>
      <c r="G15" s="51" t="s">
        <v>54</v>
      </c>
      <c r="H15" s="19">
        <v>18.071</v>
      </c>
      <c r="I15" s="19">
        <v>5.19</v>
      </c>
      <c r="J15" s="19">
        <v>0.04</v>
      </c>
      <c r="K15" s="19">
        <v>148.616</v>
      </c>
      <c r="L15" s="19">
        <v>19.274</v>
      </c>
      <c r="M15" s="19">
        <v>123.567</v>
      </c>
      <c r="N15" s="19">
        <v>17.777</v>
      </c>
      <c r="O15" s="19">
        <v>79.406</v>
      </c>
      <c r="P15" s="19">
        <v>22.587</v>
      </c>
      <c r="Q15" s="15"/>
    </row>
    <row r="16">
      <c r="A16" s="13" t="s">
        <v>19</v>
      </c>
      <c r="B16" s="14">
        <v>45441.0</v>
      </c>
      <c r="C16" s="15" t="s">
        <v>24</v>
      </c>
      <c r="D16" s="16">
        <v>1.3</v>
      </c>
      <c r="E16" s="15" t="s">
        <v>22</v>
      </c>
      <c r="F16" s="17">
        <v>1.0</v>
      </c>
      <c r="G16" s="51" t="s">
        <v>54</v>
      </c>
      <c r="H16" s="19">
        <v>14.898</v>
      </c>
      <c r="I16" s="19">
        <v>4.917</v>
      </c>
      <c r="J16" s="19">
        <v>0.063</v>
      </c>
      <c r="K16" s="19">
        <v>143.578</v>
      </c>
      <c r="L16" s="19">
        <v>13.737</v>
      </c>
      <c r="M16" s="19">
        <v>122.699</v>
      </c>
      <c r="N16" s="19">
        <v>15.975</v>
      </c>
      <c r="O16" s="19">
        <v>76.478</v>
      </c>
      <c r="P16" s="19">
        <v>22.402</v>
      </c>
      <c r="Q16" s="15"/>
    </row>
    <row r="17">
      <c r="A17" s="13" t="s">
        <v>19</v>
      </c>
      <c r="B17" s="14">
        <v>45441.0</v>
      </c>
      <c r="C17" s="15" t="s">
        <v>24</v>
      </c>
      <c r="D17" s="16">
        <v>1.4</v>
      </c>
      <c r="E17" s="52" t="s">
        <v>22</v>
      </c>
      <c r="F17" s="17">
        <v>1.0</v>
      </c>
      <c r="G17" s="51" t="s">
        <v>54</v>
      </c>
      <c r="H17" s="19">
        <v>16.542</v>
      </c>
      <c r="I17" s="19">
        <v>3.743</v>
      </c>
      <c r="J17" s="19">
        <v>0.018</v>
      </c>
      <c r="K17" s="19">
        <v>150.865</v>
      </c>
      <c r="L17" s="19">
        <v>13.481</v>
      </c>
      <c r="M17" s="19">
        <v>126.875</v>
      </c>
      <c r="N17" s="19">
        <v>14.942</v>
      </c>
      <c r="O17" s="19">
        <v>76.113</v>
      </c>
      <c r="P17" s="19">
        <v>19.953</v>
      </c>
      <c r="Q17" s="15"/>
    </row>
    <row r="18">
      <c r="A18" s="13" t="s">
        <v>19</v>
      </c>
      <c r="B18" s="14">
        <v>45441.0</v>
      </c>
      <c r="C18" s="15" t="s">
        <v>24</v>
      </c>
      <c r="D18" s="16">
        <v>2.1</v>
      </c>
      <c r="E18" s="15" t="s">
        <v>22</v>
      </c>
      <c r="F18" s="17">
        <v>1.0</v>
      </c>
      <c r="G18" s="51" t="s">
        <v>54</v>
      </c>
      <c r="H18" s="19">
        <v>10.784</v>
      </c>
      <c r="I18" s="19">
        <v>2.828</v>
      </c>
      <c r="J18" s="19">
        <v>0.051</v>
      </c>
      <c r="K18" s="19">
        <v>123.87</v>
      </c>
      <c r="L18" s="19">
        <v>18.266</v>
      </c>
      <c r="M18" s="19">
        <v>94.185</v>
      </c>
      <c r="N18" s="19">
        <v>19.741</v>
      </c>
      <c r="O18" s="19">
        <v>52.543</v>
      </c>
      <c r="P18" s="19">
        <v>20.783</v>
      </c>
      <c r="Q18" s="15"/>
    </row>
    <row r="19">
      <c r="A19" s="13" t="s">
        <v>19</v>
      </c>
      <c r="B19" s="14">
        <v>45441.0</v>
      </c>
      <c r="C19" s="15" t="s">
        <v>24</v>
      </c>
      <c r="D19" s="16">
        <v>2.2</v>
      </c>
      <c r="E19" s="15" t="s">
        <v>22</v>
      </c>
      <c r="F19" s="17">
        <v>1.0</v>
      </c>
      <c r="G19" s="51" t="s">
        <v>54</v>
      </c>
      <c r="H19" s="19">
        <v>14.865</v>
      </c>
      <c r="I19" s="19">
        <v>2.76</v>
      </c>
      <c r="J19" s="19">
        <v>0.079</v>
      </c>
      <c r="K19" s="19">
        <v>117.793</v>
      </c>
      <c r="L19" s="19">
        <v>15.438</v>
      </c>
      <c r="M19" s="19">
        <v>85.996</v>
      </c>
      <c r="N19" s="19">
        <v>16.73</v>
      </c>
      <c r="O19" s="19">
        <v>40.915</v>
      </c>
      <c r="P19" s="19">
        <v>17.479</v>
      </c>
      <c r="Q19" s="15"/>
    </row>
    <row r="20">
      <c r="A20" s="13" t="s">
        <v>19</v>
      </c>
      <c r="B20" s="14">
        <v>45441.0</v>
      </c>
      <c r="C20" s="15" t="s">
        <v>24</v>
      </c>
      <c r="D20" s="16">
        <v>2.3</v>
      </c>
      <c r="E20" s="15" t="s">
        <v>22</v>
      </c>
      <c r="F20" s="17">
        <v>1.0</v>
      </c>
      <c r="G20" s="51" t="s">
        <v>54</v>
      </c>
      <c r="H20" s="19">
        <v>15.552</v>
      </c>
      <c r="I20" s="19">
        <v>3.09</v>
      </c>
      <c r="J20" s="19">
        <v>0.024</v>
      </c>
      <c r="K20" s="19">
        <v>110.806</v>
      </c>
      <c r="L20" s="19">
        <v>16.841</v>
      </c>
      <c r="M20" s="19">
        <v>79.49</v>
      </c>
      <c r="N20" s="19">
        <v>16.145</v>
      </c>
      <c r="O20" s="19">
        <v>42.153</v>
      </c>
      <c r="P20" s="19">
        <v>13.824</v>
      </c>
      <c r="Q20" s="15"/>
    </row>
    <row r="21">
      <c r="A21" s="13" t="s">
        <v>19</v>
      </c>
      <c r="B21" s="14">
        <v>45441.0</v>
      </c>
      <c r="C21" s="15" t="s">
        <v>24</v>
      </c>
      <c r="D21" s="16">
        <v>2.4</v>
      </c>
      <c r="E21" s="52" t="s">
        <v>22</v>
      </c>
      <c r="F21" s="17">
        <v>1.0</v>
      </c>
      <c r="G21" s="51" t="s">
        <v>54</v>
      </c>
      <c r="H21" s="19">
        <v>14.915</v>
      </c>
      <c r="I21" s="19">
        <v>2.615</v>
      </c>
      <c r="J21" s="19">
        <v>0.023</v>
      </c>
      <c r="K21" s="19">
        <v>115.241</v>
      </c>
      <c r="L21" s="19">
        <v>18.277</v>
      </c>
      <c r="M21" s="19">
        <v>84.342</v>
      </c>
      <c r="N21" s="19">
        <v>20.204</v>
      </c>
      <c r="O21" s="19">
        <v>48.307</v>
      </c>
      <c r="P21" s="19">
        <v>22.227</v>
      </c>
      <c r="Q21" s="15"/>
    </row>
    <row r="22">
      <c r="A22" s="13" t="s">
        <v>19</v>
      </c>
      <c r="B22" s="14">
        <v>45441.0</v>
      </c>
      <c r="C22" s="15" t="s">
        <v>24</v>
      </c>
      <c r="D22" s="16">
        <v>3.1</v>
      </c>
      <c r="E22" s="15" t="s">
        <v>22</v>
      </c>
      <c r="F22" s="17">
        <v>1.0</v>
      </c>
      <c r="G22" s="51" t="s">
        <v>54</v>
      </c>
      <c r="H22" s="19">
        <v>15.766</v>
      </c>
      <c r="I22" s="19">
        <v>4.125</v>
      </c>
      <c r="J22" s="19">
        <v>0.021</v>
      </c>
      <c r="K22" s="19">
        <v>145.23</v>
      </c>
      <c r="L22" s="19">
        <v>15.933</v>
      </c>
      <c r="M22" s="19">
        <v>113.904</v>
      </c>
      <c r="N22" s="19">
        <v>19.035</v>
      </c>
      <c r="O22" s="19">
        <v>65.573</v>
      </c>
      <c r="P22" s="19">
        <v>22.836</v>
      </c>
      <c r="Q22" s="15"/>
    </row>
    <row r="23">
      <c r="A23" s="13" t="s">
        <v>19</v>
      </c>
      <c r="B23" s="14">
        <v>45441.0</v>
      </c>
      <c r="C23" s="15" t="s">
        <v>24</v>
      </c>
      <c r="D23" s="16">
        <v>3.2</v>
      </c>
      <c r="E23" s="15" t="s">
        <v>22</v>
      </c>
      <c r="F23" s="17">
        <v>1.0</v>
      </c>
      <c r="G23" s="51" t="s">
        <v>54</v>
      </c>
      <c r="H23" s="19">
        <v>13.741</v>
      </c>
      <c r="I23" s="19">
        <v>4.293</v>
      </c>
      <c r="J23" s="19">
        <v>0.078</v>
      </c>
      <c r="K23" s="19">
        <v>139.714</v>
      </c>
      <c r="L23" s="19">
        <v>11.459</v>
      </c>
      <c r="M23" s="19">
        <v>105.612</v>
      </c>
      <c r="N23" s="19">
        <v>13.568</v>
      </c>
      <c r="O23" s="19">
        <v>51.523</v>
      </c>
      <c r="P23" s="19">
        <v>13.187</v>
      </c>
      <c r="Q23" s="15"/>
    </row>
    <row r="24">
      <c r="A24" s="13" t="s">
        <v>19</v>
      </c>
      <c r="B24" s="14">
        <v>45441.0</v>
      </c>
      <c r="C24" s="15" t="s">
        <v>24</v>
      </c>
      <c r="D24" s="16">
        <v>3.3</v>
      </c>
      <c r="E24" s="15" t="s">
        <v>22</v>
      </c>
      <c r="F24" s="17">
        <v>1.0</v>
      </c>
      <c r="G24" s="51" t="s">
        <v>54</v>
      </c>
      <c r="H24" s="19">
        <v>15.294</v>
      </c>
      <c r="I24" s="19">
        <v>4.57</v>
      </c>
      <c r="J24" s="19">
        <v>0.049</v>
      </c>
      <c r="K24" s="19">
        <v>139.365</v>
      </c>
      <c r="L24" s="19">
        <v>11.529</v>
      </c>
      <c r="M24" s="19">
        <v>109.839</v>
      </c>
      <c r="N24" s="19">
        <v>13.867</v>
      </c>
      <c r="O24" s="19">
        <v>63.793</v>
      </c>
      <c r="P24" s="19">
        <v>14.12</v>
      </c>
      <c r="Q24" s="15"/>
    </row>
    <row r="25">
      <c r="A25" s="13" t="s">
        <v>19</v>
      </c>
      <c r="B25" s="14">
        <v>45441.0</v>
      </c>
      <c r="C25" s="15" t="s">
        <v>24</v>
      </c>
      <c r="D25" s="16">
        <v>3.4</v>
      </c>
      <c r="E25" s="52" t="s">
        <v>22</v>
      </c>
      <c r="F25" s="17">
        <v>1.0</v>
      </c>
      <c r="G25" s="51" t="s">
        <v>54</v>
      </c>
      <c r="H25" s="19">
        <v>20.921</v>
      </c>
      <c r="I25" s="19">
        <v>5.959</v>
      </c>
      <c r="J25" s="19">
        <v>0.041</v>
      </c>
      <c r="K25" s="19">
        <v>148.046</v>
      </c>
      <c r="L25" s="19">
        <v>9.606</v>
      </c>
      <c r="M25" s="19">
        <v>112.748</v>
      </c>
      <c r="N25" s="19">
        <v>11.712</v>
      </c>
      <c r="O25" s="19">
        <v>57.232</v>
      </c>
      <c r="P25" s="19">
        <v>10.73</v>
      </c>
      <c r="Q25" s="15"/>
    </row>
    <row r="26">
      <c r="A26" s="13" t="s">
        <v>19</v>
      </c>
      <c r="B26" s="14">
        <v>45441.0</v>
      </c>
      <c r="C26" s="15" t="s">
        <v>25</v>
      </c>
      <c r="D26" s="16">
        <v>1.1</v>
      </c>
      <c r="E26" s="15" t="s">
        <v>22</v>
      </c>
      <c r="F26" s="17">
        <v>1.0</v>
      </c>
      <c r="G26" s="51" t="s">
        <v>54</v>
      </c>
      <c r="H26" s="19">
        <v>17.315</v>
      </c>
      <c r="I26" s="19">
        <v>4.249</v>
      </c>
      <c r="J26" s="19">
        <v>0.052</v>
      </c>
      <c r="K26" s="19">
        <v>130.47</v>
      </c>
      <c r="L26" s="19">
        <v>23.813</v>
      </c>
      <c r="M26" s="19">
        <v>117.832</v>
      </c>
      <c r="N26" s="19">
        <v>25.027</v>
      </c>
      <c r="O26" s="19">
        <v>68.294</v>
      </c>
      <c r="P26" s="19">
        <v>23.813</v>
      </c>
      <c r="Q26" s="15"/>
    </row>
    <row r="27">
      <c r="A27" s="13" t="s">
        <v>19</v>
      </c>
      <c r="B27" s="14">
        <v>45441.0</v>
      </c>
      <c r="C27" s="15" t="s">
        <v>25</v>
      </c>
      <c r="D27" s="16">
        <v>1.2</v>
      </c>
      <c r="E27" s="15" t="s">
        <v>22</v>
      </c>
      <c r="F27" s="17">
        <v>1.0</v>
      </c>
      <c r="G27" s="51" t="s">
        <v>54</v>
      </c>
      <c r="H27" s="19">
        <v>14.176</v>
      </c>
      <c r="I27" s="19">
        <v>3.954</v>
      </c>
      <c r="J27" s="19">
        <v>0.029</v>
      </c>
      <c r="K27" s="19">
        <v>134.873</v>
      </c>
      <c r="L27" s="19">
        <v>22.585</v>
      </c>
      <c r="M27" s="19">
        <v>124.118</v>
      </c>
      <c r="N27" s="19">
        <v>23.466</v>
      </c>
      <c r="O27" s="19">
        <v>83.38</v>
      </c>
      <c r="P27" s="19">
        <v>23.266</v>
      </c>
      <c r="Q27" s="15"/>
    </row>
    <row r="28">
      <c r="A28" s="13" t="s">
        <v>19</v>
      </c>
      <c r="B28" s="14">
        <v>45441.0</v>
      </c>
      <c r="C28" s="15" t="s">
        <v>25</v>
      </c>
      <c r="D28" s="16">
        <v>1.3</v>
      </c>
      <c r="E28" s="15" t="s">
        <v>22</v>
      </c>
      <c r="F28" s="17">
        <v>1.0</v>
      </c>
      <c r="G28" s="51" t="s">
        <v>54</v>
      </c>
      <c r="H28" s="19">
        <v>16.412</v>
      </c>
      <c r="I28" s="19">
        <v>3.92</v>
      </c>
      <c r="J28" s="19">
        <v>0.067</v>
      </c>
      <c r="K28" s="19">
        <v>136.306</v>
      </c>
      <c r="L28" s="19">
        <v>22.426</v>
      </c>
      <c r="M28" s="19">
        <v>125.895</v>
      </c>
      <c r="N28" s="19">
        <v>23.698</v>
      </c>
      <c r="O28" s="19">
        <v>81.382</v>
      </c>
      <c r="P28" s="19">
        <v>27.538</v>
      </c>
      <c r="Q28" s="15"/>
    </row>
    <row r="29">
      <c r="A29" s="13" t="s">
        <v>19</v>
      </c>
      <c r="B29" s="14">
        <v>45441.0</v>
      </c>
      <c r="C29" s="15" t="s">
        <v>25</v>
      </c>
      <c r="D29" s="16">
        <v>1.4</v>
      </c>
      <c r="E29" s="52" t="s">
        <v>22</v>
      </c>
      <c r="F29" s="17">
        <v>1.0</v>
      </c>
      <c r="G29" s="51" t="s">
        <v>54</v>
      </c>
      <c r="H29" s="19">
        <v>19.889</v>
      </c>
      <c r="I29" s="19">
        <v>4.831</v>
      </c>
      <c r="J29" s="19">
        <v>0.083</v>
      </c>
      <c r="K29" s="19">
        <v>133.764</v>
      </c>
      <c r="L29" s="19">
        <v>22.131</v>
      </c>
      <c r="M29" s="19">
        <v>212.24</v>
      </c>
      <c r="N29" s="19">
        <v>23.724</v>
      </c>
      <c r="O29" s="19">
        <v>75.367</v>
      </c>
      <c r="P29" s="19">
        <v>23.309</v>
      </c>
      <c r="Q29" s="15"/>
    </row>
    <row r="30">
      <c r="A30" s="13" t="s">
        <v>19</v>
      </c>
      <c r="B30" s="14">
        <v>45441.0</v>
      </c>
      <c r="C30" s="15" t="s">
        <v>25</v>
      </c>
      <c r="D30" s="16">
        <v>2.1</v>
      </c>
      <c r="E30" s="15" t="s">
        <v>22</v>
      </c>
      <c r="F30" s="17">
        <v>1.0</v>
      </c>
      <c r="G30" s="51" t="s">
        <v>54</v>
      </c>
      <c r="H30" s="19">
        <v>19.316</v>
      </c>
      <c r="I30" s="19">
        <v>4.992</v>
      </c>
      <c r="J30" s="19">
        <v>0.038</v>
      </c>
      <c r="K30" s="19">
        <v>142.828</v>
      </c>
      <c r="L30" s="19">
        <v>20.779</v>
      </c>
      <c r="M30" s="19">
        <v>126.276</v>
      </c>
      <c r="N30" s="19">
        <v>23.827</v>
      </c>
      <c r="O30" s="19">
        <v>84.085</v>
      </c>
      <c r="P30" s="19">
        <v>25.412</v>
      </c>
      <c r="Q30" s="15"/>
    </row>
    <row r="31">
      <c r="A31" s="13" t="s">
        <v>19</v>
      </c>
      <c r="B31" s="14">
        <v>45441.0</v>
      </c>
      <c r="C31" s="15" t="s">
        <v>25</v>
      </c>
      <c r="D31" s="16">
        <v>2.2</v>
      </c>
      <c r="E31" s="15" t="s">
        <v>22</v>
      </c>
      <c r="F31" s="17">
        <v>1.0</v>
      </c>
      <c r="G31" s="51" t="s">
        <v>54</v>
      </c>
      <c r="H31" s="19">
        <v>22.84</v>
      </c>
      <c r="I31" s="19">
        <v>6.38</v>
      </c>
      <c r="J31" s="19">
        <v>0.045</v>
      </c>
      <c r="K31" s="19">
        <v>146.862</v>
      </c>
      <c r="L31" s="19">
        <v>22.702</v>
      </c>
      <c r="M31" s="19">
        <v>131.56</v>
      </c>
      <c r="N31" s="19">
        <v>24.634</v>
      </c>
      <c r="O31" s="19">
        <v>93.23</v>
      </c>
      <c r="P31" s="19">
        <v>25.516</v>
      </c>
      <c r="Q31" s="15"/>
    </row>
    <row r="32">
      <c r="A32" s="13" t="s">
        <v>19</v>
      </c>
      <c r="B32" s="14">
        <v>45441.0</v>
      </c>
      <c r="C32" s="15" t="s">
        <v>25</v>
      </c>
      <c r="D32" s="16">
        <v>2.3</v>
      </c>
      <c r="E32" s="15" t="s">
        <v>22</v>
      </c>
      <c r="F32" s="17">
        <v>1.0</v>
      </c>
      <c r="G32" s="51" t="s">
        <v>54</v>
      </c>
      <c r="H32" s="19">
        <v>16.071</v>
      </c>
      <c r="I32" s="19">
        <v>5.684</v>
      </c>
      <c r="J32" s="19">
        <v>0.023</v>
      </c>
      <c r="K32" s="19">
        <v>138.245</v>
      </c>
      <c r="L32" s="19">
        <v>21.267</v>
      </c>
      <c r="M32" s="19">
        <v>124.611</v>
      </c>
      <c r="N32" s="19">
        <v>22.593</v>
      </c>
      <c r="O32" s="19">
        <v>81.797</v>
      </c>
      <c r="P32" s="19">
        <v>22.891</v>
      </c>
      <c r="Q32" s="15"/>
    </row>
    <row r="33">
      <c r="A33" s="13" t="s">
        <v>19</v>
      </c>
      <c r="B33" s="14">
        <v>45441.0</v>
      </c>
      <c r="C33" s="15" t="s">
        <v>25</v>
      </c>
      <c r="D33" s="16">
        <v>2.4</v>
      </c>
      <c r="E33" s="52" t="s">
        <v>22</v>
      </c>
      <c r="F33" s="17">
        <v>1.0</v>
      </c>
      <c r="G33" s="51" t="s">
        <v>54</v>
      </c>
      <c r="H33" s="19">
        <v>18.116</v>
      </c>
      <c r="I33" s="19">
        <v>3.518</v>
      </c>
      <c r="J33" s="19">
        <v>0.063</v>
      </c>
      <c r="K33" s="19">
        <v>144.662</v>
      </c>
      <c r="L33" s="19">
        <v>18.342</v>
      </c>
      <c r="M33" s="19">
        <v>130.573</v>
      </c>
      <c r="N33" s="19">
        <v>21.12</v>
      </c>
      <c r="O33" s="19">
        <v>87.652</v>
      </c>
      <c r="P33" s="19">
        <v>25.071</v>
      </c>
      <c r="Q33" s="15"/>
    </row>
    <row r="34">
      <c r="A34" s="13" t="s">
        <v>19</v>
      </c>
      <c r="B34" s="14">
        <v>45441.0</v>
      </c>
      <c r="C34" s="15" t="s">
        <v>25</v>
      </c>
      <c r="D34" s="16">
        <v>3.1</v>
      </c>
      <c r="E34" s="15" t="s">
        <v>22</v>
      </c>
      <c r="F34" s="17">
        <v>1.0</v>
      </c>
      <c r="G34" s="51" t="s">
        <v>54</v>
      </c>
      <c r="H34" s="19">
        <v>18.12</v>
      </c>
      <c r="I34" s="19">
        <v>3.627</v>
      </c>
      <c r="J34" s="19">
        <v>0.017</v>
      </c>
      <c r="K34" s="19">
        <v>142.272</v>
      </c>
      <c r="L34" s="19">
        <v>20.637</v>
      </c>
      <c r="M34" s="19">
        <v>126.9</v>
      </c>
      <c r="N34" s="19">
        <v>22.857</v>
      </c>
      <c r="O34" s="19">
        <v>83.369</v>
      </c>
      <c r="P34" s="19">
        <v>26.08</v>
      </c>
      <c r="Q34" s="15"/>
    </row>
    <row r="35">
      <c r="A35" s="13" t="s">
        <v>19</v>
      </c>
      <c r="B35" s="14">
        <v>45441.0</v>
      </c>
      <c r="C35" s="15" t="s">
        <v>25</v>
      </c>
      <c r="D35" s="16">
        <v>3.2</v>
      </c>
      <c r="E35" s="15" t="s">
        <v>22</v>
      </c>
      <c r="F35" s="17">
        <v>1.0</v>
      </c>
      <c r="G35" s="51" t="s">
        <v>54</v>
      </c>
      <c r="H35" s="19">
        <v>18.251</v>
      </c>
      <c r="I35" s="19">
        <v>3.838</v>
      </c>
      <c r="J35" s="19">
        <v>0.062</v>
      </c>
      <c r="K35" s="19">
        <v>143.38</v>
      </c>
      <c r="L35" s="19">
        <v>21.88</v>
      </c>
      <c r="M35" s="19">
        <v>129.891</v>
      </c>
      <c r="N35" s="19">
        <v>25.313</v>
      </c>
      <c r="O35" s="19">
        <v>87.741</v>
      </c>
      <c r="P35" s="19">
        <v>29.182</v>
      </c>
      <c r="Q35" s="15"/>
    </row>
    <row r="36">
      <c r="A36" s="13" t="s">
        <v>19</v>
      </c>
      <c r="B36" s="14">
        <v>45441.0</v>
      </c>
      <c r="C36" s="15" t="s">
        <v>25</v>
      </c>
      <c r="D36" s="16">
        <v>3.3</v>
      </c>
      <c r="E36" s="15" t="s">
        <v>22</v>
      </c>
      <c r="F36" s="17">
        <v>1.0</v>
      </c>
      <c r="G36" s="51" t="s">
        <v>54</v>
      </c>
      <c r="H36" s="19">
        <v>15.298</v>
      </c>
      <c r="I36" s="19">
        <v>4.057</v>
      </c>
      <c r="J36" s="19">
        <v>0.036</v>
      </c>
      <c r="K36" s="19">
        <v>143.635</v>
      </c>
      <c r="L36" s="19">
        <v>22.28</v>
      </c>
      <c r="M36" s="19">
        <v>128.884</v>
      </c>
      <c r="N36" s="19">
        <v>23.557</v>
      </c>
      <c r="O36" s="19">
        <v>87.638</v>
      </c>
      <c r="P36" s="19">
        <v>23.828</v>
      </c>
      <c r="Q36" s="15"/>
    </row>
    <row r="37">
      <c r="A37" s="13" t="s">
        <v>19</v>
      </c>
      <c r="B37" s="14">
        <v>45441.0</v>
      </c>
      <c r="C37" s="15" t="s">
        <v>25</v>
      </c>
      <c r="D37" s="16">
        <v>3.4</v>
      </c>
      <c r="E37" s="52" t="s">
        <v>22</v>
      </c>
      <c r="F37" s="17">
        <v>1.0</v>
      </c>
      <c r="G37" s="51" t="s">
        <v>54</v>
      </c>
      <c r="H37" s="19">
        <v>17.652</v>
      </c>
      <c r="I37" s="19">
        <v>4.664</v>
      </c>
      <c r="J37" s="19">
        <v>0.12</v>
      </c>
      <c r="K37" s="19">
        <v>144.176</v>
      </c>
      <c r="L37" s="19">
        <v>19.648</v>
      </c>
      <c r="M37" s="19">
        <v>128.721</v>
      </c>
      <c r="N37" s="19">
        <v>21.819</v>
      </c>
      <c r="O37" s="19">
        <v>86.474</v>
      </c>
      <c r="P37" s="19">
        <v>23.726</v>
      </c>
      <c r="Q37" s="15"/>
    </row>
    <row r="38">
      <c r="A38" s="13" t="s">
        <v>19</v>
      </c>
      <c r="B38" s="14">
        <v>45460.0</v>
      </c>
      <c r="C38" s="15" t="s">
        <v>21</v>
      </c>
      <c r="D38" s="16">
        <v>1.1</v>
      </c>
      <c r="E38" s="15" t="s">
        <v>22</v>
      </c>
      <c r="F38" s="17">
        <v>1.0</v>
      </c>
      <c r="G38" s="51" t="s">
        <v>55</v>
      </c>
      <c r="H38" s="19">
        <v>22.835</v>
      </c>
      <c r="I38" s="19">
        <v>8.047</v>
      </c>
      <c r="J38" s="19">
        <v>0.053</v>
      </c>
      <c r="K38" s="19">
        <v>153.433</v>
      </c>
      <c r="L38" s="19">
        <v>22.18</v>
      </c>
      <c r="M38" s="19">
        <v>121.861</v>
      </c>
      <c r="N38" s="19">
        <v>24.655</v>
      </c>
      <c r="O38" s="19">
        <v>69.606</v>
      </c>
      <c r="P38" s="19">
        <v>26.49</v>
      </c>
      <c r="Q38" s="15"/>
    </row>
    <row r="39">
      <c r="A39" s="13" t="s">
        <v>19</v>
      </c>
      <c r="B39" s="14">
        <v>45460.0</v>
      </c>
      <c r="C39" s="15" t="s">
        <v>21</v>
      </c>
      <c r="D39" s="16">
        <v>1.2</v>
      </c>
      <c r="E39" s="15" t="s">
        <v>22</v>
      </c>
      <c r="F39" s="17">
        <v>1.0</v>
      </c>
      <c r="G39" s="51" t="s">
        <v>55</v>
      </c>
      <c r="H39" s="19">
        <v>22.313</v>
      </c>
      <c r="I39" s="19">
        <v>6.78</v>
      </c>
      <c r="J39" s="19">
        <v>0.253</v>
      </c>
      <c r="K39" s="19">
        <v>155.242</v>
      </c>
      <c r="L39" s="19">
        <v>21.173</v>
      </c>
      <c r="M39" s="19">
        <v>125.539</v>
      </c>
      <c r="N39" s="19">
        <v>23.608</v>
      </c>
      <c r="O39" s="19">
        <v>68.229</v>
      </c>
      <c r="P39" s="19">
        <v>25.349</v>
      </c>
      <c r="Q39" s="15"/>
    </row>
    <row r="40">
      <c r="A40" s="13" t="s">
        <v>19</v>
      </c>
      <c r="B40" s="14">
        <v>45460.0</v>
      </c>
      <c r="C40" s="15" t="s">
        <v>21</v>
      </c>
      <c r="D40" s="16">
        <v>1.3</v>
      </c>
      <c r="E40" s="15" t="s">
        <v>22</v>
      </c>
      <c r="F40" s="17">
        <v>1.0</v>
      </c>
      <c r="G40" s="51" t="s">
        <v>55</v>
      </c>
      <c r="H40" s="19">
        <v>22.673</v>
      </c>
      <c r="I40" s="19">
        <v>8.059</v>
      </c>
      <c r="J40" s="19">
        <v>0.148</v>
      </c>
      <c r="K40" s="19">
        <v>146.605</v>
      </c>
      <c r="L40" s="19">
        <v>22.694</v>
      </c>
      <c r="M40" s="19">
        <v>118.491</v>
      </c>
      <c r="N40" s="19">
        <v>23.869</v>
      </c>
      <c r="O40" s="19">
        <v>68.021</v>
      </c>
      <c r="P40" s="19">
        <v>22.858</v>
      </c>
      <c r="Q40" s="15"/>
    </row>
    <row r="41">
      <c r="A41" s="13" t="s">
        <v>19</v>
      </c>
      <c r="B41" s="14">
        <v>45460.0</v>
      </c>
      <c r="C41" s="15" t="s">
        <v>21</v>
      </c>
      <c r="D41" s="16">
        <v>1.4</v>
      </c>
      <c r="E41" s="52" t="s">
        <v>22</v>
      </c>
      <c r="F41" s="17">
        <v>1.0</v>
      </c>
      <c r="G41" s="51" t="s">
        <v>55</v>
      </c>
      <c r="H41" s="19">
        <v>21.083</v>
      </c>
      <c r="I41" s="19">
        <v>7.371</v>
      </c>
      <c r="J41" s="19">
        <v>0.155</v>
      </c>
      <c r="K41" s="19">
        <v>136.419</v>
      </c>
      <c r="L41" s="19">
        <v>25.3</v>
      </c>
      <c r="M41" s="19">
        <v>111.538</v>
      </c>
      <c r="N41" s="19">
        <v>26.016</v>
      </c>
      <c r="O41" s="19">
        <v>77.921</v>
      </c>
      <c r="P41" s="19">
        <v>30.495</v>
      </c>
      <c r="Q41" s="15"/>
    </row>
    <row r="42">
      <c r="A42" s="13" t="s">
        <v>19</v>
      </c>
      <c r="B42" s="14">
        <v>45460.0</v>
      </c>
      <c r="C42" s="15" t="s">
        <v>21</v>
      </c>
      <c r="D42" s="16">
        <v>2.1</v>
      </c>
      <c r="E42" s="15" t="s">
        <v>22</v>
      </c>
      <c r="F42" s="17">
        <v>1.0</v>
      </c>
      <c r="G42" s="51" t="s">
        <v>55</v>
      </c>
      <c r="H42" s="19">
        <v>15.254</v>
      </c>
      <c r="I42" s="19">
        <v>3.346</v>
      </c>
      <c r="J42" s="19">
        <v>0.023</v>
      </c>
      <c r="K42" s="19">
        <v>141.309</v>
      </c>
      <c r="L42" s="19">
        <v>17.319</v>
      </c>
      <c r="M42" s="19">
        <v>111.889</v>
      </c>
      <c r="N42" s="19">
        <v>20.412</v>
      </c>
      <c r="O42" s="19">
        <v>60.264</v>
      </c>
      <c r="P42" s="19">
        <v>22.562</v>
      </c>
      <c r="Q42" s="15"/>
    </row>
    <row r="43">
      <c r="A43" s="13" t="s">
        <v>19</v>
      </c>
      <c r="B43" s="14">
        <v>45460.0</v>
      </c>
      <c r="C43" s="15" t="s">
        <v>21</v>
      </c>
      <c r="D43" s="16">
        <v>2.2</v>
      </c>
      <c r="E43" s="15" t="s">
        <v>22</v>
      </c>
      <c r="F43" s="17">
        <v>1.0</v>
      </c>
      <c r="G43" s="51" t="s">
        <v>55</v>
      </c>
      <c r="H43" s="19">
        <v>15.821</v>
      </c>
      <c r="I43" s="19">
        <v>5.457</v>
      </c>
      <c r="J43" s="19">
        <v>0.04</v>
      </c>
      <c r="K43" s="19">
        <v>166.03</v>
      </c>
      <c r="L43" s="19">
        <v>21.43</v>
      </c>
      <c r="M43" s="19">
        <v>131.759</v>
      </c>
      <c r="N43" s="19">
        <v>26.459</v>
      </c>
      <c r="O43" s="19">
        <v>71.693</v>
      </c>
      <c r="P43" s="19">
        <v>28.55</v>
      </c>
      <c r="Q43" s="15"/>
    </row>
    <row r="44">
      <c r="A44" s="13" t="s">
        <v>19</v>
      </c>
      <c r="B44" s="14">
        <v>45460.0</v>
      </c>
      <c r="C44" s="15" t="s">
        <v>21</v>
      </c>
      <c r="D44" s="16">
        <v>2.3</v>
      </c>
      <c r="E44" s="15" t="s">
        <v>22</v>
      </c>
      <c r="F44" s="17">
        <v>1.0</v>
      </c>
      <c r="G44" s="51" t="s">
        <v>55</v>
      </c>
      <c r="H44" s="19">
        <v>17.434</v>
      </c>
      <c r="I44" s="19">
        <v>5.452</v>
      </c>
      <c r="J44" s="19">
        <v>0.035</v>
      </c>
      <c r="K44" s="19">
        <v>149.381</v>
      </c>
      <c r="L44" s="19">
        <v>19.532</v>
      </c>
      <c r="M44" s="19">
        <v>119.003</v>
      </c>
      <c r="N44" s="19">
        <v>21.795</v>
      </c>
      <c r="O44" s="19">
        <v>54.71</v>
      </c>
      <c r="P44" s="19">
        <v>20.979</v>
      </c>
      <c r="Q44" s="15"/>
    </row>
    <row r="45">
      <c r="A45" s="13" t="s">
        <v>19</v>
      </c>
      <c r="B45" s="14">
        <v>45460.0</v>
      </c>
      <c r="C45" s="15" t="s">
        <v>21</v>
      </c>
      <c r="D45" s="16">
        <v>2.4</v>
      </c>
      <c r="E45" s="52" t="s">
        <v>22</v>
      </c>
      <c r="F45" s="17">
        <v>1.0</v>
      </c>
      <c r="G45" s="51" t="s">
        <v>55</v>
      </c>
      <c r="H45" s="19">
        <v>16.8</v>
      </c>
      <c r="I45" s="19">
        <v>3.462</v>
      </c>
      <c r="J45" s="19">
        <v>0.019</v>
      </c>
      <c r="K45" s="19">
        <v>137.941</v>
      </c>
      <c r="L45" s="19">
        <v>19.981</v>
      </c>
      <c r="M45" s="19">
        <v>114.114</v>
      </c>
      <c r="N45" s="19">
        <v>22.811</v>
      </c>
      <c r="O45" s="19">
        <v>77.566</v>
      </c>
      <c r="P45" s="19">
        <v>28.196</v>
      </c>
      <c r="Q45" s="15"/>
    </row>
    <row r="46">
      <c r="A46" s="13" t="s">
        <v>19</v>
      </c>
      <c r="B46" s="14">
        <v>45460.0</v>
      </c>
      <c r="C46" s="15" t="s">
        <v>21</v>
      </c>
      <c r="D46" s="16">
        <v>3.1</v>
      </c>
      <c r="E46" s="15" t="s">
        <v>22</v>
      </c>
      <c r="F46" s="17">
        <v>1.0</v>
      </c>
      <c r="G46" s="51" t="s">
        <v>55</v>
      </c>
      <c r="H46" s="19">
        <v>20.596</v>
      </c>
      <c r="I46" s="19">
        <v>5.679</v>
      </c>
      <c r="J46" s="19">
        <v>0.13</v>
      </c>
      <c r="K46" s="19">
        <v>122.054</v>
      </c>
      <c r="L46" s="19">
        <v>27.712</v>
      </c>
      <c r="M46" s="19">
        <v>95.24</v>
      </c>
      <c r="N46" s="19">
        <v>29.211</v>
      </c>
      <c r="O46" s="19">
        <v>50.407</v>
      </c>
      <c r="P46" s="19">
        <v>24.888</v>
      </c>
      <c r="Q46" s="15"/>
    </row>
    <row r="47">
      <c r="A47" s="13" t="s">
        <v>19</v>
      </c>
      <c r="B47" s="14">
        <v>45460.0</v>
      </c>
      <c r="C47" s="15" t="s">
        <v>21</v>
      </c>
      <c r="D47" s="16">
        <v>3.2</v>
      </c>
      <c r="E47" s="15" t="s">
        <v>22</v>
      </c>
      <c r="F47" s="17">
        <v>1.0</v>
      </c>
      <c r="G47" s="51" t="s">
        <v>55</v>
      </c>
      <c r="H47" s="19">
        <v>13.602</v>
      </c>
      <c r="I47" s="19">
        <v>5.14</v>
      </c>
      <c r="J47" s="19">
        <v>0.119</v>
      </c>
      <c r="K47" s="19">
        <v>135.736</v>
      </c>
      <c r="L47" s="19">
        <v>27.904</v>
      </c>
      <c r="M47" s="19">
        <v>108.619</v>
      </c>
      <c r="N47" s="19">
        <v>30.403</v>
      </c>
      <c r="O47" s="19">
        <v>56.871</v>
      </c>
      <c r="P47" s="19">
        <v>27.474</v>
      </c>
      <c r="Q47" s="15"/>
    </row>
    <row r="48">
      <c r="A48" s="13" t="s">
        <v>19</v>
      </c>
      <c r="B48" s="14">
        <v>45460.0</v>
      </c>
      <c r="C48" s="15" t="s">
        <v>21</v>
      </c>
      <c r="D48" s="16">
        <v>3.3</v>
      </c>
      <c r="E48" s="15" t="s">
        <v>22</v>
      </c>
      <c r="F48" s="17">
        <v>1.0</v>
      </c>
      <c r="G48" s="51" t="s">
        <v>55</v>
      </c>
      <c r="H48" s="19">
        <v>16.592</v>
      </c>
      <c r="I48" s="19">
        <v>4.626</v>
      </c>
      <c r="J48" s="19">
        <v>0.088</v>
      </c>
      <c r="K48" s="19">
        <v>131.606</v>
      </c>
      <c r="L48" s="19">
        <v>24.888</v>
      </c>
      <c r="M48" s="19">
        <v>104.549</v>
      </c>
      <c r="N48" s="19">
        <v>26.734</v>
      </c>
      <c r="O48" s="19">
        <v>48.601</v>
      </c>
      <c r="P48" s="19">
        <v>23.455</v>
      </c>
      <c r="Q48" s="15"/>
    </row>
    <row r="49">
      <c r="A49" s="13" t="s">
        <v>19</v>
      </c>
      <c r="B49" s="14">
        <v>45460.0</v>
      </c>
      <c r="C49" s="15" t="s">
        <v>21</v>
      </c>
      <c r="D49" s="16">
        <v>3.4</v>
      </c>
      <c r="E49" s="52" t="s">
        <v>22</v>
      </c>
      <c r="F49" s="17">
        <v>1.0</v>
      </c>
      <c r="G49" s="51" t="s">
        <v>55</v>
      </c>
      <c r="H49" s="19">
        <v>17.295</v>
      </c>
      <c r="I49" s="19">
        <v>4.663</v>
      </c>
      <c r="J49" s="19">
        <v>0.05</v>
      </c>
      <c r="K49" s="19">
        <v>125.025</v>
      </c>
      <c r="L49" s="19">
        <v>28.927</v>
      </c>
      <c r="M49" s="19">
        <v>111.681</v>
      </c>
      <c r="N49" s="19">
        <v>30.385</v>
      </c>
      <c r="O49" s="19">
        <v>66.694</v>
      </c>
      <c r="P49" s="19">
        <v>33.554</v>
      </c>
      <c r="Q49" s="15"/>
    </row>
    <row r="50">
      <c r="A50" s="13" t="s">
        <v>19</v>
      </c>
      <c r="B50" s="14">
        <v>45460.0</v>
      </c>
      <c r="C50" s="15" t="s">
        <v>24</v>
      </c>
      <c r="D50" s="16">
        <v>1.1</v>
      </c>
      <c r="E50" s="15" t="s">
        <v>22</v>
      </c>
      <c r="F50" s="17">
        <v>1.0</v>
      </c>
      <c r="G50" s="51" t="s">
        <v>55</v>
      </c>
      <c r="H50" s="19">
        <v>19.024</v>
      </c>
      <c r="I50" s="19">
        <v>6.297</v>
      </c>
      <c r="J50" s="19">
        <v>0.122</v>
      </c>
      <c r="K50" s="19">
        <v>135.676</v>
      </c>
      <c r="L50" s="19">
        <v>15.63</v>
      </c>
      <c r="M50" s="19">
        <v>108.724</v>
      </c>
      <c r="N50" s="19">
        <v>18.015</v>
      </c>
      <c r="O50" s="19">
        <v>62.951</v>
      </c>
      <c r="P50" s="19">
        <v>24.872</v>
      </c>
      <c r="Q50" s="15"/>
    </row>
    <row r="51">
      <c r="A51" s="13" t="s">
        <v>19</v>
      </c>
      <c r="B51" s="14">
        <v>45460.0</v>
      </c>
      <c r="C51" s="15" t="s">
        <v>24</v>
      </c>
      <c r="D51" s="16">
        <v>1.2</v>
      </c>
      <c r="E51" s="15" t="s">
        <v>22</v>
      </c>
      <c r="F51" s="17">
        <v>1.0</v>
      </c>
      <c r="G51" s="51" t="s">
        <v>55</v>
      </c>
      <c r="H51" s="19">
        <v>17.925</v>
      </c>
      <c r="I51" s="19">
        <v>5.245</v>
      </c>
      <c r="J51" s="19">
        <v>0.045</v>
      </c>
      <c r="K51" s="19">
        <v>143.188</v>
      </c>
      <c r="L51" s="19">
        <v>12.771</v>
      </c>
      <c r="M51" s="19">
        <v>118.937</v>
      </c>
      <c r="N51" s="19">
        <v>14.0</v>
      </c>
      <c r="O51" s="19">
        <v>82.296</v>
      </c>
      <c r="P51" s="19">
        <v>19.968</v>
      </c>
      <c r="Q51" s="15"/>
    </row>
    <row r="52">
      <c r="A52" s="13" t="s">
        <v>19</v>
      </c>
      <c r="B52" s="14">
        <v>45460.0</v>
      </c>
      <c r="C52" s="15" t="s">
        <v>24</v>
      </c>
      <c r="D52" s="16">
        <v>1.3</v>
      </c>
      <c r="E52" s="15" t="s">
        <v>22</v>
      </c>
      <c r="F52" s="17">
        <v>1.0</v>
      </c>
      <c r="G52" s="51" t="s">
        <v>55</v>
      </c>
      <c r="H52" s="19">
        <v>14.762</v>
      </c>
      <c r="I52" s="19">
        <v>4.852</v>
      </c>
      <c r="J52" s="19">
        <v>0.037</v>
      </c>
      <c r="K52" s="19">
        <v>142.245</v>
      </c>
      <c r="L52" s="19">
        <v>12.124</v>
      </c>
      <c r="M52" s="19">
        <v>118.074</v>
      </c>
      <c r="N52" s="19">
        <v>13.787</v>
      </c>
      <c r="O52" s="19">
        <v>70.054</v>
      </c>
      <c r="P52" s="19">
        <v>19.325</v>
      </c>
      <c r="Q52" s="15"/>
    </row>
    <row r="53">
      <c r="A53" s="13" t="s">
        <v>19</v>
      </c>
      <c r="B53" s="14">
        <v>45460.0</v>
      </c>
      <c r="C53" s="15" t="s">
        <v>24</v>
      </c>
      <c r="D53" s="16">
        <v>1.4</v>
      </c>
      <c r="E53" s="52" t="s">
        <v>22</v>
      </c>
      <c r="F53" s="17">
        <v>1.0</v>
      </c>
      <c r="G53" s="51" t="s">
        <v>55</v>
      </c>
      <c r="H53" s="19">
        <v>16.481</v>
      </c>
      <c r="I53" s="19">
        <v>4.033</v>
      </c>
      <c r="J53" s="19">
        <v>0.042</v>
      </c>
      <c r="K53" s="19">
        <v>134.332</v>
      </c>
      <c r="L53" s="19">
        <v>18.339</v>
      </c>
      <c r="M53" s="19">
        <v>113.839</v>
      </c>
      <c r="N53" s="19">
        <v>17.857</v>
      </c>
      <c r="O53" s="19">
        <v>69.168</v>
      </c>
      <c r="P53" s="19">
        <v>24.122</v>
      </c>
      <c r="Q53" s="15"/>
    </row>
    <row r="54">
      <c r="A54" s="13" t="s">
        <v>19</v>
      </c>
      <c r="B54" s="14">
        <v>45460.0</v>
      </c>
      <c r="C54" s="15" t="s">
        <v>24</v>
      </c>
      <c r="D54" s="16">
        <v>2.1</v>
      </c>
      <c r="E54" s="15" t="s">
        <v>22</v>
      </c>
      <c r="F54" s="17">
        <v>1.0</v>
      </c>
      <c r="G54" s="51" t="s">
        <v>55</v>
      </c>
      <c r="H54" s="19">
        <v>10.699</v>
      </c>
      <c r="I54" s="19">
        <v>3.315</v>
      </c>
      <c r="J54" s="19">
        <v>0.012</v>
      </c>
      <c r="K54" s="19">
        <v>124.806</v>
      </c>
      <c r="L54" s="19">
        <v>14.49</v>
      </c>
      <c r="M54" s="19">
        <v>103.223</v>
      </c>
      <c r="N54" s="19">
        <v>15.973</v>
      </c>
      <c r="O54" s="19">
        <v>56.61</v>
      </c>
      <c r="P54" s="19">
        <v>19.183</v>
      </c>
      <c r="Q54" s="15"/>
    </row>
    <row r="55">
      <c r="A55" s="13" t="s">
        <v>19</v>
      </c>
      <c r="B55" s="14">
        <v>45460.0</v>
      </c>
      <c r="C55" s="15" t="s">
        <v>24</v>
      </c>
      <c r="D55" s="16">
        <v>2.2</v>
      </c>
      <c r="E55" s="15" t="s">
        <v>22</v>
      </c>
      <c r="F55" s="17">
        <v>1.0</v>
      </c>
      <c r="G55" s="51" t="s">
        <v>55</v>
      </c>
      <c r="H55" s="19">
        <v>14.811</v>
      </c>
      <c r="I55" s="19">
        <v>3.234</v>
      </c>
      <c r="J55" s="19">
        <v>0.089</v>
      </c>
      <c r="K55" s="19">
        <v>129.16</v>
      </c>
      <c r="L55" s="19">
        <v>13.957</v>
      </c>
      <c r="M55" s="19">
        <v>104.328</v>
      </c>
      <c r="N55" s="19">
        <v>14.869</v>
      </c>
      <c r="O55" s="19">
        <v>58.824</v>
      </c>
      <c r="P55" s="19">
        <v>17.653</v>
      </c>
      <c r="Q55" s="15"/>
    </row>
    <row r="56">
      <c r="A56" s="13" t="s">
        <v>19</v>
      </c>
      <c r="B56" s="14">
        <v>45460.0</v>
      </c>
      <c r="C56" s="15" t="s">
        <v>24</v>
      </c>
      <c r="D56" s="16">
        <v>2.3</v>
      </c>
      <c r="E56" s="15" t="s">
        <v>22</v>
      </c>
      <c r="F56" s="17">
        <v>1.0</v>
      </c>
      <c r="G56" s="51" t="s">
        <v>55</v>
      </c>
      <c r="H56" s="19">
        <v>15.422</v>
      </c>
      <c r="I56" s="19">
        <v>3.599</v>
      </c>
      <c r="J56" s="19">
        <v>0.067</v>
      </c>
      <c r="K56" s="19">
        <v>130.929</v>
      </c>
      <c r="L56" s="19">
        <v>16.463</v>
      </c>
      <c r="M56" s="19">
        <v>106.672</v>
      </c>
      <c r="N56" s="19">
        <v>18.029</v>
      </c>
      <c r="O56" s="19">
        <v>67.098</v>
      </c>
      <c r="P56" s="19">
        <v>20.687</v>
      </c>
      <c r="Q56" s="15"/>
    </row>
    <row r="57">
      <c r="A57" s="13" t="s">
        <v>19</v>
      </c>
      <c r="B57" s="14">
        <v>45460.0</v>
      </c>
      <c r="C57" s="15" t="s">
        <v>24</v>
      </c>
      <c r="D57" s="16">
        <v>2.4</v>
      </c>
      <c r="E57" s="52" t="s">
        <v>22</v>
      </c>
      <c r="F57" s="17">
        <v>1.0</v>
      </c>
      <c r="G57" s="51" t="s">
        <v>55</v>
      </c>
      <c r="H57" s="19">
        <v>14.63</v>
      </c>
      <c r="I57" s="19">
        <v>2.819</v>
      </c>
      <c r="J57" s="19">
        <v>0.015</v>
      </c>
      <c r="K57" s="19">
        <v>130.042</v>
      </c>
      <c r="L57" s="19">
        <v>20.221</v>
      </c>
      <c r="M57" s="19">
        <v>89.37</v>
      </c>
      <c r="N57" s="19">
        <v>21.187</v>
      </c>
      <c r="O57" s="19">
        <v>54.41</v>
      </c>
      <c r="P57" s="19">
        <v>24.389</v>
      </c>
      <c r="Q57" s="15"/>
    </row>
    <row r="58">
      <c r="A58" s="13" t="s">
        <v>19</v>
      </c>
      <c r="B58" s="14">
        <v>45460.0</v>
      </c>
      <c r="C58" s="15" t="s">
        <v>24</v>
      </c>
      <c r="D58" s="16">
        <v>3.1</v>
      </c>
      <c r="E58" s="15" t="s">
        <v>22</v>
      </c>
      <c r="F58" s="17">
        <v>1.0</v>
      </c>
      <c r="G58" s="51" t="s">
        <v>55</v>
      </c>
      <c r="H58" s="19">
        <v>15.834</v>
      </c>
      <c r="I58" s="19">
        <v>4.407</v>
      </c>
      <c r="J58" s="19">
        <v>0.035</v>
      </c>
      <c r="K58" s="19">
        <v>139.042</v>
      </c>
      <c r="L58" s="19">
        <v>11.354</v>
      </c>
      <c r="M58" s="19">
        <v>108.978</v>
      </c>
      <c r="N58" s="19">
        <v>14.025</v>
      </c>
      <c r="O58" s="19">
        <v>54.857</v>
      </c>
      <c r="P58" s="19">
        <v>14.013</v>
      </c>
      <c r="Q58" s="15"/>
    </row>
    <row r="59">
      <c r="A59" s="13" t="s">
        <v>19</v>
      </c>
      <c r="B59" s="14">
        <v>45460.0</v>
      </c>
      <c r="C59" s="15" t="s">
        <v>24</v>
      </c>
      <c r="D59" s="16">
        <v>3.2</v>
      </c>
      <c r="E59" s="15" t="s">
        <v>22</v>
      </c>
      <c r="F59" s="17">
        <v>1.0</v>
      </c>
      <c r="G59" s="51" t="s">
        <v>55</v>
      </c>
      <c r="H59" s="19">
        <v>13.507</v>
      </c>
      <c r="I59" s="19">
        <v>4.835</v>
      </c>
      <c r="J59" s="19">
        <v>0.053</v>
      </c>
      <c r="K59" s="19">
        <v>136.272</v>
      </c>
      <c r="L59" s="19">
        <v>11.188</v>
      </c>
      <c r="M59" s="19">
        <v>105.511</v>
      </c>
      <c r="N59" s="19">
        <v>13.189</v>
      </c>
      <c r="O59" s="19">
        <v>52.636</v>
      </c>
      <c r="P59" s="19">
        <v>12.841</v>
      </c>
      <c r="Q59" s="15"/>
    </row>
    <row r="60">
      <c r="A60" s="13" t="s">
        <v>19</v>
      </c>
      <c r="B60" s="14">
        <v>45460.0</v>
      </c>
      <c r="C60" s="15" t="s">
        <v>24</v>
      </c>
      <c r="D60" s="16">
        <v>3.3</v>
      </c>
      <c r="E60" s="15" t="s">
        <v>22</v>
      </c>
      <c r="F60" s="17">
        <v>1.0</v>
      </c>
      <c r="G60" s="51" t="s">
        <v>55</v>
      </c>
      <c r="H60" s="19">
        <v>15.242</v>
      </c>
      <c r="I60" s="19">
        <v>5.693</v>
      </c>
      <c r="J60" s="19">
        <v>0.059</v>
      </c>
      <c r="K60" s="19">
        <v>13.77</v>
      </c>
      <c r="L60" s="19">
        <v>13.318</v>
      </c>
      <c r="M60" s="19">
        <v>104.532</v>
      </c>
      <c r="N60" s="19">
        <v>15.628</v>
      </c>
      <c r="O60" s="19">
        <v>57.473</v>
      </c>
      <c r="P60" s="19">
        <v>14.529</v>
      </c>
      <c r="Q60" s="15"/>
    </row>
    <row r="61">
      <c r="A61" s="13" t="s">
        <v>19</v>
      </c>
      <c r="B61" s="14">
        <v>45460.0</v>
      </c>
      <c r="C61" s="15" t="s">
        <v>24</v>
      </c>
      <c r="D61" s="16">
        <v>3.4</v>
      </c>
      <c r="E61" s="52" t="s">
        <v>22</v>
      </c>
      <c r="F61" s="17">
        <v>1.0</v>
      </c>
      <c r="G61" s="51" t="s">
        <v>55</v>
      </c>
      <c r="H61" s="19">
        <v>20.883</v>
      </c>
      <c r="I61" s="19">
        <v>6.999</v>
      </c>
      <c r="J61" s="19">
        <v>0.11</v>
      </c>
      <c r="K61" s="19">
        <v>144.415</v>
      </c>
      <c r="L61" s="19">
        <v>10.537</v>
      </c>
      <c r="M61" s="19">
        <v>120.985</v>
      </c>
      <c r="N61" s="19">
        <v>13.74</v>
      </c>
      <c r="O61" s="19">
        <v>84.54</v>
      </c>
      <c r="P61" s="19">
        <v>17.107</v>
      </c>
      <c r="Q61" s="15"/>
    </row>
    <row r="62">
      <c r="A62" s="13" t="s">
        <v>19</v>
      </c>
      <c r="B62" s="14">
        <v>45460.0</v>
      </c>
      <c r="C62" s="15" t="s">
        <v>25</v>
      </c>
      <c r="D62" s="16">
        <v>1.1</v>
      </c>
      <c r="E62" s="15" t="s">
        <v>22</v>
      </c>
      <c r="F62" s="17">
        <v>1.0</v>
      </c>
      <c r="G62" s="51" t="s">
        <v>55</v>
      </c>
      <c r="H62" s="19">
        <v>17.208</v>
      </c>
      <c r="I62" s="19">
        <v>5.016</v>
      </c>
      <c r="J62" s="19">
        <v>0.047</v>
      </c>
      <c r="K62" s="19">
        <v>127.3</v>
      </c>
      <c r="L62" s="19">
        <v>28.82</v>
      </c>
      <c r="M62" s="19">
        <v>108.345</v>
      </c>
      <c r="N62" s="19">
        <v>30.501</v>
      </c>
      <c r="O62" s="19">
        <v>58.463</v>
      </c>
      <c r="P62" s="19">
        <v>25.881</v>
      </c>
      <c r="Q62" s="15"/>
    </row>
    <row r="63">
      <c r="A63" s="13" t="s">
        <v>19</v>
      </c>
      <c r="B63" s="14">
        <v>45460.0</v>
      </c>
      <c r="C63" s="15" t="s">
        <v>25</v>
      </c>
      <c r="D63" s="16">
        <v>1.2</v>
      </c>
      <c r="E63" s="15" t="s">
        <v>22</v>
      </c>
      <c r="F63" s="17">
        <v>1.0</v>
      </c>
      <c r="G63" s="51" t="s">
        <v>55</v>
      </c>
      <c r="H63" s="19">
        <v>13.954</v>
      </c>
      <c r="I63" s="19">
        <v>4.573</v>
      </c>
      <c r="J63" s="19">
        <v>0.044</v>
      </c>
      <c r="K63" s="19">
        <v>135.02</v>
      </c>
      <c r="L63" s="19">
        <v>26.822</v>
      </c>
      <c r="M63" s="19">
        <v>113.752</v>
      </c>
      <c r="N63" s="19">
        <v>28.574</v>
      </c>
      <c r="O63" s="19">
        <v>58.126</v>
      </c>
      <c r="P63" s="19">
        <v>27.185</v>
      </c>
      <c r="Q63" s="15"/>
    </row>
    <row r="64">
      <c r="A64" s="13" t="s">
        <v>19</v>
      </c>
      <c r="B64" s="14">
        <v>45460.0</v>
      </c>
      <c r="C64" s="15" t="s">
        <v>25</v>
      </c>
      <c r="D64" s="16">
        <v>1.3</v>
      </c>
      <c r="E64" s="15" t="s">
        <v>22</v>
      </c>
      <c r="F64" s="17">
        <v>1.0</v>
      </c>
      <c r="G64" s="51" t="s">
        <v>55</v>
      </c>
      <c r="H64" s="19">
        <v>16.118</v>
      </c>
      <c r="I64" s="19">
        <v>4.226</v>
      </c>
      <c r="J64" s="19">
        <v>0.052</v>
      </c>
      <c r="K64" s="19">
        <v>157.751</v>
      </c>
      <c r="L64" s="19">
        <v>32.804</v>
      </c>
      <c r="M64" s="19">
        <v>137.949</v>
      </c>
      <c r="N64" s="19">
        <v>36.226</v>
      </c>
      <c r="O64" s="19">
        <v>80.335</v>
      </c>
      <c r="P64" s="19">
        <v>37.777</v>
      </c>
      <c r="Q64" s="15"/>
    </row>
    <row r="65">
      <c r="A65" s="13" t="s">
        <v>19</v>
      </c>
      <c r="B65" s="14">
        <v>45460.0</v>
      </c>
      <c r="C65" s="15" t="s">
        <v>25</v>
      </c>
      <c r="D65" s="16">
        <v>1.4</v>
      </c>
      <c r="E65" s="52" t="s">
        <v>22</v>
      </c>
      <c r="F65" s="17">
        <v>1.0</v>
      </c>
      <c r="G65" s="51" t="s">
        <v>55</v>
      </c>
      <c r="H65" s="19">
        <v>19.549</v>
      </c>
      <c r="I65" s="19">
        <v>6.088</v>
      </c>
      <c r="J65" s="19">
        <v>0.179</v>
      </c>
      <c r="K65" s="19">
        <v>119.816</v>
      </c>
      <c r="L65" s="19">
        <v>29.511</v>
      </c>
      <c r="M65" s="19">
        <v>108.17</v>
      </c>
      <c r="N65" s="19">
        <v>31.189</v>
      </c>
      <c r="O65" s="19">
        <v>71.197</v>
      </c>
      <c r="P65" s="19">
        <v>29.174</v>
      </c>
      <c r="Q65" s="15"/>
    </row>
    <row r="66">
      <c r="A66" s="13" t="s">
        <v>19</v>
      </c>
      <c r="B66" s="14">
        <v>45460.0</v>
      </c>
      <c r="C66" s="15" t="s">
        <v>25</v>
      </c>
      <c r="D66" s="16">
        <v>2.1</v>
      </c>
      <c r="E66" s="15" t="s">
        <v>22</v>
      </c>
      <c r="F66" s="17">
        <v>1.0</v>
      </c>
      <c r="G66" s="51" t="s">
        <v>55</v>
      </c>
      <c r="H66" s="19">
        <v>18.924</v>
      </c>
      <c r="I66" s="19">
        <v>6.08</v>
      </c>
      <c r="J66" s="19">
        <v>0.081</v>
      </c>
      <c r="K66" s="19">
        <v>137.017</v>
      </c>
      <c r="L66" s="19">
        <v>28.926</v>
      </c>
      <c r="M66" s="19">
        <v>114.362</v>
      </c>
      <c r="N66" s="19">
        <v>30.931</v>
      </c>
      <c r="O66" s="19">
        <v>68.439</v>
      </c>
      <c r="P66" s="19">
        <v>30.769</v>
      </c>
      <c r="Q66" s="15"/>
    </row>
    <row r="67">
      <c r="A67" s="13" t="s">
        <v>19</v>
      </c>
      <c r="B67" s="14">
        <v>45460.0</v>
      </c>
      <c r="C67" s="15" t="s">
        <v>25</v>
      </c>
      <c r="D67" s="16">
        <v>2.2</v>
      </c>
      <c r="E67" s="15" t="s">
        <v>22</v>
      </c>
      <c r="F67" s="17">
        <v>1.0</v>
      </c>
      <c r="G67" s="51" t="s">
        <v>55</v>
      </c>
      <c r="H67" s="19">
        <v>22.256</v>
      </c>
      <c r="I67" s="19">
        <v>7.834</v>
      </c>
      <c r="J67" s="19">
        <v>0.035</v>
      </c>
      <c r="K67" s="19">
        <v>135.157</v>
      </c>
      <c r="L67" s="19">
        <v>23.761</v>
      </c>
      <c r="M67" s="19">
        <v>113.756</v>
      </c>
      <c r="N67" s="19">
        <v>27.454</v>
      </c>
      <c r="O67" s="19">
        <v>63.45</v>
      </c>
      <c r="P67" s="19">
        <v>28.074</v>
      </c>
      <c r="Q67" s="15"/>
    </row>
    <row r="68">
      <c r="A68" s="13" t="s">
        <v>19</v>
      </c>
      <c r="B68" s="14">
        <v>45460.0</v>
      </c>
      <c r="C68" s="15" t="s">
        <v>25</v>
      </c>
      <c r="D68" s="16">
        <v>2.3</v>
      </c>
      <c r="E68" s="15" t="s">
        <v>22</v>
      </c>
      <c r="F68" s="17">
        <v>1.0</v>
      </c>
      <c r="G68" s="51" t="s">
        <v>55</v>
      </c>
      <c r="H68" s="19">
        <v>15.652</v>
      </c>
      <c r="I68" s="19">
        <v>4.186</v>
      </c>
      <c r="J68" s="19">
        <v>0.064</v>
      </c>
      <c r="K68" s="19">
        <v>119.866</v>
      </c>
      <c r="L68" s="19">
        <v>24.347</v>
      </c>
      <c r="M68" s="19">
        <v>94.562</v>
      </c>
      <c r="N68" s="19">
        <v>26.089</v>
      </c>
      <c r="O68" s="19">
        <v>48.951</v>
      </c>
      <c r="P68" s="19">
        <v>22.048</v>
      </c>
      <c r="Q68" s="15"/>
    </row>
    <row r="69">
      <c r="A69" s="13" t="s">
        <v>19</v>
      </c>
      <c r="B69" s="14">
        <v>45460.0</v>
      </c>
      <c r="C69" s="15" t="s">
        <v>25</v>
      </c>
      <c r="D69" s="16">
        <v>2.4</v>
      </c>
      <c r="E69" s="52" t="s">
        <v>22</v>
      </c>
      <c r="F69" s="17">
        <v>1.0</v>
      </c>
      <c r="G69" s="51" t="s">
        <v>55</v>
      </c>
      <c r="H69" s="19">
        <v>17.743</v>
      </c>
      <c r="I69" s="19">
        <v>4.875</v>
      </c>
      <c r="J69" s="19">
        <v>0.068</v>
      </c>
      <c r="K69" s="19">
        <v>133.702</v>
      </c>
      <c r="L69" s="19">
        <v>28.689</v>
      </c>
      <c r="M69" s="19">
        <v>117.328</v>
      </c>
      <c r="N69" s="19">
        <v>30.851</v>
      </c>
      <c r="O69" s="19">
        <v>79.604</v>
      </c>
      <c r="P69" s="19">
        <v>28.911</v>
      </c>
      <c r="Q69" s="15"/>
    </row>
    <row r="70">
      <c r="A70" s="13" t="s">
        <v>19</v>
      </c>
      <c r="B70" s="14">
        <v>45460.0</v>
      </c>
      <c r="C70" s="15" t="s">
        <v>25</v>
      </c>
      <c r="D70" s="16">
        <v>3.1</v>
      </c>
      <c r="E70" s="15" t="s">
        <v>22</v>
      </c>
      <c r="F70" s="17">
        <v>1.0</v>
      </c>
      <c r="G70" s="51" t="s">
        <v>55</v>
      </c>
      <c r="H70" s="19">
        <v>17.754</v>
      </c>
      <c r="I70" s="19">
        <v>3.964</v>
      </c>
      <c r="J70" s="19">
        <v>0.028</v>
      </c>
      <c r="K70" s="19">
        <v>119.392</v>
      </c>
      <c r="L70" s="19">
        <v>24.726</v>
      </c>
      <c r="M70" s="19">
        <v>98.624</v>
      </c>
      <c r="N70" s="19">
        <v>27.247</v>
      </c>
      <c r="O70" s="19">
        <v>51.157</v>
      </c>
      <c r="P70" s="19">
        <v>25.03</v>
      </c>
      <c r="Q70" s="15"/>
    </row>
    <row r="71">
      <c r="A71" s="13" t="s">
        <v>19</v>
      </c>
      <c r="B71" s="14">
        <v>45460.0</v>
      </c>
      <c r="C71" s="15" t="s">
        <v>25</v>
      </c>
      <c r="D71" s="16">
        <v>3.2</v>
      </c>
      <c r="E71" s="15" t="s">
        <v>22</v>
      </c>
      <c r="F71" s="17">
        <v>1.0</v>
      </c>
      <c r="G71" s="51" t="s">
        <v>55</v>
      </c>
      <c r="H71" s="19">
        <v>17.939</v>
      </c>
      <c r="I71" s="19">
        <v>4.179</v>
      </c>
      <c r="J71" s="19">
        <v>0.136</v>
      </c>
      <c r="K71" s="19">
        <v>127.957</v>
      </c>
      <c r="L71" s="19">
        <v>28.834</v>
      </c>
      <c r="M71" s="19">
        <v>112.378</v>
      </c>
      <c r="N71" s="19">
        <v>33.233</v>
      </c>
      <c r="O71" s="19">
        <v>71.229</v>
      </c>
      <c r="P71" s="19">
        <v>37.061</v>
      </c>
      <c r="Q71" s="15"/>
    </row>
    <row r="72">
      <c r="A72" s="13" t="s">
        <v>19</v>
      </c>
      <c r="B72" s="14">
        <v>45460.0</v>
      </c>
      <c r="C72" s="15" t="s">
        <v>25</v>
      </c>
      <c r="D72" s="16">
        <v>3.3</v>
      </c>
      <c r="E72" s="15" t="s">
        <v>22</v>
      </c>
      <c r="F72" s="17">
        <v>1.0</v>
      </c>
      <c r="G72" s="51" t="s">
        <v>55</v>
      </c>
      <c r="H72" s="19">
        <v>14.803</v>
      </c>
      <c r="I72" s="19">
        <v>4.607</v>
      </c>
      <c r="J72" s="19">
        <v>0.023</v>
      </c>
      <c r="K72" s="19">
        <v>118.986</v>
      </c>
      <c r="L72" s="19">
        <v>25.053</v>
      </c>
      <c r="M72" s="19">
        <v>98.174</v>
      </c>
      <c r="N72" s="19">
        <v>28.775</v>
      </c>
      <c r="O72" s="19">
        <v>54.341</v>
      </c>
      <c r="P72" s="19">
        <v>28.298</v>
      </c>
      <c r="Q72" s="15"/>
    </row>
    <row r="73">
      <c r="A73" s="13" t="s">
        <v>19</v>
      </c>
      <c r="B73" s="14">
        <v>45460.0</v>
      </c>
      <c r="C73" s="15" t="s">
        <v>25</v>
      </c>
      <c r="D73" s="16">
        <v>3.4</v>
      </c>
      <c r="E73" s="52" t="s">
        <v>22</v>
      </c>
      <c r="F73" s="17">
        <v>1.0</v>
      </c>
      <c r="G73" s="51" t="s">
        <v>55</v>
      </c>
      <c r="H73" s="19">
        <v>17.295</v>
      </c>
      <c r="I73" s="19">
        <v>5.353</v>
      </c>
      <c r="J73" s="19">
        <v>0.057</v>
      </c>
      <c r="K73" s="19">
        <v>117.578</v>
      </c>
      <c r="L73" s="19">
        <v>24.449</v>
      </c>
      <c r="M73" s="19">
        <v>96.492</v>
      </c>
      <c r="N73" s="19">
        <v>27.75</v>
      </c>
      <c r="O73" s="19">
        <v>52.729</v>
      </c>
      <c r="P73" s="19">
        <v>26.672</v>
      </c>
      <c r="Q73" s="15"/>
    </row>
    <row r="74">
      <c r="A74" s="13" t="s">
        <v>19</v>
      </c>
      <c r="B74" s="14">
        <v>45460.0</v>
      </c>
      <c r="C74" s="15" t="s">
        <v>21</v>
      </c>
      <c r="D74" s="16">
        <v>4.1</v>
      </c>
      <c r="E74" s="15" t="s">
        <v>27</v>
      </c>
      <c r="F74" s="17">
        <v>1.0</v>
      </c>
      <c r="G74" s="51" t="s">
        <v>54</v>
      </c>
      <c r="H74" s="19">
        <v>7.95</v>
      </c>
      <c r="I74" s="19">
        <v>1.916</v>
      </c>
      <c r="J74" s="19">
        <v>0.005</v>
      </c>
      <c r="K74" s="19">
        <v>130.839</v>
      </c>
      <c r="L74" s="19">
        <v>26.365</v>
      </c>
      <c r="M74" s="19">
        <v>113.829</v>
      </c>
      <c r="N74" s="19">
        <v>26.061</v>
      </c>
      <c r="O74" s="19">
        <v>80.827</v>
      </c>
      <c r="P74" s="19">
        <v>28.405</v>
      </c>
      <c r="Q74" s="15"/>
    </row>
    <row r="75">
      <c r="A75" s="13" t="s">
        <v>19</v>
      </c>
      <c r="B75" s="14">
        <v>45460.0</v>
      </c>
      <c r="C75" s="15" t="s">
        <v>21</v>
      </c>
      <c r="D75" s="16">
        <v>4.2</v>
      </c>
      <c r="E75" s="15" t="s">
        <v>27</v>
      </c>
      <c r="F75" s="17">
        <v>1.0</v>
      </c>
      <c r="G75" s="51" t="s">
        <v>54</v>
      </c>
      <c r="H75" s="19">
        <v>8.156</v>
      </c>
      <c r="I75" s="19">
        <v>2.053</v>
      </c>
      <c r="J75" s="19">
        <v>0.027</v>
      </c>
      <c r="K75" s="19">
        <v>125.611</v>
      </c>
      <c r="L75" s="19">
        <v>20.701</v>
      </c>
      <c r="M75" s="19">
        <v>107.912</v>
      </c>
      <c r="N75" s="19">
        <v>23.328</v>
      </c>
      <c r="O75" s="19">
        <v>79.047</v>
      </c>
      <c r="P75" s="19">
        <v>27.501</v>
      </c>
      <c r="Q75" s="15" t="s">
        <v>56</v>
      </c>
    </row>
    <row r="76">
      <c r="A76" s="13" t="s">
        <v>19</v>
      </c>
      <c r="B76" s="14">
        <v>45460.0</v>
      </c>
      <c r="C76" s="15" t="s">
        <v>21</v>
      </c>
      <c r="D76" s="16">
        <v>4.3</v>
      </c>
      <c r="E76" s="15" t="s">
        <v>27</v>
      </c>
      <c r="F76" s="17">
        <v>1.0</v>
      </c>
      <c r="G76" s="51" t="s">
        <v>54</v>
      </c>
      <c r="H76" s="19">
        <v>7.827</v>
      </c>
      <c r="I76" s="19">
        <v>1.629</v>
      </c>
      <c r="J76" s="19">
        <v>0.037</v>
      </c>
      <c r="K76" s="19">
        <v>126.155</v>
      </c>
      <c r="L76" s="19">
        <v>21.177</v>
      </c>
      <c r="M76" s="19">
        <v>114.015</v>
      </c>
      <c r="N76" s="19">
        <v>24.936</v>
      </c>
      <c r="O76" s="19">
        <v>88.333</v>
      </c>
      <c r="P76" s="19">
        <v>32.251</v>
      </c>
      <c r="Q76" s="15"/>
    </row>
    <row r="77">
      <c r="A77" s="13" t="s">
        <v>19</v>
      </c>
      <c r="B77" s="14">
        <v>45460.0</v>
      </c>
      <c r="C77" s="15" t="s">
        <v>21</v>
      </c>
      <c r="D77" s="16">
        <v>4.4</v>
      </c>
      <c r="E77" s="52" t="s">
        <v>27</v>
      </c>
      <c r="F77" s="17">
        <v>1.0</v>
      </c>
      <c r="G77" s="51" t="s">
        <v>54</v>
      </c>
      <c r="H77" s="19">
        <v>7.344</v>
      </c>
      <c r="I77" s="19">
        <v>2.107</v>
      </c>
      <c r="J77" s="19">
        <v>0.022</v>
      </c>
      <c r="K77" s="19">
        <v>133.742</v>
      </c>
      <c r="L77" s="19">
        <v>25.447</v>
      </c>
      <c r="M77" s="19">
        <v>116.349</v>
      </c>
      <c r="N77" s="19">
        <v>27.298</v>
      </c>
      <c r="O77" s="19">
        <v>88.673</v>
      </c>
      <c r="P77" s="19">
        <v>27.405</v>
      </c>
      <c r="Q77" s="15"/>
    </row>
    <row r="78">
      <c r="A78" s="13" t="s">
        <v>19</v>
      </c>
      <c r="B78" s="14">
        <v>45460.0</v>
      </c>
      <c r="C78" s="15" t="s">
        <v>21</v>
      </c>
      <c r="D78" s="16">
        <v>5.1</v>
      </c>
      <c r="E78" s="15" t="s">
        <v>27</v>
      </c>
      <c r="F78" s="17">
        <v>1.0</v>
      </c>
      <c r="G78" s="51" t="s">
        <v>54</v>
      </c>
      <c r="H78" s="19">
        <v>8.583</v>
      </c>
      <c r="I78" s="19">
        <v>2.139</v>
      </c>
      <c r="J78" s="19">
        <v>0.02</v>
      </c>
      <c r="K78" s="19">
        <v>107.804</v>
      </c>
      <c r="L78" s="19">
        <v>42.513</v>
      </c>
      <c r="M78" s="19">
        <v>88.254</v>
      </c>
      <c r="N78" s="19">
        <v>54.531</v>
      </c>
      <c r="O78" s="19">
        <v>75.225</v>
      </c>
      <c r="P78" s="19">
        <v>44.098</v>
      </c>
      <c r="Q78" s="15"/>
    </row>
    <row r="79">
      <c r="A79" s="13" t="s">
        <v>19</v>
      </c>
      <c r="B79" s="14">
        <v>45460.0</v>
      </c>
      <c r="C79" s="15" t="s">
        <v>21</v>
      </c>
      <c r="D79" s="16">
        <v>5.2</v>
      </c>
      <c r="E79" s="15" t="s">
        <v>27</v>
      </c>
      <c r="F79" s="17">
        <v>1.0</v>
      </c>
      <c r="G79" s="51" t="s">
        <v>54</v>
      </c>
      <c r="H79" s="19">
        <v>8.998</v>
      </c>
      <c r="I79" s="19">
        <v>2.889</v>
      </c>
      <c r="J79" s="19">
        <v>0.004</v>
      </c>
      <c r="K79" s="19">
        <v>104.467</v>
      </c>
      <c r="L79" s="19">
        <v>31.589</v>
      </c>
      <c r="M79" s="19">
        <v>79.871</v>
      </c>
      <c r="N79" s="19">
        <v>33.702</v>
      </c>
      <c r="O79" s="19">
        <v>63.145</v>
      </c>
      <c r="P79" s="19">
        <v>30.008</v>
      </c>
      <c r="Q79" s="15"/>
    </row>
    <row r="80">
      <c r="A80" s="13" t="s">
        <v>19</v>
      </c>
      <c r="B80" s="14">
        <v>45460.0</v>
      </c>
      <c r="C80" s="15" t="s">
        <v>21</v>
      </c>
      <c r="D80" s="16">
        <v>5.3</v>
      </c>
      <c r="E80" s="15" t="s">
        <v>27</v>
      </c>
      <c r="F80" s="17">
        <v>1.0</v>
      </c>
      <c r="G80" s="51" t="s">
        <v>54</v>
      </c>
      <c r="H80" s="19">
        <v>9.413</v>
      </c>
      <c r="I80" s="19">
        <v>2.778</v>
      </c>
      <c r="J80" s="19">
        <v>0.032</v>
      </c>
      <c r="K80" s="19">
        <v>106.756</v>
      </c>
      <c r="L80" s="19">
        <v>39.08</v>
      </c>
      <c r="M80" s="19">
        <v>83.408</v>
      </c>
      <c r="N80" s="19">
        <v>39.599</v>
      </c>
      <c r="O80" s="19">
        <v>59.161</v>
      </c>
      <c r="P80" s="19">
        <v>35.742</v>
      </c>
      <c r="Q80" s="15"/>
    </row>
    <row r="81">
      <c r="A81" s="13" t="s">
        <v>19</v>
      </c>
      <c r="B81" s="14">
        <v>45460.0</v>
      </c>
      <c r="C81" s="15" t="s">
        <v>21</v>
      </c>
      <c r="D81" s="16">
        <v>5.4</v>
      </c>
      <c r="E81" s="52" t="s">
        <v>27</v>
      </c>
      <c r="F81" s="17">
        <v>1.0</v>
      </c>
      <c r="G81" s="51" t="s">
        <v>54</v>
      </c>
      <c r="H81" s="19">
        <v>8.6</v>
      </c>
      <c r="I81" s="19">
        <v>2.516</v>
      </c>
      <c r="J81" s="19">
        <v>0.044</v>
      </c>
      <c r="K81" s="19">
        <v>65.291</v>
      </c>
      <c r="L81" s="19">
        <v>28.19</v>
      </c>
      <c r="M81" s="19">
        <v>49.381</v>
      </c>
      <c r="N81" s="19">
        <v>26.632</v>
      </c>
      <c r="O81" s="19">
        <v>42.411</v>
      </c>
      <c r="P81" s="19">
        <v>24.709</v>
      </c>
      <c r="Q81" s="15"/>
    </row>
    <row r="82">
      <c r="A82" s="13" t="s">
        <v>19</v>
      </c>
      <c r="B82" s="14">
        <v>45460.0</v>
      </c>
      <c r="C82" s="15" t="s">
        <v>21</v>
      </c>
      <c r="D82" s="16">
        <v>6.1</v>
      </c>
      <c r="E82" s="15" t="s">
        <v>27</v>
      </c>
      <c r="F82" s="17">
        <v>1.0</v>
      </c>
      <c r="G82" s="51" t="s">
        <v>54</v>
      </c>
      <c r="H82" s="19">
        <v>8.507</v>
      </c>
      <c r="I82" s="19">
        <v>3.393</v>
      </c>
      <c r="J82" s="19">
        <v>0.043</v>
      </c>
      <c r="K82" s="19">
        <v>117.386</v>
      </c>
      <c r="L82" s="19">
        <v>40.708</v>
      </c>
      <c r="M82" s="19">
        <v>92.049</v>
      </c>
      <c r="N82" s="19">
        <v>38.523</v>
      </c>
      <c r="O82" s="19">
        <v>61.146</v>
      </c>
      <c r="P82" s="19">
        <v>33.171</v>
      </c>
      <c r="Q82" s="15"/>
    </row>
    <row r="83">
      <c r="A83" s="13" t="s">
        <v>19</v>
      </c>
      <c r="B83" s="14">
        <v>45460.0</v>
      </c>
      <c r="C83" s="15" t="s">
        <v>21</v>
      </c>
      <c r="D83" s="16">
        <v>6.2</v>
      </c>
      <c r="E83" s="15" t="s">
        <v>27</v>
      </c>
      <c r="F83" s="17">
        <v>1.0</v>
      </c>
      <c r="G83" s="51" t="s">
        <v>54</v>
      </c>
      <c r="H83" s="19">
        <v>7.605</v>
      </c>
      <c r="I83" s="19">
        <v>2.125</v>
      </c>
      <c r="J83" s="19">
        <v>0.04</v>
      </c>
      <c r="K83" s="19">
        <v>126.041</v>
      </c>
      <c r="L83" s="19">
        <v>31.3</v>
      </c>
      <c r="M83" s="19">
        <v>104.217</v>
      </c>
      <c r="N83" s="19">
        <v>31.264</v>
      </c>
      <c r="O83" s="19">
        <v>64.172</v>
      </c>
      <c r="P83" s="19">
        <v>31.144</v>
      </c>
      <c r="Q83" s="15"/>
    </row>
    <row r="84">
      <c r="A84" s="13" t="s">
        <v>19</v>
      </c>
      <c r="B84" s="14">
        <v>45460.0</v>
      </c>
      <c r="C84" s="15" t="s">
        <v>21</v>
      </c>
      <c r="D84" s="16">
        <v>6.3</v>
      </c>
      <c r="E84" s="15" t="s">
        <v>27</v>
      </c>
      <c r="F84" s="17">
        <v>1.0</v>
      </c>
      <c r="G84" s="51" t="s">
        <v>54</v>
      </c>
      <c r="H84" s="19">
        <v>8.181</v>
      </c>
      <c r="I84" s="19">
        <v>2.178</v>
      </c>
      <c r="J84" s="19">
        <v>0.043</v>
      </c>
      <c r="K84" s="19">
        <v>129.101</v>
      </c>
      <c r="L84" s="19">
        <v>32.016</v>
      </c>
      <c r="M84" s="19">
        <v>107.927</v>
      </c>
      <c r="N84" s="19">
        <v>30.811</v>
      </c>
      <c r="O84" s="19">
        <v>72.866</v>
      </c>
      <c r="P84" s="19">
        <v>31.576</v>
      </c>
      <c r="Q84" s="15"/>
    </row>
    <row r="85">
      <c r="A85" s="13" t="s">
        <v>19</v>
      </c>
      <c r="B85" s="14">
        <v>45460.0</v>
      </c>
      <c r="C85" s="15" t="s">
        <v>21</v>
      </c>
      <c r="D85" s="16">
        <v>6.4</v>
      </c>
      <c r="E85" s="52" t="s">
        <v>27</v>
      </c>
      <c r="F85" s="17">
        <v>1.0</v>
      </c>
      <c r="G85" s="51" t="s">
        <v>54</v>
      </c>
      <c r="H85" s="19">
        <v>7.705</v>
      </c>
      <c r="I85" s="19">
        <v>2.249</v>
      </c>
      <c r="J85" s="19">
        <v>0.054</v>
      </c>
      <c r="K85" s="19">
        <v>107.339</v>
      </c>
      <c r="L85" s="19">
        <v>27.896</v>
      </c>
      <c r="M85" s="19">
        <v>88.766</v>
      </c>
      <c r="N85" s="19">
        <v>28.832</v>
      </c>
      <c r="O85" s="19">
        <v>53.076</v>
      </c>
      <c r="P85" s="19">
        <v>27.128</v>
      </c>
      <c r="Q85" s="15"/>
    </row>
    <row r="86">
      <c r="A86" s="13" t="s">
        <v>19</v>
      </c>
      <c r="B86" s="14">
        <v>45460.0</v>
      </c>
      <c r="C86" s="15" t="s">
        <v>24</v>
      </c>
      <c r="D86" s="16">
        <v>4.1</v>
      </c>
      <c r="E86" s="15" t="s">
        <v>27</v>
      </c>
      <c r="F86" s="17">
        <v>1.0</v>
      </c>
      <c r="G86" s="51" t="s">
        <v>54</v>
      </c>
      <c r="H86" s="19">
        <v>10.992</v>
      </c>
      <c r="I86" s="19">
        <v>5.149</v>
      </c>
      <c r="J86" s="19">
        <v>0.041</v>
      </c>
      <c r="K86" s="19">
        <v>147.9</v>
      </c>
      <c r="L86" s="19">
        <v>12.167</v>
      </c>
      <c r="M86" s="19">
        <v>123.259</v>
      </c>
      <c r="N86" s="19">
        <v>14.18</v>
      </c>
      <c r="O86" s="19">
        <v>87.658</v>
      </c>
      <c r="P86" s="19">
        <v>18.541</v>
      </c>
      <c r="Q86" s="15"/>
    </row>
    <row r="87">
      <c r="A87" s="13" t="s">
        <v>19</v>
      </c>
      <c r="B87" s="14">
        <v>45460.0</v>
      </c>
      <c r="C87" s="15" t="s">
        <v>24</v>
      </c>
      <c r="D87" s="16">
        <v>4.2</v>
      </c>
      <c r="E87" s="15" t="s">
        <v>27</v>
      </c>
      <c r="F87" s="17">
        <v>1.0</v>
      </c>
      <c r="G87" s="51" t="s">
        <v>54</v>
      </c>
      <c r="H87" s="19">
        <v>11.824</v>
      </c>
      <c r="I87" s="19">
        <v>5.796</v>
      </c>
      <c r="J87" s="19">
        <v>0.04</v>
      </c>
      <c r="K87" s="19">
        <v>140.464</v>
      </c>
      <c r="L87" s="19">
        <v>10.85</v>
      </c>
      <c r="M87" s="19">
        <v>115.962</v>
      </c>
      <c r="N87" s="19">
        <v>12.835</v>
      </c>
      <c r="O87" s="19">
        <v>81.304</v>
      </c>
      <c r="P87" s="19">
        <v>16.828</v>
      </c>
      <c r="Q87" s="15" t="s">
        <v>57</v>
      </c>
    </row>
    <row r="88">
      <c r="A88" s="13" t="s">
        <v>19</v>
      </c>
      <c r="B88" s="14">
        <v>45460.0</v>
      </c>
      <c r="C88" s="15" t="s">
        <v>24</v>
      </c>
      <c r="D88" s="16">
        <v>4.3</v>
      </c>
      <c r="E88" s="15" t="s">
        <v>27</v>
      </c>
      <c r="F88" s="17">
        <v>1.0</v>
      </c>
      <c r="G88" s="51" t="s">
        <v>54</v>
      </c>
      <c r="H88" s="19">
        <v>12.259</v>
      </c>
      <c r="I88" s="19">
        <v>6.592</v>
      </c>
      <c r="J88" s="19">
        <v>0.031</v>
      </c>
      <c r="K88" s="19">
        <v>143.804</v>
      </c>
      <c r="L88" s="19">
        <v>10.65</v>
      </c>
      <c r="M88" s="19">
        <v>120.444</v>
      </c>
      <c r="N88" s="19">
        <v>13.281</v>
      </c>
      <c r="O88" s="19">
        <v>85.583</v>
      </c>
      <c r="P88" s="19">
        <v>17.44</v>
      </c>
      <c r="Q88" s="15"/>
    </row>
    <row r="89">
      <c r="A89" s="13" t="s">
        <v>19</v>
      </c>
      <c r="B89" s="14">
        <v>45460.0</v>
      </c>
      <c r="C89" s="15" t="s">
        <v>24</v>
      </c>
      <c r="D89" s="16">
        <v>4.4</v>
      </c>
      <c r="E89" s="52" t="s">
        <v>27</v>
      </c>
      <c r="F89" s="17">
        <v>1.0</v>
      </c>
      <c r="G89" s="51" t="s">
        <v>54</v>
      </c>
      <c r="H89" s="19">
        <v>11.874</v>
      </c>
      <c r="I89" s="19">
        <v>5.882</v>
      </c>
      <c r="J89" s="19">
        <v>0.045</v>
      </c>
      <c r="K89" s="19">
        <v>130.718</v>
      </c>
      <c r="L89" s="19">
        <v>10.987</v>
      </c>
      <c r="M89" s="19">
        <v>106.568</v>
      </c>
      <c r="N89" s="19">
        <v>12.504</v>
      </c>
      <c r="O89" s="19">
        <v>65.627</v>
      </c>
      <c r="P89" s="19">
        <v>13.789</v>
      </c>
      <c r="Q89" s="15"/>
    </row>
    <row r="90">
      <c r="A90" s="13" t="s">
        <v>19</v>
      </c>
      <c r="B90" s="14">
        <v>45460.0</v>
      </c>
      <c r="C90" s="15" t="s">
        <v>24</v>
      </c>
      <c r="D90" s="16">
        <v>5.1</v>
      </c>
      <c r="E90" s="15" t="s">
        <v>27</v>
      </c>
      <c r="F90" s="17">
        <v>1.0</v>
      </c>
      <c r="G90" s="51" t="s">
        <v>54</v>
      </c>
      <c r="H90" s="19">
        <v>9.282</v>
      </c>
      <c r="I90" s="19">
        <v>4.441</v>
      </c>
      <c r="J90" s="19">
        <v>0.071</v>
      </c>
      <c r="K90" s="19">
        <v>131.766</v>
      </c>
      <c r="L90" s="19">
        <v>25.064</v>
      </c>
      <c r="M90" s="19">
        <v>127.795</v>
      </c>
      <c r="N90" s="19">
        <v>22.85</v>
      </c>
      <c r="O90" s="19">
        <v>86.554</v>
      </c>
      <c r="P90" s="19">
        <v>31.832</v>
      </c>
      <c r="Q90" s="15"/>
    </row>
    <row r="91">
      <c r="A91" s="13" t="s">
        <v>19</v>
      </c>
      <c r="B91" s="14">
        <v>45460.0</v>
      </c>
      <c r="C91" s="15" t="s">
        <v>24</v>
      </c>
      <c r="D91" s="16">
        <v>5.2</v>
      </c>
      <c r="E91" s="15" t="s">
        <v>27</v>
      </c>
      <c r="F91" s="17">
        <v>1.0</v>
      </c>
      <c r="G91" s="51" t="s">
        <v>54</v>
      </c>
      <c r="H91" s="19">
        <v>8.477</v>
      </c>
      <c r="I91" s="19">
        <v>3.269</v>
      </c>
      <c r="J91" s="19">
        <v>0.032</v>
      </c>
      <c r="K91" s="19">
        <v>128.6</v>
      </c>
      <c r="L91" s="19">
        <v>16.105</v>
      </c>
      <c r="M91" s="19">
        <v>121.859</v>
      </c>
      <c r="N91" s="19">
        <v>16.98</v>
      </c>
      <c r="O91" s="19">
        <v>79.976</v>
      </c>
      <c r="P91" s="19">
        <v>25.786</v>
      </c>
      <c r="Q91" s="15"/>
    </row>
    <row r="92">
      <c r="A92" s="13" t="s">
        <v>19</v>
      </c>
      <c r="B92" s="14">
        <v>45460.0</v>
      </c>
      <c r="C92" s="15" t="s">
        <v>24</v>
      </c>
      <c r="D92" s="16">
        <v>5.3</v>
      </c>
      <c r="E92" s="15" t="s">
        <v>27</v>
      </c>
      <c r="F92" s="17">
        <v>1.0</v>
      </c>
      <c r="G92" s="51" t="s">
        <v>54</v>
      </c>
      <c r="H92" s="19">
        <v>8.968</v>
      </c>
      <c r="I92" s="19">
        <v>3.86</v>
      </c>
      <c r="J92" s="19">
        <v>0.036</v>
      </c>
      <c r="K92" s="19">
        <v>138.241</v>
      </c>
      <c r="L92" s="19">
        <v>18.752</v>
      </c>
      <c r="M92" s="19">
        <v>131.713</v>
      </c>
      <c r="N92" s="19">
        <v>18.249</v>
      </c>
      <c r="O92" s="19">
        <v>83.9</v>
      </c>
      <c r="P92" s="19">
        <v>26.824</v>
      </c>
      <c r="Q92" s="15"/>
    </row>
    <row r="93">
      <c r="A93" s="13" t="s">
        <v>19</v>
      </c>
      <c r="B93" s="14">
        <v>45460.0</v>
      </c>
      <c r="C93" s="15" t="s">
        <v>24</v>
      </c>
      <c r="D93" s="16">
        <v>5.4</v>
      </c>
      <c r="E93" s="52" t="s">
        <v>27</v>
      </c>
      <c r="F93" s="17">
        <v>1.0</v>
      </c>
      <c r="G93" s="51" t="s">
        <v>54</v>
      </c>
      <c r="H93" s="19">
        <v>9.08</v>
      </c>
      <c r="I93" s="19">
        <v>3.808</v>
      </c>
      <c r="J93" s="19">
        <v>0.015</v>
      </c>
      <c r="K93" s="19">
        <v>128.233</v>
      </c>
      <c r="L93" s="19">
        <v>13.046</v>
      </c>
      <c r="M93" s="19">
        <v>114.314</v>
      </c>
      <c r="N93" s="19">
        <v>15.959</v>
      </c>
      <c r="O93" s="19">
        <v>82.051</v>
      </c>
      <c r="P93" s="19">
        <v>24.14</v>
      </c>
      <c r="Q93" s="15"/>
    </row>
    <row r="94">
      <c r="A94" s="13" t="s">
        <v>19</v>
      </c>
      <c r="B94" s="14">
        <v>45460.0</v>
      </c>
      <c r="C94" s="15" t="s">
        <v>24</v>
      </c>
      <c r="D94" s="16">
        <v>6.1</v>
      </c>
      <c r="E94" s="15" t="s">
        <v>27</v>
      </c>
      <c r="F94" s="17">
        <v>1.0</v>
      </c>
      <c r="G94" s="51" t="s">
        <v>54</v>
      </c>
      <c r="H94" s="19">
        <v>10.843</v>
      </c>
      <c r="I94" s="19">
        <v>5.78</v>
      </c>
      <c r="J94" s="19">
        <v>0.035</v>
      </c>
      <c r="K94" s="19">
        <v>141.783</v>
      </c>
      <c r="L94" s="19">
        <v>17.831</v>
      </c>
      <c r="M94" s="19">
        <v>119.396</v>
      </c>
      <c r="N94" s="19">
        <v>17.878</v>
      </c>
      <c r="O94" s="19">
        <v>86.208</v>
      </c>
      <c r="P94" s="19">
        <v>23.604</v>
      </c>
      <c r="Q94" s="15"/>
    </row>
    <row r="95">
      <c r="A95" s="13" t="s">
        <v>19</v>
      </c>
      <c r="B95" s="14">
        <v>45460.0</v>
      </c>
      <c r="C95" s="15" t="s">
        <v>24</v>
      </c>
      <c r="D95" s="16">
        <v>6.2</v>
      </c>
      <c r="E95" s="15" t="s">
        <v>27</v>
      </c>
      <c r="F95" s="17">
        <v>1.0</v>
      </c>
      <c r="G95" s="51" t="s">
        <v>54</v>
      </c>
      <c r="H95" s="19">
        <v>10.379</v>
      </c>
      <c r="I95" s="19">
        <v>6.159</v>
      </c>
      <c r="J95" s="19">
        <v>0.029</v>
      </c>
      <c r="K95" s="19">
        <v>164.858</v>
      </c>
      <c r="L95" s="19">
        <v>19.213</v>
      </c>
      <c r="M95" s="19">
        <v>137.639</v>
      </c>
      <c r="N95" s="19">
        <v>19.402</v>
      </c>
      <c r="O95" s="19">
        <v>92.944</v>
      </c>
      <c r="P95" s="19">
        <v>25.488</v>
      </c>
      <c r="Q95" s="15"/>
    </row>
    <row r="96">
      <c r="A96" s="13" t="s">
        <v>19</v>
      </c>
      <c r="B96" s="14">
        <v>45460.0</v>
      </c>
      <c r="C96" s="15" t="s">
        <v>24</v>
      </c>
      <c r="D96" s="16">
        <v>6.3</v>
      </c>
      <c r="E96" s="15" t="s">
        <v>27</v>
      </c>
      <c r="F96" s="17">
        <v>1.0</v>
      </c>
      <c r="G96" s="51" t="s">
        <v>54</v>
      </c>
      <c r="H96" s="19">
        <v>10.309</v>
      </c>
      <c r="I96" s="19">
        <v>5.001</v>
      </c>
      <c r="J96" s="19">
        <v>0.053</v>
      </c>
      <c r="K96" s="19">
        <v>160.473</v>
      </c>
      <c r="L96" s="19">
        <v>14.049</v>
      </c>
      <c r="M96" s="19">
        <v>131.302</v>
      </c>
      <c r="N96" s="19">
        <v>14.323</v>
      </c>
      <c r="O96" s="19">
        <v>90.687</v>
      </c>
      <c r="P96" s="19">
        <v>20.451</v>
      </c>
      <c r="Q96" s="15"/>
    </row>
    <row r="97">
      <c r="A97" s="13" t="s">
        <v>19</v>
      </c>
      <c r="B97" s="14">
        <v>45460.0</v>
      </c>
      <c r="C97" s="15" t="s">
        <v>24</v>
      </c>
      <c r="D97" s="16">
        <v>6.4</v>
      </c>
      <c r="E97" s="52" t="s">
        <v>27</v>
      </c>
      <c r="F97" s="17">
        <v>1.0</v>
      </c>
      <c r="G97" s="51" t="s">
        <v>54</v>
      </c>
      <c r="H97" s="19">
        <v>9.961</v>
      </c>
      <c r="I97" s="19">
        <v>4.953</v>
      </c>
      <c r="J97" s="19">
        <v>0.057</v>
      </c>
      <c r="K97" s="19">
        <v>131.54</v>
      </c>
      <c r="L97" s="19">
        <v>13.602</v>
      </c>
      <c r="M97" s="19">
        <v>109.673</v>
      </c>
      <c r="N97" s="19">
        <v>12.892</v>
      </c>
      <c r="O97" s="19">
        <v>76.132</v>
      </c>
      <c r="P97" s="19">
        <v>17.449</v>
      </c>
      <c r="Q97" s="15"/>
    </row>
    <row r="98">
      <c r="A98" s="13" t="s">
        <v>19</v>
      </c>
      <c r="B98" s="14">
        <v>45460.0</v>
      </c>
      <c r="C98" s="15" t="s">
        <v>25</v>
      </c>
      <c r="D98" s="16">
        <v>4.1</v>
      </c>
      <c r="E98" s="15" t="s">
        <v>27</v>
      </c>
      <c r="F98" s="17">
        <v>1.0</v>
      </c>
      <c r="G98" s="51" t="s">
        <v>54</v>
      </c>
      <c r="H98" s="19">
        <v>10.981</v>
      </c>
      <c r="I98" s="19">
        <v>5.297</v>
      </c>
      <c r="J98" s="19">
        <v>0.022</v>
      </c>
      <c r="K98" s="19">
        <v>149.128</v>
      </c>
      <c r="L98" s="19">
        <v>31.386</v>
      </c>
      <c r="M98" s="19">
        <v>133.273</v>
      </c>
      <c r="N98" s="19">
        <v>30.352</v>
      </c>
      <c r="O98" s="19">
        <v>92.52</v>
      </c>
      <c r="P98" s="19">
        <v>26.824</v>
      </c>
      <c r="Q98" s="15"/>
    </row>
    <row r="99">
      <c r="A99" s="13" t="s">
        <v>19</v>
      </c>
      <c r="B99" s="14">
        <v>45460.0</v>
      </c>
      <c r="C99" s="15" t="s">
        <v>25</v>
      </c>
      <c r="D99" s="16">
        <v>4.2</v>
      </c>
      <c r="E99" s="15" t="s">
        <v>27</v>
      </c>
      <c r="F99" s="17">
        <v>1.0</v>
      </c>
      <c r="G99" s="51" t="s">
        <v>54</v>
      </c>
      <c r="H99" s="19">
        <v>9.648</v>
      </c>
      <c r="I99" s="19">
        <v>3.559</v>
      </c>
      <c r="J99" s="19">
        <v>0.041</v>
      </c>
      <c r="K99" s="19">
        <v>140.068</v>
      </c>
      <c r="L99" s="19">
        <v>31.215</v>
      </c>
      <c r="M99" s="19">
        <v>127.303</v>
      </c>
      <c r="N99" s="19">
        <v>31.287</v>
      </c>
      <c r="O99" s="19">
        <v>92.661</v>
      </c>
      <c r="P99" s="19">
        <v>29.43</v>
      </c>
      <c r="Q99" s="15"/>
    </row>
    <row r="100">
      <c r="A100" s="13" t="s">
        <v>19</v>
      </c>
      <c r="B100" s="14">
        <v>45460.0</v>
      </c>
      <c r="C100" s="15" t="s">
        <v>25</v>
      </c>
      <c r="D100" s="16">
        <v>4.3</v>
      </c>
      <c r="E100" s="15" t="s">
        <v>27</v>
      </c>
      <c r="F100" s="17">
        <v>1.0</v>
      </c>
      <c r="G100" s="51" t="s">
        <v>54</v>
      </c>
      <c r="H100" s="19">
        <v>11.426</v>
      </c>
      <c r="I100" s="19">
        <v>3.851</v>
      </c>
      <c r="J100" s="19">
        <v>0.114</v>
      </c>
      <c r="K100" s="19">
        <v>135.799</v>
      </c>
      <c r="L100" s="19">
        <v>29.025</v>
      </c>
      <c r="M100" s="19">
        <v>123.565</v>
      </c>
      <c r="N100" s="19">
        <v>29.444</v>
      </c>
      <c r="O100" s="19">
        <v>88.14</v>
      </c>
      <c r="P100" s="19">
        <v>27.084</v>
      </c>
      <c r="Q100" s="15"/>
    </row>
    <row r="101">
      <c r="A101" s="13" t="s">
        <v>19</v>
      </c>
      <c r="B101" s="14">
        <v>45460.0</v>
      </c>
      <c r="C101" s="15" t="s">
        <v>25</v>
      </c>
      <c r="D101" s="16">
        <v>4.4</v>
      </c>
      <c r="E101" s="52" t="s">
        <v>27</v>
      </c>
      <c r="F101" s="17">
        <v>1.0</v>
      </c>
      <c r="G101" s="51" t="s">
        <v>54</v>
      </c>
      <c r="H101" s="19">
        <v>10.494</v>
      </c>
      <c r="I101" s="19">
        <v>4.42</v>
      </c>
      <c r="J101" s="19">
        <v>0.078</v>
      </c>
      <c r="K101" s="19">
        <v>117.619</v>
      </c>
      <c r="L101" s="19">
        <v>27.913</v>
      </c>
      <c r="M101" s="19">
        <v>105.628</v>
      </c>
      <c r="N101" s="19">
        <v>27.137</v>
      </c>
      <c r="O101" s="19">
        <v>74.294</v>
      </c>
      <c r="P101" s="19">
        <v>24.044</v>
      </c>
      <c r="Q101" s="15"/>
    </row>
    <row r="102">
      <c r="A102" s="13" t="s">
        <v>19</v>
      </c>
      <c r="B102" s="14">
        <v>45460.0</v>
      </c>
      <c r="C102" s="15" t="s">
        <v>25</v>
      </c>
      <c r="D102" s="16">
        <v>5.1</v>
      </c>
      <c r="E102" s="15" t="s">
        <v>27</v>
      </c>
      <c r="F102" s="17">
        <v>1.0</v>
      </c>
      <c r="G102" s="51" t="s">
        <v>54</v>
      </c>
      <c r="H102" s="19">
        <v>8.978</v>
      </c>
      <c r="I102" s="19">
        <v>2.848</v>
      </c>
      <c r="J102" s="19">
        <v>0.035</v>
      </c>
      <c r="K102" s="19">
        <v>152.384</v>
      </c>
      <c r="L102" s="19">
        <v>27.562</v>
      </c>
      <c r="M102" s="19">
        <v>134.465</v>
      </c>
      <c r="N102" s="19">
        <v>28.134</v>
      </c>
      <c r="O102" s="19">
        <v>93.724</v>
      </c>
      <c r="P102" s="19">
        <v>26.647</v>
      </c>
      <c r="Q102" s="15"/>
    </row>
    <row r="103">
      <c r="A103" s="13" t="s">
        <v>19</v>
      </c>
      <c r="B103" s="14">
        <v>45460.0</v>
      </c>
      <c r="C103" s="15" t="s">
        <v>25</v>
      </c>
      <c r="D103" s="16">
        <v>5.2</v>
      </c>
      <c r="E103" s="15" t="s">
        <v>27</v>
      </c>
      <c r="F103" s="17">
        <v>1.0</v>
      </c>
      <c r="G103" s="51" t="s">
        <v>54</v>
      </c>
      <c r="H103" s="19">
        <v>8.633</v>
      </c>
      <c r="I103" s="19">
        <v>2.815</v>
      </c>
      <c r="J103" s="19">
        <v>0.017</v>
      </c>
      <c r="K103" s="19">
        <v>162.827</v>
      </c>
      <c r="L103" s="19">
        <v>28.164</v>
      </c>
      <c r="M103" s="19">
        <v>145.447</v>
      </c>
      <c r="N103" s="19">
        <v>30.064</v>
      </c>
      <c r="O103" s="19">
        <v>105.289</v>
      </c>
      <c r="P103" s="19">
        <v>31.405</v>
      </c>
      <c r="Q103" s="15"/>
    </row>
    <row r="104">
      <c r="A104" s="13" t="s">
        <v>19</v>
      </c>
      <c r="B104" s="14">
        <v>45460.0</v>
      </c>
      <c r="C104" s="15" t="s">
        <v>25</v>
      </c>
      <c r="D104" s="16">
        <v>5.3</v>
      </c>
      <c r="E104" s="15" t="s">
        <v>27</v>
      </c>
      <c r="F104" s="17">
        <v>1.0</v>
      </c>
      <c r="G104" s="51" t="s">
        <v>54</v>
      </c>
      <c r="H104" s="19">
        <v>9.417</v>
      </c>
      <c r="I104" s="19">
        <v>3.613</v>
      </c>
      <c r="J104" s="19">
        <v>0.026</v>
      </c>
      <c r="K104" s="19">
        <v>133.686</v>
      </c>
      <c r="L104" s="19">
        <v>32.842</v>
      </c>
      <c r="M104" s="19">
        <v>118.422</v>
      </c>
      <c r="N104" s="19">
        <v>34.772</v>
      </c>
      <c r="O104" s="19">
        <v>87.093</v>
      </c>
      <c r="P104" s="19">
        <v>34.533</v>
      </c>
      <c r="Q104" s="15"/>
    </row>
    <row r="105">
      <c r="A105" s="13" t="s">
        <v>19</v>
      </c>
      <c r="B105" s="14">
        <v>45460.0</v>
      </c>
      <c r="C105" s="15" t="s">
        <v>25</v>
      </c>
      <c r="D105" s="16">
        <v>5.4</v>
      </c>
      <c r="E105" s="52" t="s">
        <v>27</v>
      </c>
      <c r="F105" s="17">
        <v>1.0</v>
      </c>
      <c r="G105" s="51" t="s">
        <v>54</v>
      </c>
      <c r="H105" s="19">
        <v>9.876</v>
      </c>
      <c r="I105" s="19">
        <v>3.929</v>
      </c>
      <c r="J105" s="19">
        <v>0.055</v>
      </c>
      <c r="K105" s="19">
        <v>160.018</v>
      </c>
      <c r="L105" s="19">
        <v>28.988</v>
      </c>
      <c r="M105" s="19">
        <v>142.697</v>
      </c>
      <c r="N105" s="19">
        <v>29.882</v>
      </c>
      <c r="O105" s="19">
        <v>107.86</v>
      </c>
      <c r="P105" s="19">
        <v>28.627</v>
      </c>
      <c r="Q105" s="15"/>
    </row>
    <row r="106">
      <c r="A106" s="13" t="s">
        <v>19</v>
      </c>
      <c r="B106" s="14">
        <v>45460.0</v>
      </c>
      <c r="C106" s="15" t="s">
        <v>25</v>
      </c>
      <c r="D106" s="16">
        <v>6.1</v>
      </c>
      <c r="E106" s="15" t="s">
        <v>27</v>
      </c>
      <c r="F106" s="17">
        <v>1.0</v>
      </c>
      <c r="G106" s="51" t="s">
        <v>54</v>
      </c>
      <c r="H106" s="19">
        <v>9.59</v>
      </c>
      <c r="I106" s="19">
        <v>5.258</v>
      </c>
      <c r="J106" s="19">
        <v>0.021</v>
      </c>
      <c r="K106" s="19">
        <v>152.918</v>
      </c>
      <c r="L106" s="19">
        <v>30.964</v>
      </c>
      <c r="M106" s="19">
        <v>136.319</v>
      </c>
      <c r="N106" s="19">
        <v>32.193</v>
      </c>
      <c r="O106" s="19">
        <v>99.206</v>
      </c>
      <c r="P106" s="19">
        <v>33.864</v>
      </c>
      <c r="Q106" s="15"/>
    </row>
    <row r="107">
      <c r="A107" s="13" t="s">
        <v>19</v>
      </c>
      <c r="B107" s="14">
        <v>45460.0</v>
      </c>
      <c r="C107" s="15" t="s">
        <v>25</v>
      </c>
      <c r="D107" s="16">
        <v>6.2</v>
      </c>
      <c r="E107" s="15" t="s">
        <v>27</v>
      </c>
      <c r="F107" s="17">
        <v>1.0</v>
      </c>
      <c r="G107" s="51" t="s">
        <v>54</v>
      </c>
      <c r="H107" s="19">
        <v>13.42</v>
      </c>
      <c r="I107" s="19">
        <v>5.239</v>
      </c>
      <c r="J107" s="19">
        <v>0.037</v>
      </c>
      <c r="K107" s="19">
        <v>157.003</v>
      </c>
      <c r="L107" s="19">
        <v>28.057</v>
      </c>
      <c r="M107" s="19">
        <v>140.486</v>
      </c>
      <c r="N107" s="19">
        <v>30.011</v>
      </c>
      <c r="O107" s="19">
        <v>103.405</v>
      </c>
      <c r="P107" s="19">
        <v>31.81</v>
      </c>
      <c r="Q107" s="15"/>
    </row>
    <row r="108">
      <c r="A108" s="13" t="s">
        <v>19</v>
      </c>
      <c r="B108" s="14">
        <v>45460.0</v>
      </c>
      <c r="C108" s="15" t="s">
        <v>25</v>
      </c>
      <c r="D108" s="16">
        <v>6.3</v>
      </c>
      <c r="E108" s="15" t="s">
        <v>27</v>
      </c>
      <c r="F108" s="17">
        <v>1.0</v>
      </c>
      <c r="G108" s="51" t="s">
        <v>54</v>
      </c>
      <c r="H108" s="19">
        <v>11.964</v>
      </c>
      <c r="I108" s="19">
        <v>5.231</v>
      </c>
      <c r="J108" s="19">
        <v>0.094</v>
      </c>
      <c r="K108" s="19">
        <v>137.76</v>
      </c>
      <c r="L108" s="19">
        <v>32.797</v>
      </c>
      <c r="M108" s="19">
        <v>120.759</v>
      </c>
      <c r="N108" s="19">
        <v>35.024</v>
      </c>
      <c r="O108" s="19">
        <v>70.299</v>
      </c>
      <c r="P108" s="19">
        <v>35.974</v>
      </c>
      <c r="Q108" s="15"/>
    </row>
    <row r="109">
      <c r="A109" s="13" t="s">
        <v>19</v>
      </c>
      <c r="B109" s="14">
        <v>45460.0</v>
      </c>
      <c r="C109" s="15" t="s">
        <v>25</v>
      </c>
      <c r="D109" s="16">
        <v>6.4</v>
      </c>
      <c r="E109" s="52" t="s">
        <v>27</v>
      </c>
      <c r="F109" s="17">
        <v>1.0</v>
      </c>
      <c r="G109" s="51" t="s">
        <v>54</v>
      </c>
      <c r="H109" s="19">
        <v>13.054</v>
      </c>
      <c r="I109" s="19">
        <v>5.216</v>
      </c>
      <c r="J109" s="19">
        <v>0.05</v>
      </c>
      <c r="K109" s="19">
        <v>138.667</v>
      </c>
      <c r="L109" s="19">
        <v>27.125</v>
      </c>
      <c r="M109" s="19">
        <v>123.352</v>
      </c>
      <c r="N109" s="19">
        <v>27.675</v>
      </c>
      <c r="O109" s="19">
        <v>87.662</v>
      </c>
      <c r="P109" s="19">
        <v>26.997</v>
      </c>
      <c r="Q109" s="15"/>
    </row>
    <row r="110">
      <c r="A110" s="13" t="s">
        <v>19</v>
      </c>
      <c r="B110" s="14">
        <v>45482.0</v>
      </c>
      <c r="C110" s="15" t="s">
        <v>21</v>
      </c>
      <c r="D110" s="16">
        <v>4.1</v>
      </c>
      <c r="E110" s="15" t="s">
        <v>27</v>
      </c>
      <c r="F110" s="17">
        <v>1.0</v>
      </c>
      <c r="G110" s="51" t="s">
        <v>55</v>
      </c>
      <c r="H110" s="19">
        <v>7.8458</v>
      </c>
      <c r="I110" s="19">
        <v>2.34</v>
      </c>
      <c r="J110" s="19">
        <v>0.087</v>
      </c>
      <c r="K110" s="19">
        <v>139.711</v>
      </c>
      <c r="L110" s="19">
        <v>26.064</v>
      </c>
      <c r="M110" s="19">
        <v>115.268</v>
      </c>
      <c r="N110" s="19">
        <v>30.941</v>
      </c>
      <c r="O110" s="19">
        <v>69.159</v>
      </c>
      <c r="P110" s="19">
        <v>35.687</v>
      </c>
      <c r="Q110" s="15"/>
    </row>
    <row r="111">
      <c r="A111" s="13" t="s">
        <v>19</v>
      </c>
      <c r="B111" s="14">
        <v>45482.0</v>
      </c>
      <c r="C111" s="15" t="s">
        <v>21</v>
      </c>
      <c r="D111" s="16">
        <v>4.2</v>
      </c>
      <c r="E111" s="15" t="s">
        <v>27</v>
      </c>
      <c r="F111" s="17">
        <v>1.0</v>
      </c>
      <c r="G111" s="51" t="s">
        <v>55</v>
      </c>
      <c r="H111" s="16">
        <v>8.1645</v>
      </c>
      <c r="I111" s="19">
        <v>3.002</v>
      </c>
      <c r="J111" s="19">
        <v>0.049</v>
      </c>
      <c r="K111" s="19">
        <v>119.769</v>
      </c>
      <c r="L111" s="19">
        <v>25.083</v>
      </c>
      <c r="M111" s="19">
        <v>87.802</v>
      </c>
      <c r="N111" s="19">
        <v>26.825</v>
      </c>
      <c r="O111" s="19">
        <v>38.26</v>
      </c>
      <c r="P111" s="19">
        <v>20.476</v>
      </c>
      <c r="Q111" s="15" t="s">
        <v>56</v>
      </c>
    </row>
    <row r="112">
      <c r="A112" s="13" t="s">
        <v>19</v>
      </c>
      <c r="B112" s="14">
        <v>45482.0</v>
      </c>
      <c r="C112" s="15" t="s">
        <v>21</v>
      </c>
      <c r="D112" s="16">
        <v>4.3</v>
      </c>
      <c r="E112" s="15" t="s">
        <v>27</v>
      </c>
      <c r="F112" s="17">
        <v>1.0</v>
      </c>
      <c r="G112" s="51" t="s">
        <v>55</v>
      </c>
      <c r="H112" s="19">
        <v>7.8418</v>
      </c>
      <c r="I112" s="19">
        <v>1.999</v>
      </c>
      <c r="J112" s="19">
        <v>0.029</v>
      </c>
      <c r="K112" s="19">
        <v>155.628</v>
      </c>
      <c r="L112" s="19">
        <v>27.06</v>
      </c>
      <c r="M112" s="19">
        <v>124.573</v>
      </c>
      <c r="N112" s="19">
        <v>30.327</v>
      </c>
      <c r="O112" s="19">
        <v>65.385</v>
      </c>
      <c r="P112" s="19">
        <v>26.339</v>
      </c>
      <c r="Q112" s="15"/>
    </row>
    <row r="113">
      <c r="A113" s="13" t="s">
        <v>19</v>
      </c>
      <c r="B113" s="14">
        <v>45482.0</v>
      </c>
      <c r="C113" s="15" t="s">
        <v>21</v>
      </c>
      <c r="D113" s="16">
        <v>4.4</v>
      </c>
      <c r="E113" s="52" t="s">
        <v>27</v>
      </c>
      <c r="F113" s="17">
        <v>1.0</v>
      </c>
      <c r="G113" s="51" t="s">
        <v>55</v>
      </c>
      <c r="H113" s="19">
        <v>7.3755</v>
      </c>
      <c r="I113" s="19">
        <v>1.57</v>
      </c>
      <c r="J113" s="19">
        <v>0.049</v>
      </c>
      <c r="K113" s="19">
        <v>124.923</v>
      </c>
      <c r="L113" s="19">
        <v>21.811</v>
      </c>
      <c r="M113" s="19">
        <v>105.214</v>
      </c>
      <c r="N113" s="19">
        <v>24.456</v>
      </c>
      <c r="O113" s="19">
        <v>66.683</v>
      </c>
      <c r="P113" s="19">
        <v>24.394</v>
      </c>
      <c r="Q113" s="15"/>
    </row>
    <row r="114">
      <c r="A114" s="13" t="s">
        <v>19</v>
      </c>
      <c r="B114" s="14">
        <v>45482.0</v>
      </c>
      <c r="C114" s="15" t="s">
        <v>21</v>
      </c>
      <c r="D114" s="16">
        <v>5.1</v>
      </c>
      <c r="E114" s="15" t="s">
        <v>27</v>
      </c>
      <c r="F114" s="17">
        <v>1.0</v>
      </c>
      <c r="G114" s="51" t="s">
        <v>55</v>
      </c>
      <c r="H114" s="19">
        <v>8.6497</v>
      </c>
      <c r="I114" s="19">
        <v>3.1</v>
      </c>
      <c r="J114" s="19">
        <v>0.03</v>
      </c>
      <c r="K114" s="19">
        <v>116.654</v>
      </c>
      <c r="L114" s="19">
        <v>38.186</v>
      </c>
      <c r="M114" s="19">
        <v>76.945</v>
      </c>
      <c r="N114" s="19">
        <v>34.4</v>
      </c>
      <c r="O114" s="19">
        <v>39.601</v>
      </c>
      <c r="P114" s="19">
        <v>23.768</v>
      </c>
      <c r="Q114" s="15"/>
    </row>
    <row r="115">
      <c r="A115" s="13" t="s">
        <v>19</v>
      </c>
      <c r="B115" s="14">
        <v>45482.0</v>
      </c>
      <c r="C115" s="15" t="s">
        <v>21</v>
      </c>
      <c r="D115" s="16">
        <v>5.2</v>
      </c>
      <c r="E115" s="15" t="s">
        <v>27</v>
      </c>
      <c r="F115" s="17">
        <v>1.0</v>
      </c>
      <c r="G115" s="51" t="s">
        <v>55</v>
      </c>
      <c r="H115" s="19">
        <v>9.1212</v>
      </c>
      <c r="I115" s="19">
        <v>3.343</v>
      </c>
      <c r="J115" s="19">
        <v>0.012</v>
      </c>
      <c r="K115" s="19">
        <v>94.255</v>
      </c>
      <c r="L115" s="19">
        <v>35.043</v>
      </c>
      <c r="M115" s="19">
        <v>62.125</v>
      </c>
      <c r="N115" s="19">
        <v>31.928</v>
      </c>
      <c r="O115" s="19">
        <v>37.8</v>
      </c>
      <c r="P115" s="19">
        <v>23.052</v>
      </c>
      <c r="Q115" s="15"/>
    </row>
    <row r="116">
      <c r="A116" s="13" t="s">
        <v>19</v>
      </c>
      <c r="B116" s="14">
        <v>45482.0</v>
      </c>
      <c r="C116" s="15" t="s">
        <v>21</v>
      </c>
      <c r="D116" s="16">
        <v>5.3</v>
      </c>
      <c r="E116" s="15" t="s">
        <v>27</v>
      </c>
      <c r="F116" s="17">
        <v>1.0</v>
      </c>
      <c r="G116" s="51" t="s">
        <v>55</v>
      </c>
      <c r="H116" s="19">
        <v>9.607</v>
      </c>
      <c r="I116" s="19">
        <v>3.131</v>
      </c>
      <c r="J116" s="19">
        <v>0.048</v>
      </c>
      <c r="K116" s="19">
        <v>118.823</v>
      </c>
      <c r="L116" s="19">
        <v>34.988</v>
      </c>
      <c r="M116" s="19">
        <v>82.036</v>
      </c>
      <c r="N116" s="19">
        <v>34.026</v>
      </c>
      <c r="O116" s="19">
        <v>40.854</v>
      </c>
      <c r="P116" s="19">
        <v>23.746</v>
      </c>
      <c r="Q116" s="15"/>
    </row>
    <row r="117">
      <c r="A117" s="13" t="s">
        <v>19</v>
      </c>
      <c r="B117" s="14">
        <v>45482.0</v>
      </c>
      <c r="C117" s="15" t="s">
        <v>21</v>
      </c>
      <c r="D117" s="16">
        <v>5.4</v>
      </c>
      <c r="E117" s="52" t="s">
        <v>27</v>
      </c>
      <c r="F117" s="17">
        <v>1.0</v>
      </c>
      <c r="G117" s="51" t="s">
        <v>55</v>
      </c>
      <c r="H117" s="19">
        <v>8.6735</v>
      </c>
      <c r="I117" s="19">
        <v>2.143</v>
      </c>
      <c r="J117" s="19">
        <v>0.048</v>
      </c>
      <c r="K117" s="19">
        <v>102.656</v>
      </c>
      <c r="L117" s="19">
        <v>37.975</v>
      </c>
      <c r="M117" s="19">
        <v>81.531</v>
      </c>
      <c r="N117" s="19">
        <v>39.284</v>
      </c>
      <c r="O117" s="19">
        <v>61.078</v>
      </c>
      <c r="P117" s="19">
        <v>35.885</v>
      </c>
      <c r="Q117" s="15"/>
    </row>
    <row r="118">
      <c r="A118" s="13" t="s">
        <v>19</v>
      </c>
      <c r="B118" s="14">
        <v>45482.0</v>
      </c>
      <c r="C118" s="15" t="s">
        <v>21</v>
      </c>
      <c r="D118" s="16">
        <v>6.1</v>
      </c>
      <c r="E118" s="15" t="s">
        <v>27</v>
      </c>
      <c r="F118" s="17">
        <v>1.0</v>
      </c>
      <c r="G118" s="51" t="s">
        <v>55</v>
      </c>
      <c r="H118" s="19">
        <v>8.4517</v>
      </c>
      <c r="I118" s="19">
        <v>2.611</v>
      </c>
      <c r="J118" s="19">
        <v>0.019</v>
      </c>
      <c r="K118" s="19">
        <v>121.758</v>
      </c>
      <c r="L118" s="19">
        <v>38.285</v>
      </c>
      <c r="M118" s="19">
        <v>87.371</v>
      </c>
      <c r="N118" s="19">
        <v>38.858</v>
      </c>
      <c r="O118" s="19">
        <v>43.555</v>
      </c>
      <c r="P118" s="19">
        <v>31.238</v>
      </c>
      <c r="Q118" s="15"/>
    </row>
    <row r="119">
      <c r="A119" s="13" t="s">
        <v>19</v>
      </c>
      <c r="B119" s="14">
        <v>45482.0</v>
      </c>
      <c r="C119" s="15" t="s">
        <v>21</v>
      </c>
      <c r="D119" s="16">
        <v>6.2</v>
      </c>
      <c r="E119" s="15" t="s">
        <v>27</v>
      </c>
      <c r="F119" s="17">
        <v>1.0</v>
      </c>
      <c r="G119" s="51" t="s">
        <v>55</v>
      </c>
      <c r="H119" s="19">
        <v>7.6445</v>
      </c>
      <c r="I119" s="19">
        <v>1.948</v>
      </c>
      <c r="J119" s="19">
        <v>0.013</v>
      </c>
      <c r="K119" s="19">
        <v>160.009</v>
      </c>
      <c r="L119" s="19">
        <v>25.558</v>
      </c>
      <c r="M119" s="19">
        <v>128.93</v>
      </c>
      <c r="N119" s="19">
        <v>28.007</v>
      </c>
      <c r="O119" s="19">
        <v>65.082</v>
      </c>
      <c r="P119" s="19">
        <v>29.052</v>
      </c>
      <c r="Q119" s="15"/>
    </row>
    <row r="120">
      <c r="A120" s="13" t="s">
        <v>19</v>
      </c>
      <c r="B120" s="14">
        <v>45482.0</v>
      </c>
      <c r="C120" s="15" t="s">
        <v>21</v>
      </c>
      <c r="D120" s="16">
        <v>6.3</v>
      </c>
      <c r="E120" s="15" t="s">
        <v>27</v>
      </c>
      <c r="F120" s="17">
        <v>1.0</v>
      </c>
      <c r="G120" s="51" t="s">
        <v>55</v>
      </c>
      <c r="H120" s="19">
        <v>8.1226</v>
      </c>
      <c r="I120" s="19">
        <v>2.133</v>
      </c>
      <c r="J120" s="19">
        <v>0.028</v>
      </c>
      <c r="K120" s="19">
        <v>128.497</v>
      </c>
      <c r="L120" s="19">
        <v>29.548</v>
      </c>
      <c r="M120" s="19">
        <v>96.517</v>
      </c>
      <c r="N120" s="19">
        <v>29.908</v>
      </c>
      <c r="O120" s="19">
        <v>48.077</v>
      </c>
      <c r="P120" s="19">
        <v>26.606</v>
      </c>
      <c r="Q120" s="15"/>
    </row>
    <row r="121">
      <c r="A121" s="13" t="s">
        <v>19</v>
      </c>
      <c r="B121" s="14">
        <v>45482.0</v>
      </c>
      <c r="C121" s="15" t="s">
        <v>21</v>
      </c>
      <c r="D121" s="16">
        <v>6.4</v>
      </c>
      <c r="E121" s="52" t="s">
        <v>27</v>
      </c>
      <c r="F121" s="17">
        <v>1.0</v>
      </c>
      <c r="G121" s="51" t="s">
        <v>55</v>
      </c>
      <c r="H121" s="19">
        <v>7.7438</v>
      </c>
      <c r="I121" s="19">
        <v>2.013</v>
      </c>
      <c r="J121" s="19">
        <v>0.016</v>
      </c>
      <c r="K121" s="19">
        <v>132.207</v>
      </c>
      <c r="L121" s="19">
        <v>29.529</v>
      </c>
      <c r="M121" s="19">
        <v>104.97</v>
      </c>
      <c r="N121" s="19">
        <v>31.107</v>
      </c>
      <c r="O121" s="19">
        <v>51.638</v>
      </c>
      <c r="P121" s="19">
        <v>28.757</v>
      </c>
      <c r="Q121" s="15"/>
    </row>
    <row r="122">
      <c r="A122" s="13" t="s">
        <v>19</v>
      </c>
      <c r="B122" s="14">
        <v>45482.0</v>
      </c>
      <c r="C122" s="15" t="s">
        <v>24</v>
      </c>
      <c r="D122" s="16">
        <v>4.1</v>
      </c>
      <c r="E122" s="15" t="s">
        <v>27</v>
      </c>
      <c r="F122" s="17">
        <v>1.0</v>
      </c>
      <c r="G122" s="51" t="s">
        <v>55</v>
      </c>
      <c r="H122" s="19">
        <v>11.2026</v>
      </c>
      <c r="I122" s="19">
        <v>6.578</v>
      </c>
      <c r="J122" s="19">
        <v>0.085</v>
      </c>
      <c r="K122" s="19">
        <v>142.388</v>
      </c>
      <c r="L122" s="19">
        <v>11.757</v>
      </c>
      <c r="M122" s="19">
        <v>106.249</v>
      </c>
      <c r="N122" s="19">
        <v>14.762</v>
      </c>
      <c r="O122" s="19">
        <v>53.698</v>
      </c>
      <c r="P122" s="19">
        <v>15.388</v>
      </c>
      <c r="Q122" s="15"/>
    </row>
    <row r="123">
      <c r="A123" s="13" t="s">
        <v>19</v>
      </c>
      <c r="B123" s="14">
        <v>45482.0</v>
      </c>
      <c r="C123" s="15" t="s">
        <v>24</v>
      </c>
      <c r="D123" s="16">
        <v>4.2</v>
      </c>
      <c r="E123" s="15" t="s">
        <v>27</v>
      </c>
      <c r="F123" s="17">
        <v>1.0</v>
      </c>
      <c r="G123" s="51" t="s">
        <v>55</v>
      </c>
      <c r="H123" s="19">
        <v>11.998</v>
      </c>
      <c r="I123" s="19">
        <v>5.894</v>
      </c>
      <c r="J123" s="19">
        <v>0.088</v>
      </c>
      <c r="K123" s="19">
        <v>164.433</v>
      </c>
      <c r="L123" s="19">
        <v>11.827</v>
      </c>
      <c r="M123" s="19">
        <v>131.803</v>
      </c>
      <c r="N123" s="19">
        <v>13.337</v>
      </c>
      <c r="O123" s="19">
        <v>78.996</v>
      </c>
      <c r="P123" s="19">
        <v>16.023</v>
      </c>
      <c r="Q123" s="15" t="s">
        <v>57</v>
      </c>
    </row>
    <row r="124">
      <c r="A124" s="13" t="s">
        <v>19</v>
      </c>
      <c r="B124" s="14">
        <v>45482.0</v>
      </c>
      <c r="C124" s="15" t="s">
        <v>24</v>
      </c>
      <c r="D124" s="16">
        <v>4.3</v>
      </c>
      <c r="E124" s="15" t="s">
        <v>27</v>
      </c>
      <c r="F124" s="17">
        <v>1.0</v>
      </c>
      <c r="G124" s="51" t="s">
        <v>55</v>
      </c>
      <c r="H124" s="19">
        <v>12.3529</v>
      </c>
      <c r="I124" s="19">
        <v>6.623</v>
      </c>
      <c r="J124" s="19">
        <v>0.045</v>
      </c>
      <c r="K124" s="19">
        <v>146.789</v>
      </c>
      <c r="L124" s="19">
        <v>8.639</v>
      </c>
      <c r="M124" s="19">
        <v>104.319</v>
      </c>
      <c r="N124" s="19">
        <v>10.903</v>
      </c>
      <c r="O124" s="19">
        <v>53.385</v>
      </c>
      <c r="P124" s="19">
        <v>11.691</v>
      </c>
      <c r="Q124" s="15"/>
    </row>
    <row r="125">
      <c r="A125" s="13" t="s">
        <v>19</v>
      </c>
      <c r="B125" s="14">
        <v>45482.0</v>
      </c>
      <c r="C125" s="15" t="s">
        <v>24</v>
      </c>
      <c r="D125" s="16">
        <v>4.4</v>
      </c>
      <c r="E125" s="52" t="s">
        <v>27</v>
      </c>
      <c r="F125" s="17">
        <v>1.0</v>
      </c>
      <c r="G125" s="51" t="s">
        <v>55</v>
      </c>
      <c r="H125" s="19">
        <v>12.0233</v>
      </c>
      <c r="I125" s="19">
        <v>6.641</v>
      </c>
      <c r="J125" s="19">
        <v>0.123</v>
      </c>
      <c r="K125" s="19">
        <v>134.066</v>
      </c>
      <c r="L125" s="19">
        <v>11.236</v>
      </c>
      <c r="M125" s="19">
        <v>105.221</v>
      </c>
      <c r="N125" s="19">
        <v>14.77</v>
      </c>
      <c r="O125" s="19">
        <v>60.739</v>
      </c>
      <c r="P125" s="19">
        <v>14.843</v>
      </c>
      <c r="Q125" s="15"/>
    </row>
    <row r="126">
      <c r="A126" s="13" t="s">
        <v>19</v>
      </c>
      <c r="B126" s="14">
        <v>45482.0</v>
      </c>
      <c r="C126" s="15" t="s">
        <v>24</v>
      </c>
      <c r="D126" s="16">
        <v>5.1</v>
      </c>
      <c r="E126" s="15" t="s">
        <v>27</v>
      </c>
      <c r="F126" s="17">
        <v>1.0</v>
      </c>
      <c r="G126" s="51" t="s">
        <v>55</v>
      </c>
      <c r="H126" s="19">
        <v>9.4545</v>
      </c>
      <c r="I126" s="19">
        <v>4.702</v>
      </c>
      <c r="J126" s="19">
        <v>0.06</v>
      </c>
      <c r="K126" s="19">
        <v>152.73</v>
      </c>
      <c r="L126" s="19">
        <v>18.384</v>
      </c>
      <c r="M126" s="19">
        <v>128.439</v>
      </c>
      <c r="N126" s="19">
        <v>20.845</v>
      </c>
      <c r="O126" s="19">
        <v>82.96</v>
      </c>
      <c r="P126" s="19">
        <v>24.912</v>
      </c>
      <c r="Q126" s="15"/>
    </row>
    <row r="127">
      <c r="A127" s="13" t="s">
        <v>19</v>
      </c>
      <c r="B127" s="14">
        <v>45482.0</v>
      </c>
      <c r="C127" s="15" t="s">
        <v>24</v>
      </c>
      <c r="D127" s="16">
        <v>5.2</v>
      </c>
      <c r="E127" s="15" t="s">
        <v>27</v>
      </c>
      <c r="F127" s="17">
        <v>1.0</v>
      </c>
      <c r="G127" s="51" t="s">
        <v>55</v>
      </c>
      <c r="H127" s="19">
        <v>8.6177</v>
      </c>
      <c r="I127" s="19">
        <v>3.319</v>
      </c>
      <c r="J127" s="19">
        <v>0.021</v>
      </c>
      <c r="K127" s="19">
        <v>134.117</v>
      </c>
      <c r="L127" s="19">
        <v>15.528</v>
      </c>
      <c r="M127" s="19">
        <v>111.826</v>
      </c>
      <c r="N127" s="19">
        <v>17.438</v>
      </c>
      <c r="O127" s="19">
        <v>62.936</v>
      </c>
      <c r="P127" s="19">
        <v>18.386</v>
      </c>
      <c r="Q127" s="15"/>
    </row>
    <row r="128">
      <c r="A128" s="13" t="s">
        <v>19</v>
      </c>
      <c r="B128" s="14">
        <v>45482.0</v>
      </c>
      <c r="C128" s="15" t="s">
        <v>24</v>
      </c>
      <c r="D128" s="16">
        <v>5.3</v>
      </c>
      <c r="E128" s="15" t="s">
        <v>27</v>
      </c>
      <c r="F128" s="17">
        <v>1.0</v>
      </c>
      <c r="G128" s="51" t="s">
        <v>55</v>
      </c>
      <c r="H128" s="19">
        <v>9.0098</v>
      </c>
      <c r="I128" s="19">
        <v>4.217</v>
      </c>
      <c r="J128" s="19">
        <v>0.01</v>
      </c>
      <c r="K128" s="19">
        <v>143.689</v>
      </c>
      <c r="L128" s="19">
        <v>19.691</v>
      </c>
      <c r="M128" s="19">
        <v>116.278</v>
      </c>
      <c r="N128" s="19">
        <v>20.667</v>
      </c>
      <c r="O128" s="19">
        <v>66.624</v>
      </c>
      <c r="P128" s="19">
        <v>22.704</v>
      </c>
      <c r="Q128" s="15"/>
    </row>
    <row r="129">
      <c r="A129" s="13" t="s">
        <v>19</v>
      </c>
      <c r="B129" s="14">
        <v>45482.0</v>
      </c>
      <c r="C129" s="15" t="s">
        <v>24</v>
      </c>
      <c r="D129" s="16">
        <v>5.4</v>
      </c>
      <c r="E129" s="52" t="s">
        <v>27</v>
      </c>
      <c r="F129" s="17">
        <v>1.0</v>
      </c>
      <c r="G129" s="51" t="s">
        <v>55</v>
      </c>
      <c r="H129" s="19">
        <v>9.2022</v>
      </c>
      <c r="I129" s="19">
        <v>3.708</v>
      </c>
      <c r="J129" s="19">
        <v>0.029</v>
      </c>
      <c r="K129" s="19">
        <v>126.186</v>
      </c>
      <c r="L129" s="19">
        <v>11.547</v>
      </c>
      <c r="M129" s="19">
        <v>105.968</v>
      </c>
      <c r="N129" s="19">
        <v>14.141</v>
      </c>
      <c r="O129" s="19">
        <v>65.403</v>
      </c>
      <c r="P129" s="19">
        <v>19.088</v>
      </c>
      <c r="Q129" s="15"/>
    </row>
    <row r="130">
      <c r="A130" s="13" t="s">
        <v>19</v>
      </c>
      <c r="B130" s="14">
        <v>45482.0</v>
      </c>
      <c r="C130" s="15" t="s">
        <v>24</v>
      </c>
      <c r="D130" s="16">
        <v>6.1</v>
      </c>
      <c r="E130" s="15" t="s">
        <v>27</v>
      </c>
      <c r="F130" s="17">
        <v>1.0</v>
      </c>
      <c r="G130" s="51" t="s">
        <v>55</v>
      </c>
      <c r="H130" s="19">
        <v>11.0545</v>
      </c>
      <c r="I130" s="19">
        <v>4.984</v>
      </c>
      <c r="J130" s="19">
        <v>0.018</v>
      </c>
      <c r="K130" s="19">
        <v>150.821</v>
      </c>
      <c r="L130" s="19">
        <v>17.977</v>
      </c>
      <c r="M130" s="19">
        <v>122.071</v>
      </c>
      <c r="N130" s="19">
        <v>19.944</v>
      </c>
      <c r="O130" s="19">
        <v>71.802</v>
      </c>
      <c r="P130" s="19">
        <v>26.486</v>
      </c>
      <c r="Q130" s="15"/>
    </row>
    <row r="131">
      <c r="A131" s="13" t="s">
        <v>19</v>
      </c>
      <c r="B131" s="14">
        <v>45482.0</v>
      </c>
      <c r="C131" s="15" t="s">
        <v>24</v>
      </c>
      <c r="D131" s="16">
        <v>6.2</v>
      </c>
      <c r="E131" s="15" t="s">
        <v>27</v>
      </c>
      <c r="F131" s="17">
        <v>1.0</v>
      </c>
      <c r="G131" s="51" t="s">
        <v>55</v>
      </c>
      <c r="H131" s="19">
        <v>10.5511</v>
      </c>
      <c r="I131" s="19">
        <v>5.402</v>
      </c>
      <c r="J131" s="19">
        <v>0.008</v>
      </c>
      <c r="K131" s="19">
        <v>144.49</v>
      </c>
      <c r="L131" s="19">
        <v>14.514</v>
      </c>
      <c r="M131" s="19">
        <v>120.652</v>
      </c>
      <c r="N131" s="19">
        <v>15.782</v>
      </c>
      <c r="O131" s="19">
        <v>77.635</v>
      </c>
      <c r="P131" s="19">
        <v>20.719</v>
      </c>
      <c r="Q131" s="15"/>
    </row>
    <row r="132">
      <c r="A132" s="13" t="s">
        <v>19</v>
      </c>
      <c r="B132" s="14">
        <v>45482.0</v>
      </c>
      <c r="C132" s="15" t="s">
        <v>24</v>
      </c>
      <c r="D132" s="16">
        <v>6.3</v>
      </c>
      <c r="E132" s="15" t="s">
        <v>27</v>
      </c>
      <c r="F132" s="17">
        <v>1.0</v>
      </c>
      <c r="G132" s="51" t="s">
        <v>55</v>
      </c>
      <c r="H132" s="19">
        <v>10.5282</v>
      </c>
      <c r="I132" s="19">
        <v>5.334</v>
      </c>
      <c r="J132" s="19">
        <v>0.028</v>
      </c>
      <c r="K132" s="19">
        <v>171.348</v>
      </c>
      <c r="L132" s="19">
        <v>16.833</v>
      </c>
      <c r="M132" s="19">
        <v>139.916</v>
      </c>
      <c r="N132" s="19">
        <v>17.768</v>
      </c>
      <c r="O132" s="19">
        <v>83.184</v>
      </c>
      <c r="P132" s="19">
        <v>23.387</v>
      </c>
      <c r="Q132" s="15"/>
    </row>
    <row r="133">
      <c r="A133" s="13" t="s">
        <v>19</v>
      </c>
      <c r="B133" s="14">
        <v>45482.0</v>
      </c>
      <c r="C133" s="15" t="s">
        <v>24</v>
      </c>
      <c r="D133" s="16">
        <v>6.4</v>
      </c>
      <c r="E133" s="52" t="s">
        <v>27</v>
      </c>
      <c r="F133" s="17">
        <v>1.0</v>
      </c>
      <c r="G133" s="51" t="s">
        <v>55</v>
      </c>
      <c r="H133" s="19">
        <v>10.0715</v>
      </c>
      <c r="I133" s="19">
        <v>4.358</v>
      </c>
      <c r="J133" s="19">
        <v>0.025</v>
      </c>
      <c r="K133" s="19">
        <v>140.11</v>
      </c>
      <c r="L133" s="19">
        <v>17.765</v>
      </c>
      <c r="M133" s="19">
        <v>115.52</v>
      </c>
      <c r="N133" s="19">
        <v>17.552</v>
      </c>
      <c r="O133" s="19">
        <v>74.814</v>
      </c>
      <c r="P133" s="19">
        <v>24.326</v>
      </c>
      <c r="Q133" s="15"/>
    </row>
    <row r="134">
      <c r="A134" s="13" t="s">
        <v>19</v>
      </c>
      <c r="B134" s="14">
        <v>45482.0</v>
      </c>
      <c r="C134" s="15" t="s">
        <v>25</v>
      </c>
      <c r="D134" s="16">
        <v>4.1</v>
      </c>
      <c r="E134" s="15" t="s">
        <v>27</v>
      </c>
      <c r="F134" s="17">
        <v>1.0</v>
      </c>
      <c r="G134" s="51" t="s">
        <v>55</v>
      </c>
      <c r="H134" s="19">
        <v>11.1894</v>
      </c>
      <c r="I134" s="19">
        <v>5.273</v>
      </c>
      <c r="J134" s="19">
        <v>0.072</v>
      </c>
      <c r="K134" s="19">
        <v>121.867</v>
      </c>
      <c r="L134" s="19">
        <v>30.999</v>
      </c>
      <c r="M134" s="19">
        <v>103.084</v>
      </c>
      <c r="N134" s="19">
        <v>32.562</v>
      </c>
      <c r="O134" s="19">
        <v>55.83</v>
      </c>
      <c r="P134" s="19">
        <v>30.013</v>
      </c>
      <c r="Q134" s="15"/>
    </row>
    <row r="135">
      <c r="A135" s="13" t="s">
        <v>19</v>
      </c>
      <c r="B135" s="14">
        <v>45482.0</v>
      </c>
      <c r="C135" s="15" t="s">
        <v>25</v>
      </c>
      <c r="D135" s="16">
        <v>4.2</v>
      </c>
      <c r="E135" s="15" t="s">
        <v>27</v>
      </c>
      <c r="F135" s="17">
        <v>1.0</v>
      </c>
      <c r="G135" s="51" t="s">
        <v>55</v>
      </c>
      <c r="H135" s="19">
        <v>9.7954</v>
      </c>
      <c r="I135" s="19">
        <v>4.115</v>
      </c>
      <c r="J135" s="19">
        <v>0.029</v>
      </c>
      <c r="K135" s="19">
        <v>123.711</v>
      </c>
      <c r="L135" s="19">
        <v>30.32</v>
      </c>
      <c r="M135" s="19">
        <v>106.653</v>
      </c>
      <c r="N135" s="19">
        <v>42.71</v>
      </c>
      <c r="O135" s="19">
        <v>61.99</v>
      </c>
      <c r="P135" s="19">
        <v>40.515</v>
      </c>
      <c r="Q135" s="15"/>
    </row>
    <row r="136">
      <c r="A136" s="13" t="s">
        <v>19</v>
      </c>
      <c r="B136" s="14">
        <v>45482.0</v>
      </c>
      <c r="C136" s="15" t="s">
        <v>25</v>
      </c>
      <c r="D136" s="16">
        <v>4.3</v>
      </c>
      <c r="E136" s="15" t="s">
        <v>27</v>
      </c>
      <c r="F136" s="17">
        <v>1.0</v>
      </c>
      <c r="G136" s="51" t="s">
        <v>55</v>
      </c>
      <c r="H136" s="19">
        <v>11.5657</v>
      </c>
      <c r="I136" s="19">
        <v>5.94</v>
      </c>
      <c r="J136" s="19">
        <v>0.031</v>
      </c>
      <c r="K136" s="19">
        <v>139.55</v>
      </c>
      <c r="L136" s="19">
        <v>36.637</v>
      </c>
      <c r="M136" s="19">
        <v>118.696</v>
      </c>
      <c r="N136" s="19">
        <v>39.086</v>
      </c>
      <c r="O136" s="19">
        <v>71.622</v>
      </c>
      <c r="P136" s="19">
        <v>37.088</v>
      </c>
      <c r="Q136" s="15"/>
    </row>
    <row r="137">
      <c r="A137" s="13" t="s">
        <v>19</v>
      </c>
      <c r="B137" s="14">
        <v>45482.0</v>
      </c>
      <c r="C137" s="15" t="s">
        <v>25</v>
      </c>
      <c r="D137" s="16">
        <v>4.4</v>
      </c>
      <c r="E137" s="52" t="s">
        <v>27</v>
      </c>
      <c r="F137" s="17">
        <v>1.0</v>
      </c>
      <c r="G137" s="51" t="s">
        <v>55</v>
      </c>
      <c r="H137" s="19">
        <v>10.4824</v>
      </c>
      <c r="I137" s="19">
        <v>5.413</v>
      </c>
      <c r="J137" s="19">
        <v>0.051</v>
      </c>
      <c r="K137" s="19">
        <v>147.465</v>
      </c>
      <c r="L137" s="19">
        <v>31.392</v>
      </c>
      <c r="M137" s="19">
        <v>131.111</v>
      </c>
      <c r="N137" s="19">
        <v>31.753</v>
      </c>
      <c r="O137" s="19">
        <v>86.34</v>
      </c>
      <c r="P137" s="19">
        <v>28.749</v>
      </c>
      <c r="Q137" s="15"/>
    </row>
    <row r="138">
      <c r="A138" s="13" t="s">
        <v>19</v>
      </c>
      <c r="B138" s="14">
        <v>45482.0</v>
      </c>
      <c r="C138" s="15" t="s">
        <v>25</v>
      </c>
      <c r="D138" s="16">
        <v>5.1</v>
      </c>
      <c r="E138" s="15" t="s">
        <v>27</v>
      </c>
      <c r="F138" s="17">
        <v>1.0</v>
      </c>
      <c r="G138" s="51" t="s">
        <v>55</v>
      </c>
      <c r="H138" s="19">
        <v>9.0623</v>
      </c>
      <c r="I138" s="19">
        <v>3.798</v>
      </c>
      <c r="J138" s="19">
        <v>0.026</v>
      </c>
      <c r="K138" s="19">
        <v>118.441</v>
      </c>
      <c r="L138" s="19">
        <v>31.966</v>
      </c>
      <c r="M138" s="19">
        <v>92.929</v>
      </c>
      <c r="N138" s="19">
        <v>33.394</v>
      </c>
      <c r="O138" s="19">
        <v>40.668</v>
      </c>
      <c r="P138" s="19">
        <v>24.655</v>
      </c>
      <c r="Q138" s="15"/>
    </row>
    <row r="139">
      <c r="A139" s="13" t="s">
        <v>19</v>
      </c>
      <c r="B139" s="14">
        <v>45482.0</v>
      </c>
      <c r="C139" s="15" t="s">
        <v>25</v>
      </c>
      <c r="D139" s="16">
        <v>5.2</v>
      </c>
      <c r="E139" s="15" t="s">
        <v>27</v>
      </c>
      <c r="F139" s="17">
        <v>1.0</v>
      </c>
      <c r="G139" s="51" t="s">
        <v>55</v>
      </c>
      <c r="H139" s="19">
        <v>8.82107</v>
      </c>
      <c r="I139" s="19">
        <v>3.159</v>
      </c>
      <c r="J139" s="19">
        <v>0.064</v>
      </c>
      <c r="K139" s="19">
        <v>130.047</v>
      </c>
      <c r="L139" s="19">
        <v>37.18</v>
      </c>
      <c r="M139" s="19">
        <v>110.104</v>
      </c>
      <c r="N139" s="19">
        <v>38.901</v>
      </c>
      <c r="O139" s="19">
        <v>57.012</v>
      </c>
      <c r="P139" s="19">
        <v>34.31</v>
      </c>
      <c r="Q139" s="15"/>
    </row>
    <row r="140">
      <c r="A140" s="13" t="s">
        <v>19</v>
      </c>
      <c r="B140" s="14">
        <v>45482.0</v>
      </c>
      <c r="C140" s="15" t="s">
        <v>25</v>
      </c>
      <c r="D140" s="16">
        <v>5.3</v>
      </c>
      <c r="E140" s="15" t="s">
        <v>27</v>
      </c>
      <c r="F140" s="17">
        <v>1.0</v>
      </c>
      <c r="G140" s="51" t="s">
        <v>55</v>
      </c>
      <c r="H140" s="19">
        <v>9.2964</v>
      </c>
      <c r="I140" s="19">
        <v>3.511</v>
      </c>
      <c r="J140" s="19">
        <v>0.02</v>
      </c>
      <c r="K140" s="19">
        <v>103.303</v>
      </c>
      <c r="L140" s="19">
        <v>30.679</v>
      </c>
      <c r="M140" s="19">
        <v>84.596</v>
      </c>
      <c r="N140" s="19">
        <v>33.596</v>
      </c>
      <c r="O140" s="19">
        <v>53.132</v>
      </c>
      <c r="P140" s="19">
        <v>31.911</v>
      </c>
      <c r="Q140" s="15"/>
    </row>
    <row r="141">
      <c r="A141" s="13" t="s">
        <v>19</v>
      </c>
      <c r="B141" s="14">
        <v>45482.0</v>
      </c>
      <c r="C141" s="15" t="s">
        <v>25</v>
      </c>
      <c r="D141" s="16">
        <v>5.4</v>
      </c>
      <c r="E141" s="52" t="s">
        <v>27</v>
      </c>
      <c r="F141" s="17">
        <v>1.0</v>
      </c>
      <c r="G141" s="51" t="s">
        <v>55</v>
      </c>
      <c r="H141" s="19">
        <v>9.8956</v>
      </c>
      <c r="I141" s="19">
        <v>3.469</v>
      </c>
      <c r="J141" s="19">
        <v>0.056</v>
      </c>
      <c r="K141" s="19">
        <v>138.373</v>
      </c>
      <c r="L141" s="19">
        <v>36.689</v>
      </c>
      <c r="M141" s="19">
        <v>118.537</v>
      </c>
      <c r="N141" s="19">
        <v>37.86</v>
      </c>
      <c r="O141" s="19">
        <v>73.137</v>
      </c>
      <c r="P141" s="19">
        <v>31.75</v>
      </c>
      <c r="Q141" s="15"/>
    </row>
    <row r="142">
      <c r="A142" s="13" t="s">
        <v>19</v>
      </c>
      <c r="B142" s="14">
        <v>45482.0</v>
      </c>
      <c r="C142" s="15" t="s">
        <v>25</v>
      </c>
      <c r="D142" s="16">
        <v>6.1</v>
      </c>
      <c r="E142" s="15" t="s">
        <v>27</v>
      </c>
      <c r="F142" s="17">
        <v>1.0</v>
      </c>
      <c r="G142" s="51" t="s">
        <v>55</v>
      </c>
      <c r="H142" s="19">
        <v>9.5666</v>
      </c>
      <c r="I142" s="19">
        <v>4.644</v>
      </c>
      <c r="J142" s="19">
        <v>0.051</v>
      </c>
      <c r="K142" s="19">
        <v>143.245</v>
      </c>
      <c r="L142" s="19">
        <v>37.797</v>
      </c>
      <c r="M142" s="19">
        <v>119.988</v>
      </c>
      <c r="N142" s="19">
        <v>41.111</v>
      </c>
      <c r="O142" s="19">
        <v>68.884</v>
      </c>
      <c r="P142" s="19">
        <v>39.749</v>
      </c>
      <c r="Q142" s="15"/>
    </row>
    <row r="143">
      <c r="A143" s="13" t="s">
        <v>19</v>
      </c>
      <c r="B143" s="14">
        <v>45482.0</v>
      </c>
      <c r="C143" s="15" t="s">
        <v>25</v>
      </c>
      <c r="D143" s="16">
        <v>6.2</v>
      </c>
      <c r="E143" s="15" t="s">
        <v>27</v>
      </c>
      <c r="F143" s="17">
        <v>1.0</v>
      </c>
      <c r="G143" s="51" t="s">
        <v>55</v>
      </c>
      <c r="H143" s="19">
        <v>13.4401</v>
      </c>
      <c r="I143" s="19">
        <v>6.492</v>
      </c>
      <c r="J143" s="19">
        <v>0.053</v>
      </c>
      <c r="K143" s="19">
        <v>125.367</v>
      </c>
      <c r="L143" s="19">
        <v>33.896</v>
      </c>
      <c r="M143" s="19">
        <v>102.274</v>
      </c>
      <c r="N143" s="19">
        <v>36.346</v>
      </c>
      <c r="O143" s="19">
        <v>47.244</v>
      </c>
      <c r="P143" s="19">
        <v>33.029</v>
      </c>
      <c r="Q143" s="15"/>
    </row>
    <row r="144">
      <c r="A144" s="13" t="s">
        <v>19</v>
      </c>
      <c r="B144" s="14">
        <v>45482.0</v>
      </c>
      <c r="C144" s="15" t="s">
        <v>25</v>
      </c>
      <c r="D144" s="16">
        <v>6.3</v>
      </c>
      <c r="E144" s="15" t="s">
        <v>27</v>
      </c>
      <c r="F144" s="17">
        <v>1.0</v>
      </c>
      <c r="G144" s="51" t="s">
        <v>55</v>
      </c>
      <c r="H144" s="16">
        <v>11.991</v>
      </c>
      <c r="I144" s="19">
        <v>4.99</v>
      </c>
      <c r="J144" s="19">
        <v>0.048</v>
      </c>
      <c r="K144" s="19">
        <v>142.914</v>
      </c>
      <c r="L144" s="19">
        <v>37.222</v>
      </c>
      <c r="M144" s="19">
        <v>118.376</v>
      </c>
      <c r="N144" s="19">
        <v>40.798</v>
      </c>
      <c r="O144" s="19">
        <v>68.23</v>
      </c>
      <c r="P144" s="19">
        <v>41.359</v>
      </c>
      <c r="Q144" s="15"/>
    </row>
    <row r="145">
      <c r="A145" s="13" t="s">
        <v>19</v>
      </c>
      <c r="B145" s="14">
        <v>45482.0</v>
      </c>
      <c r="C145" s="15" t="s">
        <v>25</v>
      </c>
      <c r="D145" s="16">
        <v>6.4</v>
      </c>
      <c r="E145" s="52" t="s">
        <v>27</v>
      </c>
      <c r="F145" s="17">
        <v>1.0</v>
      </c>
      <c r="G145" s="51" t="s">
        <v>55</v>
      </c>
      <c r="H145" s="19">
        <v>13.1361</v>
      </c>
      <c r="I145" s="19">
        <v>6.053</v>
      </c>
      <c r="J145" s="19">
        <v>0.097</v>
      </c>
      <c r="K145" s="19">
        <v>143.579</v>
      </c>
      <c r="L145" s="19">
        <v>31.123</v>
      </c>
      <c r="M145" s="19">
        <v>126.49</v>
      </c>
      <c r="N145" s="19">
        <v>32.226</v>
      </c>
      <c r="O145" s="19">
        <v>79.61</v>
      </c>
      <c r="P145" s="19">
        <v>32.106</v>
      </c>
      <c r="Q145" s="15"/>
    </row>
    <row r="146">
      <c r="A146" s="13" t="s">
        <v>19</v>
      </c>
      <c r="B146" s="14">
        <v>45482.0</v>
      </c>
      <c r="C146" s="15" t="s">
        <v>21</v>
      </c>
      <c r="D146" s="16">
        <v>7.1</v>
      </c>
      <c r="E146" s="15" t="s">
        <v>22</v>
      </c>
      <c r="F146" s="17">
        <v>2.0</v>
      </c>
      <c r="G146" s="51" t="s">
        <v>54</v>
      </c>
      <c r="H146" s="19">
        <v>9.8175</v>
      </c>
      <c r="I146" s="19">
        <v>3.692</v>
      </c>
      <c r="J146" s="19">
        <v>0.016</v>
      </c>
      <c r="K146" s="19">
        <v>84.83</v>
      </c>
      <c r="L146" s="19">
        <v>27.349</v>
      </c>
      <c r="M146" s="19">
        <v>66.431</v>
      </c>
      <c r="N146" s="19">
        <v>26.214</v>
      </c>
      <c r="O146" s="19">
        <v>48.248</v>
      </c>
      <c r="P146" s="19">
        <v>20.994</v>
      </c>
      <c r="Q146" s="15"/>
    </row>
    <row r="147">
      <c r="A147" s="13" t="s">
        <v>19</v>
      </c>
      <c r="B147" s="14">
        <v>45482.0</v>
      </c>
      <c r="C147" s="15" t="s">
        <v>21</v>
      </c>
      <c r="D147" s="16">
        <v>7.2</v>
      </c>
      <c r="E147" s="15" t="s">
        <v>22</v>
      </c>
      <c r="F147" s="17">
        <v>2.0</v>
      </c>
      <c r="G147" s="51" t="s">
        <v>54</v>
      </c>
      <c r="H147" s="19">
        <v>10.6301</v>
      </c>
      <c r="I147" s="19">
        <v>1.858</v>
      </c>
      <c r="J147" s="19">
        <v>0.052</v>
      </c>
      <c r="K147" s="19">
        <v>117.88</v>
      </c>
      <c r="L147" s="19">
        <v>26.734</v>
      </c>
      <c r="M147" s="19">
        <v>102.32</v>
      </c>
      <c r="N147" s="19">
        <v>28.45</v>
      </c>
      <c r="O147" s="19">
        <v>77.855</v>
      </c>
      <c r="P147" s="19">
        <v>31.803</v>
      </c>
      <c r="Q147" s="15"/>
    </row>
    <row r="148">
      <c r="A148" s="13" t="s">
        <v>19</v>
      </c>
      <c r="B148" s="14">
        <v>45482.0</v>
      </c>
      <c r="C148" s="15" t="s">
        <v>21</v>
      </c>
      <c r="D148" s="16">
        <v>7.3</v>
      </c>
      <c r="E148" s="15" t="s">
        <v>22</v>
      </c>
      <c r="F148" s="17">
        <v>2.0</v>
      </c>
      <c r="G148" s="51" t="s">
        <v>54</v>
      </c>
      <c r="H148" s="19">
        <v>12.3532</v>
      </c>
      <c r="I148" s="19">
        <v>5.238</v>
      </c>
      <c r="J148" s="19">
        <v>0.043</v>
      </c>
      <c r="K148" s="19">
        <v>145.455</v>
      </c>
      <c r="L148" s="19">
        <v>38.303</v>
      </c>
      <c r="M148" s="19">
        <v>131.914</v>
      </c>
      <c r="N148" s="19">
        <v>37.877</v>
      </c>
      <c r="O148" s="19">
        <v>108.597</v>
      </c>
      <c r="P148" s="19">
        <v>35.732</v>
      </c>
      <c r="Q148" s="15"/>
    </row>
    <row r="149">
      <c r="A149" s="13" t="s">
        <v>19</v>
      </c>
      <c r="B149" s="14">
        <v>45482.0</v>
      </c>
      <c r="C149" s="15" t="s">
        <v>21</v>
      </c>
      <c r="D149" s="16">
        <v>7.4</v>
      </c>
      <c r="E149" s="52" t="s">
        <v>22</v>
      </c>
      <c r="F149" s="17">
        <v>2.0</v>
      </c>
      <c r="G149" s="51" t="s">
        <v>54</v>
      </c>
      <c r="H149" s="19">
        <v>10.6068</v>
      </c>
      <c r="I149" s="19">
        <v>4.404</v>
      </c>
      <c r="J149" s="19">
        <v>0.028</v>
      </c>
      <c r="K149" s="19">
        <v>110.435</v>
      </c>
      <c r="L149" s="19">
        <v>33.894</v>
      </c>
      <c r="M149" s="19">
        <v>91.57</v>
      </c>
      <c r="N149" s="19">
        <v>32.627</v>
      </c>
      <c r="O149" s="19">
        <v>61.31</v>
      </c>
      <c r="P149" s="19">
        <v>27.86</v>
      </c>
      <c r="Q149" s="16">
        <v>10.6073</v>
      </c>
    </row>
    <row r="150">
      <c r="A150" s="13" t="s">
        <v>19</v>
      </c>
      <c r="B150" s="14">
        <v>45482.0</v>
      </c>
      <c r="C150" s="15" t="s">
        <v>21</v>
      </c>
      <c r="D150" s="16">
        <v>8.1</v>
      </c>
      <c r="E150" s="15" t="s">
        <v>22</v>
      </c>
      <c r="F150" s="17">
        <v>2.0</v>
      </c>
      <c r="G150" s="51" t="s">
        <v>54</v>
      </c>
      <c r="H150" s="19">
        <v>11.2639</v>
      </c>
      <c r="I150" s="19">
        <v>4.343</v>
      </c>
      <c r="J150" s="19">
        <v>0.031</v>
      </c>
      <c r="K150" s="19">
        <v>130.595</v>
      </c>
      <c r="L150" s="19">
        <v>28.557</v>
      </c>
      <c r="M150" s="19">
        <v>108.259</v>
      </c>
      <c r="N150" s="19">
        <v>27.618</v>
      </c>
      <c r="O150" s="19">
        <v>76.476</v>
      </c>
      <c r="P150" s="19">
        <v>25.203</v>
      </c>
      <c r="Q150" s="15"/>
    </row>
    <row r="151">
      <c r="A151" s="13" t="s">
        <v>19</v>
      </c>
      <c r="B151" s="14">
        <v>45482.0</v>
      </c>
      <c r="C151" s="15" t="s">
        <v>21</v>
      </c>
      <c r="D151" s="16">
        <v>8.2</v>
      </c>
      <c r="E151" s="15" t="s">
        <v>22</v>
      </c>
      <c r="F151" s="17">
        <v>2.0</v>
      </c>
      <c r="G151" s="51" t="s">
        <v>54</v>
      </c>
      <c r="H151" s="19">
        <v>10.9064</v>
      </c>
      <c r="I151" s="19">
        <v>3.264</v>
      </c>
      <c r="J151" s="19">
        <v>0.033</v>
      </c>
      <c r="K151" s="19">
        <v>130.197</v>
      </c>
      <c r="L151" s="19">
        <v>32.424</v>
      </c>
      <c r="M151" s="19">
        <v>111.81</v>
      </c>
      <c r="N151" s="19">
        <v>32.083</v>
      </c>
      <c r="O151" s="19">
        <v>73.95</v>
      </c>
      <c r="P151" s="19">
        <v>32.147</v>
      </c>
      <c r="Q151" s="15"/>
    </row>
    <row r="152">
      <c r="A152" s="13" t="s">
        <v>19</v>
      </c>
      <c r="B152" s="14">
        <v>45482.0</v>
      </c>
      <c r="C152" s="15" t="s">
        <v>21</v>
      </c>
      <c r="D152" s="16">
        <v>8.3</v>
      </c>
      <c r="E152" s="15" t="s">
        <v>22</v>
      </c>
      <c r="F152" s="17">
        <v>2.0</v>
      </c>
      <c r="G152" s="51" t="s">
        <v>54</v>
      </c>
      <c r="H152" s="19">
        <v>10.9303</v>
      </c>
      <c r="I152" s="19">
        <v>4.355</v>
      </c>
      <c r="J152" s="19">
        <v>0.039</v>
      </c>
      <c r="K152" s="19">
        <v>123.503</v>
      </c>
      <c r="L152" s="19">
        <v>31.73</v>
      </c>
      <c r="M152" s="19">
        <v>105.505</v>
      </c>
      <c r="N152" s="19">
        <v>31.717</v>
      </c>
      <c r="O152" s="19">
        <v>83.102</v>
      </c>
      <c r="P152" s="19">
        <v>31.457</v>
      </c>
      <c r="Q152" s="15"/>
    </row>
    <row r="153">
      <c r="A153" s="13" t="s">
        <v>19</v>
      </c>
      <c r="B153" s="14">
        <v>45482.0</v>
      </c>
      <c r="C153" s="15" t="s">
        <v>21</v>
      </c>
      <c r="D153" s="16">
        <v>8.4</v>
      </c>
      <c r="E153" s="52" t="s">
        <v>22</v>
      </c>
      <c r="F153" s="17">
        <v>2.0</v>
      </c>
      <c r="G153" s="51" t="s">
        <v>54</v>
      </c>
      <c r="H153" s="19">
        <v>9.6701</v>
      </c>
      <c r="I153" s="19">
        <v>3.4</v>
      </c>
      <c r="J153" s="19">
        <v>0.047</v>
      </c>
      <c r="K153" s="19">
        <v>121.551</v>
      </c>
      <c r="L153" s="19">
        <v>34.862</v>
      </c>
      <c r="M153" s="19">
        <v>96.847</v>
      </c>
      <c r="N153" s="19">
        <v>35.535</v>
      </c>
      <c r="O153" s="19">
        <v>59.127</v>
      </c>
      <c r="P153" s="19">
        <v>31.906</v>
      </c>
      <c r="Q153" s="16">
        <v>9.7161</v>
      </c>
    </row>
    <row r="154">
      <c r="A154" s="13" t="s">
        <v>19</v>
      </c>
      <c r="B154" s="14">
        <v>45482.0</v>
      </c>
      <c r="C154" s="15" t="s">
        <v>21</v>
      </c>
      <c r="D154" s="16">
        <v>9.1</v>
      </c>
      <c r="E154" s="15" t="s">
        <v>22</v>
      </c>
      <c r="F154" s="17">
        <v>2.0</v>
      </c>
      <c r="G154" s="51" t="s">
        <v>54</v>
      </c>
      <c r="H154" s="19">
        <v>10.5488</v>
      </c>
      <c r="I154" s="19">
        <v>3.291</v>
      </c>
      <c r="J154" s="19">
        <v>0.03</v>
      </c>
      <c r="K154" s="19">
        <v>133.137</v>
      </c>
      <c r="L154" s="19">
        <v>22.842</v>
      </c>
      <c r="M154" s="19">
        <v>108.425</v>
      </c>
      <c r="N154" s="19">
        <v>26.108</v>
      </c>
      <c r="O154" s="19">
        <v>71.407</v>
      </c>
      <c r="P154" s="19">
        <v>30.024</v>
      </c>
      <c r="Q154" s="15"/>
    </row>
    <row r="155">
      <c r="A155" s="13" t="s">
        <v>19</v>
      </c>
      <c r="B155" s="14">
        <v>45482.0</v>
      </c>
      <c r="C155" s="15" t="s">
        <v>21</v>
      </c>
      <c r="D155" s="16">
        <v>9.2</v>
      </c>
      <c r="E155" s="15" t="s">
        <v>22</v>
      </c>
      <c r="F155" s="17">
        <v>2.0</v>
      </c>
      <c r="G155" s="51" t="s">
        <v>54</v>
      </c>
      <c r="H155" s="19">
        <v>9.2571</v>
      </c>
      <c r="I155" s="19">
        <v>2.762</v>
      </c>
      <c r="J155" s="19">
        <v>0.026</v>
      </c>
      <c r="K155" s="19">
        <v>189.787</v>
      </c>
      <c r="L155" s="19">
        <v>27.28</v>
      </c>
      <c r="M155" s="19">
        <v>172.65</v>
      </c>
      <c r="N155" s="19">
        <v>30.139</v>
      </c>
      <c r="O155" s="19">
        <v>108.602</v>
      </c>
      <c r="P155" s="19">
        <v>36.638</v>
      </c>
      <c r="Q155" s="15" t="s">
        <v>58</v>
      </c>
    </row>
    <row r="156">
      <c r="A156" s="13" t="s">
        <v>19</v>
      </c>
      <c r="B156" s="14">
        <v>45482.0</v>
      </c>
      <c r="C156" s="15" t="s">
        <v>21</v>
      </c>
      <c r="D156" s="16">
        <v>9.3</v>
      </c>
      <c r="E156" s="15" t="s">
        <v>22</v>
      </c>
      <c r="F156" s="17">
        <v>2.0</v>
      </c>
      <c r="G156" s="51" t="s">
        <v>54</v>
      </c>
      <c r="H156" s="19">
        <v>10.818</v>
      </c>
      <c r="I156" s="19">
        <v>3.337</v>
      </c>
      <c r="J156" s="19">
        <v>0.05</v>
      </c>
      <c r="K156" s="19">
        <v>138.841</v>
      </c>
      <c r="L156" s="19">
        <v>21.136</v>
      </c>
      <c r="M156" s="19">
        <v>110.759</v>
      </c>
      <c r="N156" s="19">
        <v>23.369</v>
      </c>
      <c r="O156" s="19">
        <v>67.89</v>
      </c>
      <c r="P156" s="19">
        <v>29.124</v>
      </c>
      <c r="Q156" s="15"/>
    </row>
    <row r="157">
      <c r="A157" s="13" t="s">
        <v>19</v>
      </c>
      <c r="B157" s="14">
        <v>45482.0</v>
      </c>
      <c r="C157" s="15" t="s">
        <v>21</v>
      </c>
      <c r="D157" s="16">
        <v>9.4</v>
      </c>
      <c r="E157" s="52" t="s">
        <v>22</v>
      </c>
      <c r="F157" s="17">
        <v>2.0</v>
      </c>
      <c r="G157" s="51" t="s">
        <v>54</v>
      </c>
      <c r="H157" s="19">
        <v>9.9925</v>
      </c>
      <c r="I157" s="19">
        <v>3.488</v>
      </c>
      <c r="J157" s="19">
        <v>0.013</v>
      </c>
      <c r="K157" s="19">
        <v>124.969</v>
      </c>
      <c r="L157" s="19">
        <v>19.884</v>
      </c>
      <c r="M157" s="19">
        <v>96.947</v>
      </c>
      <c r="N157" s="19">
        <v>21.612</v>
      </c>
      <c r="O157" s="19">
        <v>52.841</v>
      </c>
      <c r="P157" s="19">
        <v>22.035</v>
      </c>
      <c r="Q157" s="16">
        <v>10.0089</v>
      </c>
    </row>
    <row r="158">
      <c r="A158" s="13" t="s">
        <v>19</v>
      </c>
      <c r="B158" s="14">
        <v>45482.0</v>
      </c>
      <c r="C158" s="15" t="s">
        <v>24</v>
      </c>
      <c r="D158" s="16">
        <v>7.1</v>
      </c>
      <c r="E158" s="15" t="s">
        <v>22</v>
      </c>
      <c r="F158" s="17">
        <v>2.0</v>
      </c>
      <c r="G158" s="51" t="s">
        <v>54</v>
      </c>
      <c r="H158" s="19">
        <v>10.1434</v>
      </c>
      <c r="I158" s="19">
        <v>4.211</v>
      </c>
      <c r="J158" s="19">
        <v>0.063</v>
      </c>
      <c r="K158" s="19">
        <v>134.021</v>
      </c>
      <c r="L158" s="19">
        <v>14.17</v>
      </c>
      <c r="M158" s="19">
        <v>110.17</v>
      </c>
      <c r="N158" s="19">
        <v>16.856</v>
      </c>
      <c r="O158" s="19">
        <v>71.006</v>
      </c>
      <c r="P158" s="19">
        <v>19.438</v>
      </c>
      <c r="Q158" s="15"/>
    </row>
    <row r="159">
      <c r="A159" s="13" t="s">
        <v>19</v>
      </c>
      <c r="B159" s="14">
        <v>45482.0</v>
      </c>
      <c r="C159" s="15" t="s">
        <v>24</v>
      </c>
      <c r="D159" s="16">
        <v>7.2</v>
      </c>
      <c r="E159" s="15" t="s">
        <v>22</v>
      </c>
      <c r="F159" s="17">
        <v>2.0</v>
      </c>
      <c r="G159" s="51" t="s">
        <v>54</v>
      </c>
      <c r="H159" s="19">
        <v>10.521</v>
      </c>
      <c r="I159" s="19">
        <v>4.489</v>
      </c>
      <c r="J159" s="19">
        <v>0.035</v>
      </c>
      <c r="K159" s="19">
        <v>150.908</v>
      </c>
      <c r="L159" s="19">
        <v>14.206</v>
      </c>
      <c r="M159" s="19">
        <v>121.734</v>
      </c>
      <c r="N159" s="19">
        <v>15.716</v>
      </c>
      <c r="O159" s="19">
        <v>81.377</v>
      </c>
      <c r="P159" s="19">
        <v>18.093</v>
      </c>
      <c r="Q159" s="15"/>
    </row>
    <row r="160">
      <c r="A160" s="13" t="s">
        <v>19</v>
      </c>
      <c r="B160" s="14">
        <v>45482.0</v>
      </c>
      <c r="C160" s="15" t="s">
        <v>24</v>
      </c>
      <c r="D160" s="16">
        <v>7.3</v>
      </c>
      <c r="E160" s="15" t="s">
        <v>22</v>
      </c>
      <c r="F160" s="17">
        <v>2.0</v>
      </c>
      <c r="G160" s="51" t="s">
        <v>54</v>
      </c>
      <c r="H160" s="19">
        <v>11.3725</v>
      </c>
      <c r="I160" s="19">
        <v>5.975</v>
      </c>
      <c r="J160" s="19">
        <v>0.019</v>
      </c>
      <c r="K160" s="19">
        <v>152.292</v>
      </c>
      <c r="L160" s="19">
        <v>14.105</v>
      </c>
      <c r="M160" s="19">
        <v>122.459</v>
      </c>
      <c r="N160" s="19">
        <v>15.03</v>
      </c>
      <c r="O160" s="19">
        <v>83.008</v>
      </c>
      <c r="P160" s="19">
        <v>16.732</v>
      </c>
      <c r="Q160" s="15"/>
    </row>
    <row r="161">
      <c r="A161" s="13" t="s">
        <v>19</v>
      </c>
      <c r="B161" s="14">
        <v>45482.0</v>
      </c>
      <c r="C161" s="15" t="s">
        <v>24</v>
      </c>
      <c r="D161" s="16">
        <v>7.4</v>
      </c>
      <c r="E161" s="52" t="s">
        <v>22</v>
      </c>
      <c r="F161" s="17">
        <v>2.0</v>
      </c>
      <c r="G161" s="51" t="s">
        <v>54</v>
      </c>
      <c r="H161" s="19">
        <v>9.6943</v>
      </c>
      <c r="I161" s="19">
        <v>4.606</v>
      </c>
      <c r="J161" s="19">
        <v>0.036</v>
      </c>
      <c r="K161" s="19">
        <v>125.023</v>
      </c>
      <c r="L161" s="19">
        <v>10.861</v>
      </c>
      <c r="M161" s="19">
        <v>95.943</v>
      </c>
      <c r="N161" s="19">
        <v>13.722</v>
      </c>
      <c r="O161" s="19">
        <v>59.488</v>
      </c>
      <c r="P161" s="19">
        <v>14.525</v>
      </c>
      <c r="Q161" s="16">
        <v>9.6848</v>
      </c>
    </row>
    <row r="162">
      <c r="A162" s="13" t="s">
        <v>19</v>
      </c>
      <c r="B162" s="14">
        <v>45482.0</v>
      </c>
      <c r="C162" s="15" t="s">
        <v>24</v>
      </c>
      <c r="D162" s="16">
        <v>8.1</v>
      </c>
      <c r="E162" s="15" t="s">
        <v>22</v>
      </c>
      <c r="F162" s="17">
        <v>2.0</v>
      </c>
      <c r="G162" s="51" t="s">
        <v>54</v>
      </c>
      <c r="H162" s="19">
        <v>9.1151</v>
      </c>
      <c r="I162" s="19">
        <v>3.26</v>
      </c>
      <c r="J162" s="19">
        <v>0.042</v>
      </c>
      <c r="K162" s="19">
        <v>132.953</v>
      </c>
      <c r="L162" s="19">
        <v>19.233</v>
      </c>
      <c r="M162" s="19">
        <v>107.787</v>
      </c>
      <c r="N162" s="19">
        <v>19.468</v>
      </c>
      <c r="O162" s="19">
        <v>66.846</v>
      </c>
      <c r="P162" s="19">
        <v>22.778</v>
      </c>
      <c r="Q162" s="15"/>
    </row>
    <row r="163">
      <c r="A163" s="13" t="s">
        <v>19</v>
      </c>
      <c r="B163" s="14">
        <v>45482.0</v>
      </c>
      <c r="C163" s="15" t="s">
        <v>24</v>
      </c>
      <c r="D163" s="16">
        <v>8.2</v>
      </c>
      <c r="E163" s="15" t="s">
        <v>22</v>
      </c>
      <c r="F163" s="17">
        <v>2.0</v>
      </c>
      <c r="G163" s="51" t="s">
        <v>54</v>
      </c>
      <c r="H163" s="19">
        <v>9.9838</v>
      </c>
      <c r="I163" s="19">
        <v>3.608</v>
      </c>
      <c r="J163" s="19">
        <v>0.065</v>
      </c>
      <c r="K163" s="19">
        <v>137.436</v>
      </c>
      <c r="L163" s="19">
        <v>16.098</v>
      </c>
      <c r="M163" s="19">
        <v>111.339</v>
      </c>
      <c r="N163" s="19">
        <v>15.962</v>
      </c>
      <c r="O163" s="19">
        <v>69.691</v>
      </c>
      <c r="P163" s="19">
        <v>21.084</v>
      </c>
      <c r="Q163" s="19">
        <v>9.9524</v>
      </c>
    </row>
    <row r="164">
      <c r="A164" s="13" t="s">
        <v>19</v>
      </c>
      <c r="B164" s="14">
        <v>45482.0</v>
      </c>
      <c r="C164" s="15" t="s">
        <v>24</v>
      </c>
      <c r="D164" s="16">
        <v>8.3</v>
      </c>
      <c r="E164" s="15" t="s">
        <v>22</v>
      </c>
      <c r="F164" s="17">
        <v>2.0</v>
      </c>
      <c r="G164" s="51" t="s">
        <v>54</v>
      </c>
      <c r="H164" s="19">
        <v>9.3884</v>
      </c>
      <c r="I164" s="19">
        <v>4.811</v>
      </c>
      <c r="J164" s="19">
        <v>0.059</v>
      </c>
      <c r="K164" s="19">
        <v>187.374</v>
      </c>
      <c r="L164" s="19">
        <v>20.238</v>
      </c>
      <c r="M164" s="19">
        <v>154.354</v>
      </c>
      <c r="N164" s="19">
        <v>21.647</v>
      </c>
      <c r="O164" s="19">
        <v>90.022</v>
      </c>
      <c r="P164" s="19">
        <v>27.646</v>
      </c>
      <c r="Q164" s="15" t="s">
        <v>58</v>
      </c>
    </row>
    <row r="165">
      <c r="A165" s="13" t="s">
        <v>19</v>
      </c>
      <c r="B165" s="14">
        <v>45482.0</v>
      </c>
      <c r="C165" s="15" t="s">
        <v>24</v>
      </c>
      <c r="D165" s="16">
        <v>8.4</v>
      </c>
      <c r="E165" s="52" t="s">
        <v>22</v>
      </c>
      <c r="F165" s="17">
        <v>2.0</v>
      </c>
      <c r="G165" s="51" t="s">
        <v>54</v>
      </c>
      <c r="H165" s="19">
        <v>10.609</v>
      </c>
      <c r="I165" s="19">
        <v>5.186</v>
      </c>
      <c r="J165" s="19">
        <v>0.061</v>
      </c>
      <c r="K165" s="19">
        <v>138.737</v>
      </c>
      <c r="L165" s="19">
        <v>14.49</v>
      </c>
      <c r="M165" s="19">
        <v>112.064</v>
      </c>
      <c r="N165" s="19">
        <v>15.369</v>
      </c>
      <c r="O165" s="19">
        <v>74.959</v>
      </c>
      <c r="P165" s="19">
        <v>19.737</v>
      </c>
      <c r="Q165" s="16">
        <v>10.5839</v>
      </c>
    </row>
    <row r="166">
      <c r="A166" s="13" t="s">
        <v>19</v>
      </c>
      <c r="B166" s="14">
        <v>45482.0</v>
      </c>
      <c r="C166" s="15" t="s">
        <v>24</v>
      </c>
      <c r="D166" s="16">
        <v>9.1</v>
      </c>
      <c r="E166" s="15" t="s">
        <v>22</v>
      </c>
      <c r="F166" s="17">
        <v>2.0</v>
      </c>
      <c r="G166" s="51" t="s">
        <v>54</v>
      </c>
      <c r="H166" s="19">
        <v>9.5504</v>
      </c>
      <c r="I166" s="19">
        <v>3.865</v>
      </c>
      <c r="J166" s="19">
        <v>0.093</v>
      </c>
      <c r="K166" s="19">
        <v>132.829</v>
      </c>
      <c r="L166" s="19">
        <v>18.544</v>
      </c>
      <c r="M166" s="19">
        <v>112.134</v>
      </c>
      <c r="N166" s="19">
        <v>17.96</v>
      </c>
      <c r="O166" s="19">
        <v>66.692</v>
      </c>
      <c r="P166" s="19">
        <v>20.779</v>
      </c>
      <c r="Q166" s="15"/>
    </row>
    <row r="167">
      <c r="A167" s="13" t="s">
        <v>19</v>
      </c>
      <c r="B167" s="14">
        <v>45482.0</v>
      </c>
      <c r="C167" s="15" t="s">
        <v>24</v>
      </c>
      <c r="D167" s="16">
        <v>9.2</v>
      </c>
      <c r="E167" s="15" t="s">
        <v>22</v>
      </c>
      <c r="F167" s="17">
        <v>2.0</v>
      </c>
      <c r="G167" s="51" t="s">
        <v>54</v>
      </c>
      <c r="H167" s="19">
        <v>9.6617</v>
      </c>
      <c r="I167" s="19">
        <v>3.861</v>
      </c>
      <c r="J167" s="19">
        <v>0.066</v>
      </c>
      <c r="K167" s="19">
        <v>143.032</v>
      </c>
      <c r="L167" s="19">
        <v>15.815</v>
      </c>
      <c r="M167" s="19">
        <v>119.657</v>
      </c>
      <c r="N167" s="19">
        <v>15.56</v>
      </c>
      <c r="O167" s="19">
        <v>73.063</v>
      </c>
      <c r="P167" s="19">
        <v>22.031</v>
      </c>
      <c r="Q167" s="15"/>
    </row>
    <row r="168">
      <c r="A168" s="13" t="s">
        <v>19</v>
      </c>
      <c r="B168" s="14">
        <v>45482.0</v>
      </c>
      <c r="C168" s="15" t="s">
        <v>24</v>
      </c>
      <c r="D168" s="16">
        <v>9.3</v>
      </c>
      <c r="E168" s="15" t="s">
        <v>22</v>
      </c>
      <c r="F168" s="17">
        <v>2.0</v>
      </c>
      <c r="G168" s="51" t="s">
        <v>54</v>
      </c>
      <c r="H168" s="19">
        <v>8.8432</v>
      </c>
      <c r="I168" s="19">
        <v>3.252</v>
      </c>
      <c r="J168" s="19">
        <v>0.06</v>
      </c>
      <c r="K168" s="19">
        <v>142.601</v>
      </c>
      <c r="L168" s="19">
        <v>13.171</v>
      </c>
      <c r="M168" s="19">
        <v>119.728</v>
      </c>
      <c r="N168" s="19">
        <v>13.784</v>
      </c>
      <c r="O168" s="19">
        <v>70.596</v>
      </c>
      <c r="P168" s="19">
        <v>18.572</v>
      </c>
      <c r="Q168" s="15" t="s">
        <v>59</v>
      </c>
    </row>
    <row r="169">
      <c r="A169" s="13" t="s">
        <v>19</v>
      </c>
      <c r="B169" s="14">
        <v>45482.0</v>
      </c>
      <c r="C169" s="15" t="s">
        <v>24</v>
      </c>
      <c r="D169" s="16">
        <v>9.4</v>
      </c>
      <c r="E169" s="52" t="s">
        <v>22</v>
      </c>
      <c r="F169" s="17">
        <v>2.0</v>
      </c>
      <c r="G169" s="51" t="s">
        <v>54</v>
      </c>
      <c r="H169" s="19">
        <v>9.2683</v>
      </c>
      <c r="I169" s="19">
        <v>4.156</v>
      </c>
      <c r="J169" s="19">
        <v>0.063</v>
      </c>
      <c r="K169" s="19">
        <v>122.71</v>
      </c>
      <c r="L169" s="19">
        <v>20.342</v>
      </c>
      <c r="M169" s="19">
        <v>99.411</v>
      </c>
      <c r="N169" s="19">
        <v>19.604</v>
      </c>
      <c r="O169" s="19">
        <v>57.357</v>
      </c>
      <c r="P169" s="19">
        <v>22.927</v>
      </c>
      <c r="Q169" s="16">
        <v>9.2681</v>
      </c>
    </row>
    <row r="170">
      <c r="A170" s="13" t="s">
        <v>19</v>
      </c>
      <c r="B170" s="14">
        <v>45482.0</v>
      </c>
      <c r="C170" s="15" t="s">
        <v>25</v>
      </c>
      <c r="D170" s="16">
        <v>7.1</v>
      </c>
      <c r="E170" s="15" t="s">
        <v>22</v>
      </c>
      <c r="F170" s="17">
        <v>2.0</v>
      </c>
      <c r="G170" s="51" t="s">
        <v>54</v>
      </c>
      <c r="H170" s="19">
        <v>12.9245</v>
      </c>
      <c r="I170" s="19">
        <v>6.376</v>
      </c>
      <c r="J170" s="19">
        <v>0.081</v>
      </c>
      <c r="K170" s="19">
        <v>141.525</v>
      </c>
      <c r="L170" s="19">
        <v>32.931</v>
      </c>
      <c r="M170" s="19">
        <v>127.125</v>
      </c>
      <c r="N170" s="19">
        <v>32.863</v>
      </c>
      <c r="O170" s="19">
        <v>78.16</v>
      </c>
      <c r="P170" s="19">
        <v>29.461</v>
      </c>
      <c r="Q170" s="15"/>
    </row>
    <row r="171">
      <c r="A171" s="13" t="s">
        <v>19</v>
      </c>
      <c r="B171" s="14">
        <v>45482.0</v>
      </c>
      <c r="C171" s="15" t="s">
        <v>25</v>
      </c>
      <c r="D171" s="16">
        <v>7.2</v>
      </c>
      <c r="E171" s="15" t="s">
        <v>22</v>
      </c>
      <c r="F171" s="17">
        <v>2.0</v>
      </c>
      <c r="G171" s="51" t="s">
        <v>54</v>
      </c>
      <c r="H171" s="19">
        <v>10.1345</v>
      </c>
      <c r="I171" s="51" t="s">
        <v>60</v>
      </c>
      <c r="J171" s="51" t="s">
        <v>60</v>
      </c>
      <c r="K171" s="51" t="s">
        <v>60</v>
      </c>
      <c r="L171" s="51" t="s">
        <v>60</v>
      </c>
      <c r="M171" s="51" t="s">
        <v>60</v>
      </c>
      <c r="N171" s="51" t="s">
        <v>60</v>
      </c>
      <c r="O171" s="51" t="s">
        <v>60</v>
      </c>
      <c r="P171" s="51" t="s">
        <v>60</v>
      </c>
      <c r="Q171" s="15" t="s">
        <v>61</v>
      </c>
    </row>
    <row r="172">
      <c r="A172" s="13" t="s">
        <v>19</v>
      </c>
      <c r="B172" s="14">
        <v>45482.0</v>
      </c>
      <c r="C172" s="15" t="s">
        <v>25</v>
      </c>
      <c r="D172" s="16">
        <v>7.3</v>
      </c>
      <c r="E172" s="15" t="s">
        <v>22</v>
      </c>
      <c r="F172" s="17">
        <v>2.0</v>
      </c>
      <c r="G172" s="51" t="s">
        <v>54</v>
      </c>
      <c r="H172" s="19">
        <v>10.5755</v>
      </c>
      <c r="I172" s="19">
        <v>5.873</v>
      </c>
      <c r="J172" s="19">
        <v>0.027</v>
      </c>
      <c r="K172" s="19">
        <v>127.169</v>
      </c>
      <c r="L172" s="19">
        <v>35.685</v>
      </c>
      <c r="M172" s="19">
        <v>114.53</v>
      </c>
      <c r="N172" s="19">
        <v>36.349</v>
      </c>
      <c r="O172" s="19">
        <v>70.533</v>
      </c>
      <c r="P172" s="19">
        <v>30.033</v>
      </c>
      <c r="Q172" s="15"/>
    </row>
    <row r="173">
      <c r="A173" s="13" t="s">
        <v>19</v>
      </c>
      <c r="B173" s="14">
        <v>45482.0</v>
      </c>
      <c r="C173" s="15" t="s">
        <v>25</v>
      </c>
      <c r="D173" s="16">
        <v>7.4</v>
      </c>
      <c r="E173" s="52" t="s">
        <v>22</v>
      </c>
      <c r="F173" s="17">
        <v>2.0</v>
      </c>
      <c r="G173" s="51" t="s">
        <v>54</v>
      </c>
      <c r="H173" s="19">
        <v>10.8147</v>
      </c>
      <c r="I173" s="19">
        <v>5.152</v>
      </c>
      <c r="J173" s="19">
        <v>0.034</v>
      </c>
      <c r="K173" s="19">
        <v>117.528</v>
      </c>
      <c r="L173" s="19">
        <v>31.531</v>
      </c>
      <c r="M173" s="19">
        <v>100.343</v>
      </c>
      <c r="N173" s="19">
        <v>32.09</v>
      </c>
      <c r="O173" s="19">
        <v>61.901</v>
      </c>
      <c r="P173" s="19">
        <v>28.691</v>
      </c>
      <c r="Q173" s="16">
        <v>10.7585</v>
      </c>
    </row>
    <row r="174">
      <c r="A174" s="13" t="s">
        <v>19</v>
      </c>
      <c r="B174" s="14">
        <v>45482.0</v>
      </c>
      <c r="C174" s="15" t="s">
        <v>25</v>
      </c>
      <c r="D174" s="16">
        <v>8.1</v>
      </c>
      <c r="E174" s="15" t="s">
        <v>22</v>
      </c>
      <c r="F174" s="17">
        <v>2.0</v>
      </c>
      <c r="G174" s="51" t="s">
        <v>54</v>
      </c>
      <c r="H174" s="19">
        <v>11.8973</v>
      </c>
      <c r="I174" s="19">
        <v>5.643</v>
      </c>
      <c r="J174" s="19">
        <v>0.048</v>
      </c>
      <c r="K174" s="19">
        <v>133.648</v>
      </c>
      <c r="L174" s="19">
        <v>30.497</v>
      </c>
      <c r="M174" s="19">
        <v>116.433</v>
      </c>
      <c r="N174" s="19">
        <v>32.249</v>
      </c>
      <c r="O174" s="19">
        <v>74.01</v>
      </c>
      <c r="P174" s="19">
        <v>29.355</v>
      </c>
      <c r="Q174" s="15"/>
    </row>
    <row r="175">
      <c r="A175" s="13" t="s">
        <v>19</v>
      </c>
      <c r="B175" s="14">
        <v>45482.0</v>
      </c>
      <c r="C175" s="15" t="s">
        <v>25</v>
      </c>
      <c r="D175" s="16">
        <v>8.2</v>
      </c>
      <c r="E175" s="15" t="s">
        <v>22</v>
      </c>
      <c r="F175" s="17">
        <v>2.0</v>
      </c>
      <c r="G175" s="51" t="s">
        <v>54</v>
      </c>
      <c r="H175" s="19">
        <v>12.1076</v>
      </c>
      <c r="I175" s="19">
        <v>4.422</v>
      </c>
      <c r="J175" s="19">
        <v>0.011</v>
      </c>
      <c r="K175" s="19">
        <v>130.835</v>
      </c>
      <c r="L175" s="19">
        <v>28.402</v>
      </c>
      <c r="M175" s="19">
        <v>113.57</v>
      </c>
      <c r="N175" s="19">
        <v>29.434</v>
      </c>
      <c r="O175" s="19">
        <v>75.125</v>
      </c>
      <c r="P175" s="19">
        <v>26.684</v>
      </c>
      <c r="Q175" s="15"/>
    </row>
    <row r="176">
      <c r="A176" s="13" t="s">
        <v>19</v>
      </c>
      <c r="B176" s="14">
        <v>45482.0</v>
      </c>
      <c r="C176" s="15" t="s">
        <v>25</v>
      </c>
      <c r="D176" s="16">
        <v>8.3</v>
      </c>
      <c r="E176" s="15" t="s">
        <v>22</v>
      </c>
      <c r="F176" s="17">
        <v>2.0</v>
      </c>
      <c r="G176" s="51" t="s">
        <v>54</v>
      </c>
      <c r="H176" s="19">
        <v>9.6731</v>
      </c>
      <c r="I176" s="19">
        <v>3.925</v>
      </c>
      <c r="J176" s="19">
        <v>0.058</v>
      </c>
      <c r="K176" s="19">
        <v>130.433</v>
      </c>
      <c r="L176" s="19">
        <v>27.747</v>
      </c>
      <c r="M176" s="19">
        <v>121.208</v>
      </c>
      <c r="N176" s="19">
        <v>28.211</v>
      </c>
      <c r="O176" s="19">
        <v>83.349</v>
      </c>
      <c r="P176" s="19">
        <v>26.673</v>
      </c>
      <c r="Q176" s="15"/>
    </row>
    <row r="177">
      <c r="A177" s="13" t="s">
        <v>19</v>
      </c>
      <c r="B177" s="14">
        <v>45482.0</v>
      </c>
      <c r="C177" s="15" t="s">
        <v>25</v>
      </c>
      <c r="D177" s="16">
        <v>8.4</v>
      </c>
      <c r="E177" s="52" t="s">
        <v>22</v>
      </c>
      <c r="F177" s="17">
        <v>2.0</v>
      </c>
      <c r="G177" s="51" t="s">
        <v>54</v>
      </c>
      <c r="H177" s="19">
        <v>12.0196</v>
      </c>
      <c r="I177" s="19">
        <v>5.364</v>
      </c>
      <c r="J177" s="19">
        <v>0.02</v>
      </c>
      <c r="K177" s="19">
        <v>125.301</v>
      </c>
      <c r="L177" s="19">
        <v>34.259</v>
      </c>
      <c r="M177" s="19">
        <v>105.7</v>
      </c>
      <c r="N177" s="19">
        <v>34.641</v>
      </c>
      <c r="O177" s="19">
        <v>61.696</v>
      </c>
      <c r="P177" s="19">
        <v>28.71</v>
      </c>
      <c r="Q177" s="16">
        <v>11.908</v>
      </c>
    </row>
    <row r="178">
      <c r="A178" s="13" t="s">
        <v>19</v>
      </c>
      <c r="B178" s="14">
        <v>45482.0</v>
      </c>
      <c r="C178" s="15" t="s">
        <v>25</v>
      </c>
      <c r="D178" s="16">
        <v>9.1</v>
      </c>
      <c r="E178" s="15" t="s">
        <v>22</v>
      </c>
      <c r="F178" s="17">
        <v>2.0</v>
      </c>
      <c r="G178" s="51" t="s">
        <v>54</v>
      </c>
      <c r="H178" s="19">
        <v>11.12</v>
      </c>
      <c r="I178" s="19">
        <v>4.815</v>
      </c>
      <c r="J178" s="19">
        <v>0.057</v>
      </c>
      <c r="K178" s="19">
        <v>132.581</v>
      </c>
      <c r="L178" s="19">
        <v>32.125</v>
      </c>
      <c r="M178" s="19">
        <v>118.441</v>
      </c>
      <c r="N178" s="19">
        <v>32.408</v>
      </c>
      <c r="O178" s="19">
        <v>78.408</v>
      </c>
      <c r="P178" s="19">
        <v>28.648</v>
      </c>
      <c r="Q178" s="15"/>
    </row>
    <row r="179">
      <c r="A179" s="13" t="s">
        <v>19</v>
      </c>
      <c r="B179" s="14">
        <v>45482.0</v>
      </c>
      <c r="C179" s="15" t="s">
        <v>25</v>
      </c>
      <c r="D179" s="16">
        <v>9.2</v>
      </c>
      <c r="E179" s="15" t="s">
        <v>22</v>
      </c>
      <c r="F179" s="17">
        <v>2.0</v>
      </c>
      <c r="G179" s="51" t="s">
        <v>54</v>
      </c>
      <c r="H179" s="19">
        <v>10.0459</v>
      </c>
      <c r="I179" s="19">
        <v>2.685</v>
      </c>
      <c r="J179" s="19">
        <v>0.008</v>
      </c>
      <c r="K179" s="19">
        <v>141.979</v>
      </c>
      <c r="L179" s="19">
        <v>26.366</v>
      </c>
      <c r="M179" s="19">
        <v>131.62</v>
      </c>
      <c r="N179" s="19">
        <v>26.36</v>
      </c>
      <c r="O179" s="19">
        <v>94.549</v>
      </c>
      <c r="P179" s="19">
        <v>26.188</v>
      </c>
      <c r="Q179" s="15"/>
    </row>
    <row r="180">
      <c r="A180" s="13" t="s">
        <v>19</v>
      </c>
      <c r="B180" s="14">
        <v>45482.0</v>
      </c>
      <c r="C180" s="15" t="s">
        <v>25</v>
      </c>
      <c r="D180" s="16">
        <v>9.3</v>
      </c>
      <c r="E180" s="15" t="s">
        <v>22</v>
      </c>
      <c r="F180" s="17">
        <v>2.0</v>
      </c>
      <c r="G180" s="51" t="s">
        <v>54</v>
      </c>
      <c r="H180" s="19">
        <v>9.4132</v>
      </c>
      <c r="I180" s="19">
        <v>3.415</v>
      </c>
      <c r="J180" s="19">
        <v>0.024</v>
      </c>
      <c r="K180" s="19">
        <v>136.302</v>
      </c>
      <c r="L180" s="19">
        <v>29.896</v>
      </c>
      <c r="M180" s="19">
        <v>124.778</v>
      </c>
      <c r="N180" s="19">
        <v>29.612</v>
      </c>
      <c r="O180" s="19">
        <v>84.708</v>
      </c>
      <c r="P180" s="19">
        <v>26.771</v>
      </c>
      <c r="Q180" s="15"/>
    </row>
    <row r="181">
      <c r="A181" s="13" t="s">
        <v>19</v>
      </c>
      <c r="B181" s="14">
        <v>45482.0</v>
      </c>
      <c r="C181" s="15" t="s">
        <v>25</v>
      </c>
      <c r="D181" s="16">
        <v>9.4</v>
      </c>
      <c r="E181" s="52" t="s">
        <v>22</v>
      </c>
      <c r="F181" s="17">
        <v>2.0</v>
      </c>
      <c r="G181" s="51" t="s">
        <v>54</v>
      </c>
      <c r="H181" s="19">
        <v>9.5574</v>
      </c>
      <c r="I181" s="19">
        <v>3.972</v>
      </c>
      <c r="J181" s="51">
        <f>J145*1.02</f>
        <v>0.09894</v>
      </c>
      <c r="K181" s="19">
        <v>109.033</v>
      </c>
      <c r="L181" s="19">
        <v>30.911</v>
      </c>
      <c r="M181" s="19">
        <v>93.817</v>
      </c>
      <c r="N181" s="19">
        <v>31.096</v>
      </c>
      <c r="O181" s="19">
        <v>56.862</v>
      </c>
      <c r="P181" s="19">
        <v>22.662</v>
      </c>
      <c r="Q181" s="16">
        <v>9.5204</v>
      </c>
    </row>
    <row r="182">
      <c r="A182" s="13" t="s">
        <v>19</v>
      </c>
      <c r="B182" s="14">
        <v>45502.0</v>
      </c>
      <c r="C182" s="15" t="s">
        <v>21</v>
      </c>
      <c r="D182" s="16">
        <v>7.1</v>
      </c>
      <c r="E182" s="15" t="s">
        <v>22</v>
      </c>
      <c r="F182" s="17">
        <v>2.0</v>
      </c>
      <c r="G182" s="51" t="s">
        <v>55</v>
      </c>
      <c r="H182" s="19">
        <v>9.8601</v>
      </c>
      <c r="I182" s="23">
        <f t="shared" ref="I182:P182" si="1">I146*1.02</f>
        <v>3.76584</v>
      </c>
      <c r="J182" s="51">
        <f t="shared" si="1"/>
        <v>0.01632</v>
      </c>
      <c r="K182" s="51">
        <f t="shared" si="1"/>
        <v>86.5266</v>
      </c>
      <c r="L182" s="51">
        <f t="shared" si="1"/>
        <v>27.89598</v>
      </c>
      <c r="M182" s="51">
        <f t="shared" si="1"/>
        <v>67.75962</v>
      </c>
      <c r="N182" s="51">
        <f t="shared" si="1"/>
        <v>26.73828</v>
      </c>
      <c r="O182" s="51">
        <f t="shared" si="1"/>
        <v>49.21296</v>
      </c>
      <c r="P182" s="51">
        <f t="shared" si="1"/>
        <v>21.41388</v>
      </c>
      <c r="Q182" s="15"/>
    </row>
    <row r="183">
      <c r="A183" s="13" t="s">
        <v>19</v>
      </c>
      <c r="B183" s="14">
        <v>45502.0</v>
      </c>
      <c r="C183" s="15" t="s">
        <v>21</v>
      </c>
      <c r="D183" s="16">
        <v>7.2</v>
      </c>
      <c r="E183" s="15" t="s">
        <v>22</v>
      </c>
      <c r="F183" s="17">
        <v>2.0</v>
      </c>
      <c r="G183" s="51" t="s">
        <v>55</v>
      </c>
      <c r="H183" s="19">
        <v>10.634</v>
      </c>
      <c r="I183" s="23">
        <f t="shared" ref="I183:P183" si="2">I147*1.02</f>
        <v>1.89516</v>
      </c>
      <c r="J183" s="51">
        <f t="shared" si="2"/>
        <v>0.05304</v>
      </c>
      <c r="K183" s="51">
        <f t="shared" si="2"/>
        <v>120.2376</v>
      </c>
      <c r="L183" s="51">
        <f t="shared" si="2"/>
        <v>27.26868</v>
      </c>
      <c r="M183" s="51">
        <f t="shared" si="2"/>
        <v>104.3664</v>
      </c>
      <c r="N183" s="51">
        <f t="shared" si="2"/>
        <v>29.019</v>
      </c>
      <c r="O183" s="51">
        <f t="shared" si="2"/>
        <v>79.4121</v>
      </c>
      <c r="P183" s="51">
        <f t="shared" si="2"/>
        <v>32.43906</v>
      </c>
      <c r="Q183" s="15"/>
    </row>
    <row r="184">
      <c r="A184" s="13" t="s">
        <v>19</v>
      </c>
      <c r="B184" s="14">
        <v>45502.0</v>
      </c>
      <c r="C184" s="15" t="s">
        <v>21</v>
      </c>
      <c r="D184" s="16">
        <v>7.3</v>
      </c>
      <c r="E184" s="15" t="s">
        <v>22</v>
      </c>
      <c r="F184" s="17">
        <v>2.0</v>
      </c>
      <c r="G184" s="51" t="s">
        <v>55</v>
      </c>
      <c r="H184" s="19">
        <v>12.5144</v>
      </c>
      <c r="I184" s="23">
        <f t="shared" ref="I184:P184" si="3">I148*1.02</f>
        <v>5.34276</v>
      </c>
      <c r="J184" s="51">
        <f t="shared" si="3"/>
        <v>0.04386</v>
      </c>
      <c r="K184" s="51">
        <f t="shared" si="3"/>
        <v>148.3641</v>
      </c>
      <c r="L184" s="51">
        <f t="shared" si="3"/>
        <v>39.06906</v>
      </c>
      <c r="M184" s="51">
        <f t="shared" si="3"/>
        <v>134.55228</v>
      </c>
      <c r="N184" s="51">
        <f t="shared" si="3"/>
        <v>38.63454</v>
      </c>
      <c r="O184" s="51">
        <f t="shared" si="3"/>
        <v>110.76894</v>
      </c>
      <c r="P184" s="51">
        <f t="shared" si="3"/>
        <v>36.44664</v>
      </c>
      <c r="Q184" s="15"/>
    </row>
    <row r="185">
      <c r="A185" s="13" t="s">
        <v>19</v>
      </c>
      <c r="B185" s="14">
        <v>45502.0</v>
      </c>
      <c r="C185" s="15" t="s">
        <v>21</v>
      </c>
      <c r="D185" s="16">
        <v>7.4</v>
      </c>
      <c r="E185" s="52" t="s">
        <v>22</v>
      </c>
      <c r="F185" s="17">
        <v>2.0</v>
      </c>
      <c r="G185" s="51" t="s">
        <v>55</v>
      </c>
      <c r="H185" s="19">
        <v>10.695</v>
      </c>
      <c r="I185" s="23">
        <f t="shared" ref="I185:P185" si="4">I149*1.02</f>
        <v>4.49208</v>
      </c>
      <c r="J185" s="51">
        <f t="shared" si="4"/>
        <v>0.02856</v>
      </c>
      <c r="K185" s="51">
        <f t="shared" si="4"/>
        <v>112.6437</v>
      </c>
      <c r="L185" s="51">
        <f t="shared" si="4"/>
        <v>34.57188</v>
      </c>
      <c r="M185" s="51">
        <f t="shared" si="4"/>
        <v>93.4014</v>
      </c>
      <c r="N185" s="51">
        <f t="shared" si="4"/>
        <v>33.27954</v>
      </c>
      <c r="O185" s="51">
        <f t="shared" si="4"/>
        <v>62.5362</v>
      </c>
      <c r="P185" s="51">
        <f t="shared" si="4"/>
        <v>28.4172</v>
      </c>
      <c r="Q185" s="15"/>
    </row>
    <row r="186">
      <c r="A186" s="13" t="s">
        <v>19</v>
      </c>
      <c r="B186" s="14">
        <v>45502.0</v>
      </c>
      <c r="C186" s="15" t="s">
        <v>21</v>
      </c>
      <c r="D186" s="16">
        <v>8.1</v>
      </c>
      <c r="E186" s="15" t="s">
        <v>22</v>
      </c>
      <c r="F186" s="17">
        <v>2.0</v>
      </c>
      <c r="G186" s="51" t="s">
        <v>55</v>
      </c>
      <c r="H186" s="19">
        <v>11.1872</v>
      </c>
      <c r="I186" s="23">
        <f t="shared" ref="I186:P186" si="5">I150*1.02</f>
        <v>4.42986</v>
      </c>
      <c r="J186" s="51">
        <f t="shared" si="5"/>
        <v>0.03162</v>
      </c>
      <c r="K186" s="51">
        <f t="shared" si="5"/>
        <v>133.2069</v>
      </c>
      <c r="L186" s="51">
        <f t="shared" si="5"/>
        <v>29.12814</v>
      </c>
      <c r="M186" s="51">
        <f t="shared" si="5"/>
        <v>110.42418</v>
      </c>
      <c r="N186" s="51">
        <f t="shared" si="5"/>
        <v>28.17036</v>
      </c>
      <c r="O186" s="51">
        <f t="shared" si="5"/>
        <v>78.00552</v>
      </c>
      <c r="P186" s="51">
        <f t="shared" si="5"/>
        <v>25.70706</v>
      </c>
      <c r="Q186" s="15"/>
    </row>
    <row r="187">
      <c r="A187" s="13" t="s">
        <v>19</v>
      </c>
      <c r="B187" s="14">
        <v>45502.0</v>
      </c>
      <c r="C187" s="15" t="s">
        <v>21</v>
      </c>
      <c r="D187" s="16">
        <v>8.2</v>
      </c>
      <c r="E187" s="15" t="s">
        <v>22</v>
      </c>
      <c r="F187" s="17">
        <v>2.0</v>
      </c>
      <c r="G187" s="51" t="s">
        <v>55</v>
      </c>
      <c r="H187" s="19">
        <v>11.0433</v>
      </c>
      <c r="I187" s="23">
        <f t="shared" ref="I187:P187" si="6">I151*1.02</f>
        <v>3.32928</v>
      </c>
      <c r="J187" s="51">
        <f t="shared" si="6"/>
        <v>0.03366</v>
      </c>
      <c r="K187" s="51">
        <f t="shared" si="6"/>
        <v>132.80094</v>
      </c>
      <c r="L187" s="51">
        <f t="shared" si="6"/>
        <v>33.07248</v>
      </c>
      <c r="M187" s="51">
        <f t="shared" si="6"/>
        <v>114.0462</v>
      </c>
      <c r="N187" s="51">
        <f t="shared" si="6"/>
        <v>32.72466</v>
      </c>
      <c r="O187" s="51">
        <f t="shared" si="6"/>
        <v>75.429</v>
      </c>
      <c r="P187" s="51">
        <f t="shared" si="6"/>
        <v>32.78994</v>
      </c>
      <c r="Q187" s="15"/>
    </row>
    <row r="188">
      <c r="A188" s="13" t="s">
        <v>19</v>
      </c>
      <c r="B188" s="14">
        <v>45502.0</v>
      </c>
      <c r="C188" s="15" t="s">
        <v>21</v>
      </c>
      <c r="D188" s="16">
        <v>8.3</v>
      </c>
      <c r="E188" s="15" t="s">
        <v>22</v>
      </c>
      <c r="F188" s="17">
        <v>2.0</v>
      </c>
      <c r="G188" s="51" t="s">
        <v>55</v>
      </c>
      <c r="H188" s="19">
        <v>11.0313</v>
      </c>
      <c r="I188" s="23">
        <f t="shared" ref="I188:P188" si="7">I152*1.02</f>
        <v>4.4421</v>
      </c>
      <c r="J188" s="51">
        <f t="shared" si="7"/>
        <v>0.03978</v>
      </c>
      <c r="K188" s="51">
        <f t="shared" si="7"/>
        <v>125.97306</v>
      </c>
      <c r="L188" s="51">
        <f t="shared" si="7"/>
        <v>32.3646</v>
      </c>
      <c r="M188" s="51">
        <f t="shared" si="7"/>
        <v>107.6151</v>
      </c>
      <c r="N188" s="51">
        <f t="shared" si="7"/>
        <v>32.35134</v>
      </c>
      <c r="O188" s="51">
        <f t="shared" si="7"/>
        <v>84.76404</v>
      </c>
      <c r="P188" s="51">
        <f t="shared" si="7"/>
        <v>32.08614</v>
      </c>
      <c r="Q188" s="15"/>
    </row>
    <row r="189">
      <c r="A189" s="13" t="s">
        <v>19</v>
      </c>
      <c r="B189" s="14">
        <v>45502.0</v>
      </c>
      <c r="C189" s="15" t="s">
        <v>21</v>
      </c>
      <c r="D189" s="16">
        <v>8.4</v>
      </c>
      <c r="E189" s="52" t="s">
        <v>22</v>
      </c>
      <c r="F189" s="17">
        <v>2.0</v>
      </c>
      <c r="G189" s="51" t="s">
        <v>55</v>
      </c>
      <c r="H189" s="19">
        <v>9.703</v>
      </c>
      <c r="I189" s="23">
        <f t="shared" ref="I189:P189" si="8">I153*1.02</f>
        <v>3.468</v>
      </c>
      <c r="J189" s="51">
        <f t="shared" si="8"/>
        <v>0.04794</v>
      </c>
      <c r="K189" s="51">
        <f t="shared" si="8"/>
        <v>123.98202</v>
      </c>
      <c r="L189" s="51">
        <f t="shared" si="8"/>
        <v>35.55924</v>
      </c>
      <c r="M189" s="51">
        <f t="shared" si="8"/>
        <v>98.78394</v>
      </c>
      <c r="N189" s="51">
        <f t="shared" si="8"/>
        <v>36.2457</v>
      </c>
      <c r="O189" s="51">
        <f t="shared" si="8"/>
        <v>60.30954</v>
      </c>
      <c r="P189" s="51">
        <f t="shared" si="8"/>
        <v>32.54412</v>
      </c>
      <c r="Q189" s="15"/>
    </row>
    <row r="190">
      <c r="A190" s="13" t="s">
        <v>19</v>
      </c>
      <c r="B190" s="14">
        <v>45502.0</v>
      </c>
      <c r="C190" s="15" t="s">
        <v>21</v>
      </c>
      <c r="D190" s="16">
        <v>9.1</v>
      </c>
      <c r="E190" s="15" t="s">
        <v>22</v>
      </c>
      <c r="F190" s="17">
        <v>2.0</v>
      </c>
      <c r="G190" s="51" t="s">
        <v>55</v>
      </c>
      <c r="H190" s="19">
        <v>10.5832</v>
      </c>
      <c r="I190" s="23">
        <f t="shared" ref="I190:P190" si="9">I154*1.02</f>
        <v>3.35682</v>
      </c>
      <c r="J190" s="51">
        <f t="shared" si="9"/>
        <v>0.0306</v>
      </c>
      <c r="K190" s="51">
        <f t="shared" si="9"/>
        <v>135.79974</v>
      </c>
      <c r="L190" s="51">
        <f t="shared" si="9"/>
        <v>23.29884</v>
      </c>
      <c r="M190" s="51">
        <f t="shared" si="9"/>
        <v>110.5935</v>
      </c>
      <c r="N190" s="51">
        <f t="shared" si="9"/>
        <v>26.63016</v>
      </c>
      <c r="O190" s="51">
        <f t="shared" si="9"/>
        <v>72.83514</v>
      </c>
      <c r="P190" s="51">
        <f t="shared" si="9"/>
        <v>30.62448</v>
      </c>
      <c r="Q190" s="15"/>
    </row>
    <row r="191">
      <c r="A191" s="13" t="s">
        <v>19</v>
      </c>
      <c r="B191" s="14">
        <v>45502.0</v>
      </c>
      <c r="C191" s="15" t="s">
        <v>21</v>
      </c>
      <c r="D191" s="16">
        <v>9.2</v>
      </c>
      <c r="E191" s="15" t="s">
        <v>22</v>
      </c>
      <c r="F191" s="17">
        <v>2.0</v>
      </c>
      <c r="G191" s="51" t="s">
        <v>55</v>
      </c>
      <c r="H191" s="19">
        <v>9.3315</v>
      </c>
      <c r="I191" s="23">
        <f t="shared" ref="I191:P191" si="10">I155*1.02</f>
        <v>2.81724</v>
      </c>
      <c r="J191" s="51">
        <f t="shared" si="10"/>
        <v>0.02652</v>
      </c>
      <c r="K191" s="51">
        <f t="shared" si="10"/>
        <v>193.58274</v>
      </c>
      <c r="L191" s="51">
        <f t="shared" si="10"/>
        <v>27.8256</v>
      </c>
      <c r="M191" s="51">
        <f t="shared" si="10"/>
        <v>176.103</v>
      </c>
      <c r="N191" s="51">
        <f t="shared" si="10"/>
        <v>30.74178</v>
      </c>
      <c r="O191" s="51">
        <f t="shared" si="10"/>
        <v>110.77404</v>
      </c>
      <c r="P191" s="51">
        <f t="shared" si="10"/>
        <v>37.37076</v>
      </c>
      <c r="Q191" s="15"/>
    </row>
    <row r="192">
      <c r="A192" s="13" t="s">
        <v>19</v>
      </c>
      <c r="B192" s="14">
        <v>45502.0</v>
      </c>
      <c r="C192" s="15" t="s">
        <v>21</v>
      </c>
      <c r="D192" s="16">
        <v>9.3</v>
      </c>
      <c r="E192" s="15" t="s">
        <v>22</v>
      </c>
      <c r="F192" s="17">
        <v>2.0</v>
      </c>
      <c r="G192" s="51" t="s">
        <v>55</v>
      </c>
      <c r="H192" s="19">
        <v>10.9984</v>
      </c>
      <c r="I192" s="23">
        <f t="shared" ref="I192:P192" si="11">I156*1.02</f>
        <v>3.40374</v>
      </c>
      <c r="J192" s="51">
        <f t="shared" si="11"/>
        <v>0.051</v>
      </c>
      <c r="K192" s="51">
        <f t="shared" si="11"/>
        <v>141.61782</v>
      </c>
      <c r="L192" s="51">
        <f t="shared" si="11"/>
        <v>21.55872</v>
      </c>
      <c r="M192" s="51">
        <f t="shared" si="11"/>
        <v>112.97418</v>
      </c>
      <c r="N192" s="51">
        <f t="shared" si="11"/>
        <v>23.83638</v>
      </c>
      <c r="O192" s="51">
        <f t="shared" si="11"/>
        <v>69.2478</v>
      </c>
      <c r="P192" s="51">
        <f t="shared" si="11"/>
        <v>29.70648</v>
      </c>
      <c r="Q192" s="15"/>
    </row>
    <row r="193">
      <c r="A193" s="13" t="s">
        <v>19</v>
      </c>
      <c r="B193" s="14">
        <v>45502.0</v>
      </c>
      <c r="C193" s="15" t="s">
        <v>21</v>
      </c>
      <c r="D193" s="16">
        <v>9.4</v>
      </c>
      <c r="E193" s="52" t="s">
        <v>22</v>
      </c>
      <c r="F193" s="17">
        <v>2.0</v>
      </c>
      <c r="G193" s="51" t="s">
        <v>55</v>
      </c>
      <c r="H193" s="19">
        <v>10.018</v>
      </c>
      <c r="I193" s="23">
        <f t="shared" ref="I193:P193" si="12">I157*1.02</f>
        <v>3.55776</v>
      </c>
      <c r="J193" s="51">
        <f t="shared" si="12"/>
        <v>0.01326</v>
      </c>
      <c r="K193" s="51">
        <f t="shared" si="12"/>
        <v>127.46838</v>
      </c>
      <c r="L193" s="51">
        <f t="shared" si="12"/>
        <v>20.28168</v>
      </c>
      <c r="M193" s="51">
        <f t="shared" si="12"/>
        <v>98.88594</v>
      </c>
      <c r="N193" s="51">
        <f t="shared" si="12"/>
        <v>22.04424</v>
      </c>
      <c r="O193" s="51">
        <f t="shared" si="12"/>
        <v>53.89782</v>
      </c>
      <c r="P193" s="51">
        <f t="shared" si="12"/>
        <v>22.4757</v>
      </c>
      <c r="Q193" s="15"/>
    </row>
    <row r="194">
      <c r="A194" s="13" t="s">
        <v>19</v>
      </c>
      <c r="B194" s="14">
        <v>45502.0</v>
      </c>
      <c r="C194" s="15" t="s">
        <v>24</v>
      </c>
      <c r="D194" s="16">
        <v>7.1</v>
      </c>
      <c r="E194" s="15" t="s">
        <v>22</v>
      </c>
      <c r="F194" s="17">
        <v>2.0</v>
      </c>
      <c r="G194" s="51" t="s">
        <v>55</v>
      </c>
      <c r="H194" s="19">
        <v>10.1534</v>
      </c>
      <c r="I194" s="23">
        <f t="shared" ref="I194:P194" si="13">I158*1.02</f>
        <v>4.29522</v>
      </c>
      <c r="J194" s="51">
        <f t="shared" si="13"/>
        <v>0.06426</v>
      </c>
      <c r="K194" s="51">
        <f t="shared" si="13"/>
        <v>136.70142</v>
      </c>
      <c r="L194" s="51">
        <f t="shared" si="13"/>
        <v>14.4534</v>
      </c>
      <c r="M194" s="51">
        <f t="shared" si="13"/>
        <v>112.3734</v>
      </c>
      <c r="N194" s="51">
        <f t="shared" si="13"/>
        <v>17.19312</v>
      </c>
      <c r="O194" s="51">
        <f t="shared" si="13"/>
        <v>72.42612</v>
      </c>
      <c r="P194" s="51">
        <f t="shared" si="13"/>
        <v>19.82676</v>
      </c>
      <c r="Q194" s="15"/>
    </row>
    <row r="195">
      <c r="A195" s="13" t="s">
        <v>19</v>
      </c>
      <c r="B195" s="14">
        <v>45502.0</v>
      </c>
      <c r="C195" s="15" t="s">
        <v>24</v>
      </c>
      <c r="D195" s="16">
        <v>7.2</v>
      </c>
      <c r="E195" s="15" t="s">
        <v>22</v>
      </c>
      <c r="F195" s="17">
        <v>2.0</v>
      </c>
      <c r="G195" s="51" t="s">
        <v>55</v>
      </c>
      <c r="H195" s="19">
        <v>10.6378</v>
      </c>
      <c r="I195" s="23">
        <f t="shared" ref="I195:P195" si="14">I159*1.02</f>
        <v>4.57878</v>
      </c>
      <c r="J195" s="51">
        <f t="shared" si="14"/>
        <v>0.0357</v>
      </c>
      <c r="K195" s="51">
        <f t="shared" si="14"/>
        <v>153.92616</v>
      </c>
      <c r="L195" s="51">
        <f t="shared" si="14"/>
        <v>14.49012</v>
      </c>
      <c r="M195" s="51">
        <f t="shared" si="14"/>
        <v>124.16868</v>
      </c>
      <c r="N195" s="51">
        <f t="shared" si="14"/>
        <v>16.03032</v>
      </c>
      <c r="O195" s="51">
        <f t="shared" si="14"/>
        <v>83.00454</v>
      </c>
      <c r="P195" s="51">
        <f t="shared" si="14"/>
        <v>18.45486</v>
      </c>
      <c r="Q195" s="15"/>
    </row>
    <row r="196">
      <c r="A196" s="13" t="s">
        <v>19</v>
      </c>
      <c r="B196" s="14">
        <v>45502.0</v>
      </c>
      <c r="C196" s="15" t="s">
        <v>24</v>
      </c>
      <c r="D196" s="16">
        <v>7.3</v>
      </c>
      <c r="E196" s="15" t="s">
        <v>22</v>
      </c>
      <c r="F196" s="17">
        <v>2.0</v>
      </c>
      <c r="G196" s="51" t="s">
        <v>55</v>
      </c>
      <c r="H196" s="19">
        <v>11.6318</v>
      </c>
      <c r="I196" s="23">
        <f t="shared" ref="I196:P196" si="15">I160*1.02</f>
        <v>6.0945</v>
      </c>
      <c r="J196" s="51">
        <f t="shared" si="15"/>
        <v>0.01938</v>
      </c>
      <c r="K196" s="51">
        <f t="shared" si="15"/>
        <v>155.33784</v>
      </c>
      <c r="L196" s="51">
        <f t="shared" si="15"/>
        <v>14.3871</v>
      </c>
      <c r="M196" s="51">
        <f t="shared" si="15"/>
        <v>124.90818</v>
      </c>
      <c r="N196" s="51">
        <f t="shared" si="15"/>
        <v>15.3306</v>
      </c>
      <c r="O196" s="51">
        <f t="shared" si="15"/>
        <v>84.66816</v>
      </c>
      <c r="P196" s="51">
        <f t="shared" si="15"/>
        <v>17.06664</v>
      </c>
      <c r="Q196" s="15"/>
    </row>
    <row r="197">
      <c r="A197" s="13" t="s">
        <v>19</v>
      </c>
      <c r="B197" s="14">
        <v>45502.0</v>
      </c>
      <c r="C197" s="15" t="s">
        <v>24</v>
      </c>
      <c r="D197" s="16">
        <v>7.4</v>
      </c>
      <c r="E197" s="52" t="s">
        <v>22</v>
      </c>
      <c r="F197" s="17">
        <v>2.0</v>
      </c>
      <c r="G197" s="51" t="s">
        <v>55</v>
      </c>
      <c r="H197" s="19">
        <v>9.833</v>
      </c>
      <c r="I197" s="23">
        <f t="shared" ref="I197:P197" si="16">I161*1.02</f>
        <v>4.69812</v>
      </c>
      <c r="J197" s="51">
        <f t="shared" si="16"/>
        <v>0.03672</v>
      </c>
      <c r="K197" s="51">
        <f t="shared" si="16"/>
        <v>127.52346</v>
      </c>
      <c r="L197" s="51">
        <f t="shared" si="16"/>
        <v>11.07822</v>
      </c>
      <c r="M197" s="51">
        <f t="shared" si="16"/>
        <v>97.86186</v>
      </c>
      <c r="N197" s="51">
        <f t="shared" si="16"/>
        <v>13.99644</v>
      </c>
      <c r="O197" s="51">
        <f t="shared" si="16"/>
        <v>60.67776</v>
      </c>
      <c r="P197" s="51">
        <f t="shared" si="16"/>
        <v>14.8155</v>
      </c>
      <c r="Q197" s="15"/>
    </row>
    <row r="198">
      <c r="A198" s="13" t="s">
        <v>19</v>
      </c>
      <c r="B198" s="14">
        <v>45502.0</v>
      </c>
      <c r="C198" s="15" t="s">
        <v>24</v>
      </c>
      <c r="D198" s="16">
        <v>8.1</v>
      </c>
      <c r="E198" s="15" t="s">
        <v>22</v>
      </c>
      <c r="F198" s="17">
        <v>2.0</v>
      </c>
      <c r="G198" s="51" t="s">
        <v>55</v>
      </c>
      <c r="H198" s="19">
        <v>9.1723</v>
      </c>
      <c r="I198" s="23">
        <f t="shared" ref="I198:P198" si="17">I162*1.02</f>
        <v>3.3252</v>
      </c>
      <c r="J198" s="51">
        <f t="shared" si="17"/>
        <v>0.04284</v>
      </c>
      <c r="K198" s="51">
        <f t="shared" si="17"/>
        <v>135.61206</v>
      </c>
      <c r="L198" s="51">
        <f t="shared" si="17"/>
        <v>19.61766</v>
      </c>
      <c r="M198" s="51">
        <f t="shared" si="17"/>
        <v>109.94274</v>
      </c>
      <c r="N198" s="51">
        <f t="shared" si="17"/>
        <v>19.85736</v>
      </c>
      <c r="O198" s="51">
        <f t="shared" si="17"/>
        <v>68.18292</v>
      </c>
      <c r="P198" s="51">
        <f t="shared" si="17"/>
        <v>23.23356</v>
      </c>
      <c r="Q198" s="15"/>
    </row>
    <row r="199">
      <c r="A199" s="13" t="s">
        <v>19</v>
      </c>
      <c r="B199" s="14">
        <v>45502.0</v>
      </c>
      <c r="C199" s="15" t="s">
        <v>24</v>
      </c>
      <c r="D199" s="16">
        <v>8.2</v>
      </c>
      <c r="E199" s="15" t="s">
        <v>22</v>
      </c>
      <c r="F199" s="17">
        <v>2.0</v>
      </c>
      <c r="G199" s="51" t="s">
        <v>55</v>
      </c>
      <c r="H199" s="19">
        <v>10.126</v>
      </c>
      <c r="I199" s="23">
        <f t="shared" ref="I199:P199" si="18">I163*1.02</f>
        <v>3.68016</v>
      </c>
      <c r="J199" s="51">
        <f t="shared" si="18"/>
        <v>0.0663</v>
      </c>
      <c r="K199" s="51">
        <f t="shared" si="18"/>
        <v>140.18472</v>
      </c>
      <c r="L199" s="51">
        <f t="shared" si="18"/>
        <v>16.41996</v>
      </c>
      <c r="M199" s="51">
        <f t="shared" si="18"/>
        <v>113.56578</v>
      </c>
      <c r="N199" s="51">
        <f t="shared" si="18"/>
        <v>16.28124</v>
      </c>
      <c r="O199" s="51">
        <f t="shared" si="18"/>
        <v>71.08482</v>
      </c>
      <c r="P199" s="51">
        <f t="shared" si="18"/>
        <v>21.50568</v>
      </c>
      <c r="Q199" s="15"/>
    </row>
    <row r="200">
      <c r="A200" s="13" t="s">
        <v>19</v>
      </c>
      <c r="B200" s="14">
        <v>45502.0</v>
      </c>
      <c r="C200" s="15" t="s">
        <v>24</v>
      </c>
      <c r="D200" s="16">
        <v>8.3</v>
      </c>
      <c r="E200" s="15" t="s">
        <v>22</v>
      </c>
      <c r="F200" s="17">
        <v>2.0</v>
      </c>
      <c r="G200" s="51" t="s">
        <v>55</v>
      </c>
      <c r="H200" s="19">
        <v>9.6907</v>
      </c>
      <c r="I200" s="23">
        <f t="shared" ref="I200:P200" si="19">I164*1.02</f>
        <v>4.90722</v>
      </c>
      <c r="J200" s="51">
        <f t="shared" si="19"/>
        <v>0.06018</v>
      </c>
      <c r="K200" s="51">
        <f t="shared" si="19"/>
        <v>191.12148</v>
      </c>
      <c r="L200" s="51">
        <f t="shared" si="19"/>
        <v>20.64276</v>
      </c>
      <c r="M200" s="51">
        <f t="shared" si="19"/>
        <v>157.44108</v>
      </c>
      <c r="N200" s="51">
        <f t="shared" si="19"/>
        <v>22.07994</v>
      </c>
      <c r="O200" s="51">
        <f t="shared" si="19"/>
        <v>91.82244</v>
      </c>
      <c r="P200" s="51">
        <f t="shared" si="19"/>
        <v>28.19892</v>
      </c>
      <c r="Q200" s="15"/>
    </row>
    <row r="201">
      <c r="A201" s="13" t="s">
        <v>19</v>
      </c>
      <c r="B201" s="14">
        <v>45502.0</v>
      </c>
      <c r="C201" s="15" t="s">
        <v>24</v>
      </c>
      <c r="D201" s="16">
        <v>8.4</v>
      </c>
      <c r="E201" s="52" t="s">
        <v>22</v>
      </c>
      <c r="F201" s="17">
        <v>2.0</v>
      </c>
      <c r="G201" s="51" t="s">
        <v>55</v>
      </c>
      <c r="H201" s="19">
        <v>10.684</v>
      </c>
      <c r="I201" s="23">
        <f t="shared" ref="I201:P201" si="20">I165*1.02</f>
        <v>5.28972</v>
      </c>
      <c r="J201" s="51">
        <f t="shared" si="20"/>
        <v>0.06222</v>
      </c>
      <c r="K201" s="51">
        <f t="shared" si="20"/>
        <v>141.51174</v>
      </c>
      <c r="L201" s="51">
        <f t="shared" si="20"/>
        <v>14.7798</v>
      </c>
      <c r="M201" s="51">
        <f t="shared" si="20"/>
        <v>114.30528</v>
      </c>
      <c r="N201" s="51">
        <f t="shared" si="20"/>
        <v>15.67638</v>
      </c>
      <c r="O201" s="51">
        <f t="shared" si="20"/>
        <v>76.45818</v>
      </c>
      <c r="P201" s="51">
        <f t="shared" si="20"/>
        <v>20.13174</v>
      </c>
      <c r="Q201" s="15"/>
    </row>
    <row r="202">
      <c r="A202" s="13" t="s">
        <v>19</v>
      </c>
      <c r="B202" s="14">
        <v>45502.0</v>
      </c>
      <c r="C202" s="15" t="s">
        <v>24</v>
      </c>
      <c r="D202" s="16">
        <v>9.1</v>
      </c>
      <c r="E202" s="15" t="s">
        <v>22</v>
      </c>
      <c r="F202" s="17">
        <v>2.0</v>
      </c>
      <c r="G202" s="51" t="s">
        <v>55</v>
      </c>
      <c r="H202" s="19">
        <v>9.649</v>
      </c>
      <c r="I202" s="23">
        <f t="shared" ref="I202:P202" si="21">I166*1.02</f>
        <v>3.9423</v>
      </c>
      <c r="J202" s="51">
        <f t="shared" si="21"/>
        <v>0.09486</v>
      </c>
      <c r="K202" s="51">
        <f t="shared" si="21"/>
        <v>135.48558</v>
      </c>
      <c r="L202" s="51">
        <f t="shared" si="21"/>
        <v>18.91488</v>
      </c>
      <c r="M202" s="51">
        <f t="shared" si="21"/>
        <v>114.37668</v>
      </c>
      <c r="N202" s="51">
        <f t="shared" si="21"/>
        <v>18.3192</v>
      </c>
      <c r="O202" s="51">
        <f t="shared" si="21"/>
        <v>68.02584</v>
      </c>
      <c r="P202" s="51">
        <f t="shared" si="21"/>
        <v>21.19458</v>
      </c>
      <c r="Q202" s="15"/>
    </row>
    <row r="203">
      <c r="A203" s="13" t="s">
        <v>19</v>
      </c>
      <c r="B203" s="14">
        <v>45502.0</v>
      </c>
      <c r="C203" s="15" t="s">
        <v>24</v>
      </c>
      <c r="D203" s="16">
        <v>9.2</v>
      </c>
      <c r="E203" s="15" t="s">
        <v>22</v>
      </c>
      <c r="F203" s="17">
        <v>2.0</v>
      </c>
      <c r="G203" s="51" t="s">
        <v>55</v>
      </c>
      <c r="H203" s="19">
        <v>9.7293</v>
      </c>
      <c r="I203" s="23">
        <f t="shared" ref="I203:P203" si="22">I167*1.02</f>
        <v>3.93822</v>
      </c>
      <c r="J203" s="51">
        <f t="shared" si="22"/>
        <v>0.06732</v>
      </c>
      <c r="K203" s="51">
        <f t="shared" si="22"/>
        <v>145.89264</v>
      </c>
      <c r="L203" s="51">
        <f t="shared" si="22"/>
        <v>16.1313</v>
      </c>
      <c r="M203" s="51">
        <f t="shared" si="22"/>
        <v>122.05014</v>
      </c>
      <c r="N203" s="51">
        <f t="shared" si="22"/>
        <v>15.8712</v>
      </c>
      <c r="O203" s="51">
        <f t="shared" si="22"/>
        <v>74.52426</v>
      </c>
      <c r="P203" s="51">
        <f t="shared" si="22"/>
        <v>22.47162</v>
      </c>
      <c r="Q203" s="15"/>
    </row>
    <row r="204">
      <c r="A204" s="13" t="s">
        <v>19</v>
      </c>
      <c r="B204" s="14">
        <v>45502.0</v>
      </c>
      <c r="C204" s="15" t="s">
        <v>24</v>
      </c>
      <c r="D204" s="16">
        <v>9.3</v>
      </c>
      <c r="E204" s="15" t="s">
        <v>22</v>
      </c>
      <c r="F204" s="17">
        <v>2.0</v>
      </c>
      <c r="G204" s="51" t="s">
        <v>55</v>
      </c>
      <c r="H204" s="19">
        <v>9.0184</v>
      </c>
      <c r="I204" s="23">
        <f t="shared" ref="I204:P204" si="23">I168*1.02</f>
        <v>3.31704</v>
      </c>
      <c r="J204" s="51">
        <f t="shared" si="23"/>
        <v>0.0612</v>
      </c>
      <c r="K204" s="51">
        <f t="shared" si="23"/>
        <v>145.45302</v>
      </c>
      <c r="L204" s="51">
        <f t="shared" si="23"/>
        <v>13.43442</v>
      </c>
      <c r="M204" s="51">
        <f t="shared" si="23"/>
        <v>122.12256</v>
      </c>
      <c r="N204" s="51">
        <f t="shared" si="23"/>
        <v>14.05968</v>
      </c>
      <c r="O204" s="51">
        <f t="shared" si="23"/>
        <v>72.00792</v>
      </c>
      <c r="P204" s="51">
        <f t="shared" si="23"/>
        <v>18.94344</v>
      </c>
      <c r="Q204" s="15"/>
    </row>
    <row r="205">
      <c r="A205" s="13" t="s">
        <v>19</v>
      </c>
      <c r="B205" s="14">
        <v>45502.0</v>
      </c>
      <c r="C205" s="15" t="s">
        <v>24</v>
      </c>
      <c r="D205" s="16">
        <v>9.4</v>
      </c>
      <c r="E205" s="52" t="s">
        <v>22</v>
      </c>
      <c r="F205" s="17">
        <v>2.0</v>
      </c>
      <c r="G205" s="51" t="s">
        <v>55</v>
      </c>
      <c r="H205" s="19">
        <v>9.333</v>
      </c>
      <c r="I205" s="23">
        <f t="shared" ref="I205:P205" si="24">I169*1.02</f>
        <v>4.23912</v>
      </c>
      <c r="J205" s="51">
        <f t="shared" si="24"/>
        <v>0.06426</v>
      </c>
      <c r="K205" s="51">
        <f t="shared" si="24"/>
        <v>125.1642</v>
      </c>
      <c r="L205" s="51">
        <f t="shared" si="24"/>
        <v>20.74884</v>
      </c>
      <c r="M205" s="51">
        <f t="shared" si="24"/>
        <v>101.39922</v>
      </c>
      <c r="N205" s="51">
        <f t="shared" si="24"/>
        <v>19.99608</v>
      </c>
      <c r="O205" s="51">
        <f t="shared" si="24"/>
        <v>58.50414</v>
      </c>
      <c r="P205" s="51">
        <f t="shared" si="24"/>
        <v>23.38554</v>
      </c>
      <c r="Q205" s="15"/>
    </row>
    <row r="206">
      <c r="A206" s="13" t="s">
        <v>19</v>
      </c>
      <c r="B206" s="14">
        <v>45502.0</v>
      </c>
      <c r="C206" s="15" t="s">
        <v>25</v>
      </c>
      <c r="D206" s="16">
        <v>7.1</v>
      </c>
      <c r="E206" s="15" t="s">
        <v>22</v>
      </c>
      <c r="F206" s="17">
        <v>2.0</v>
      </c>
      <c r="G206" s="51" t="s">
        <v>55</v>
      </c>
      <c r="H206" s="19">
        <v>12.8559</v>
      </c>
      <c r="I206" s="23">
        <f t="shared" ref="I206:P206" si="25">I170*1.02</f>
        <v>6.50352</v>
      </c>
      <c r="J206" s="51">
        <f t="shared" si="25"/>
        <v>0.08262</v>
      </c>
      <c r="K206" s="51">
        <f t="shared" si="25"/>
        <v>144.3555</v>
      </c>
      <c r="L206" s="51">
        <f t="shared" si="25"/>
        <v>33.58962</v>
      </c>
      <c r="M206" s="51">
        <f t="shared" si="25"/>
        <v>129.6675</v>
      </c>
      <c r="N206" s="51">
        <f t="shared" si="25"/>
        <v>33.52026</v>
      </c>
      <c r="O206" s="51">
        <f t="shared" si="25"/>
        <v>79.7232</v>
      </c>
      <c r="P206" s="51">
        <f t="shared" si="25"/>
        <v>30.05022</v>
      </c>
      <c r="Q206" s="15"/>
    </row>
    <row r="207">
      <c r="A207" s="13" t="s">
        <v>19</v>
      </c>
      <c r="B207" s="14">
        <v>45502.0</v>
      </c>
      <c r="C207" s="15" t="s">
        <v>25</v>
      </c>
      <c r="D207" s="16">
        <v>7.2</v>
      </c>
      <c r="E207" s="15" t="s">
        <v>22</v>
      </c>
      <c r="F207" s="17">
        <v>2.0</v>
      </c>
      <c r="G207" s="51" t="s">
        <v>55</v>
      </c>
      <c r="H207" s="19">
        <v>10.1488</v>
      </c>
      <c r="I207" s="23" t="s">
        <v>60</v>
      </c>
      <c r="J207" s="18" t="s">
        <v>60</v>
      </c>
      <c r="K207" s="18" t="s">
        <v>60</v>
      </c>
      <c r="L207" s="18" t="s">
        <v>60</v>
      </c>
      <c r="M207" s="18" t="s">
        <v>60</v>
      </c>
      <c r="N207" s="18" t="s">
        <v>60</v>
      </c>
      <c r="O207" s="18" t="s">
        <v>60</v>
      </c>
      <c r="P207" s="18" t="s">
        <v>60</v>
      </c>
      <c r="Q207" s="15"/>
    </row>
    <row r="208">
      <c r="A208" s="13" t="s">
        <v>19</v>
      </c>
      <c r="B208" s="14">
        <v>45502.0</v>
      </c>
      <c r="C208" s="15" t="s">
        <v>25</v>
      </c>
      <c r="D208" s="16">
        <v>7.3</v>
      </c>
      <c r="E208" s="15" t="s">
        <v>22</v>
      </c>
      <c r="F208" s="17">
        <v>2.0</v>
      </c>
      <c r="G208" s="51" t="s">
        <v>55</v>
      </c>
      <c r="H208" s="16">
        <v>10.7393</v>
      </c>
      <c r="I208" s="23">
        <f t="shared" ref="I208:P208" si="26">I172*1.02</f>
        <v>5.99046</v>
      </c>
      <c r="J208" s="51">
        <f t="shared" si="26"/>
        <v>0.02754</v>
      </c>
      <c r="K208" s="51">
        <f t="shared" si="26"/>
        <v>129.71238</v>
      </c>
      <c r="L208" s="51">
        <f t="shared" si="26"/>
        <v>36.3987</v>
      </c>
      <c r="M208" s="51">
        <f t="shared" si="26"/>
        <v>116.8206</v>
      </c>
      <c r="N208" s="51">
        <f t="shared" si="26"/>
        <v>37.07598</v>
      </c>
      <c r="O208" s="51">
        <f t="shared" si="26"/>
        <v>71.94366</v>
      </c>
      <c r="P208" s="51">
        <f t="shared" si="26"/>
        <v>30.63366</v>
      </c>
      <c r="Q208" s="15"/>
    </row>
    <row r="209">
      <c r="A209" s="13" t="s">
        <v>19</v>
      </c>
      <c r="B209" s="14">
        <v>45502.0</v>
      </c>
      <c r="C209" s="15" t="s">
        <v>25</v>
      </c>
      <c r="D209" s="16">
        <v>7.4</v>
      </c>
      <c r="E209" s="52" t="s">
        <v>22</v>
      </c>
      <c r="F209" s="17">
        <v>2.0</v>
      </c>
      <c r="G209" s="51" t="s">
        <v>55</v>
      </c>
      <c r="H209" s="16">
        <v>10.815</v>
      </c>
      <c r="I209" s="23">
        <f t="shared" ref="I209:P209" si="27">I173*1.02</f>
        <v>5.25504</v>
      </c>
      <c r="J209" s="51">
        <f t="shared" si="27"/>
        <v>0.03468</v>
      </c>
      <c r="K209" s="51">
        <f t="shared" si="27"/>
        <v>119.87856</v>
      </c>
      <c r="L209" s="51">
        <f t="shared" si="27"/>
        <v>32.16162</v>
      </c>
      <c r="M209" s="51">
        <f t="shared" si="27"/>
        <v>102.34986</v>
      </c>
      <c r="N209" s="51">
        <f t="shared" si="27"/>
        <v>32.7318</v>
      </c>
      <c r="O209" s="51">
        <f t="shared" si="27"/>
        <v>63.13902</v>
      </c>
      <c r="P209" s="51">
        <f t="shared" si="27"/>
        <v>29.26482</v>
      </c>
      <c r="Q209" s="15"/>
    </row>
    <row r="210">
      <c r="A210" s="13" t="s">
        <v>19</v>
      </c>
      <c r="B210" s="14">
        <v>45502.0</v>
      </c>
      <c r="C210" s="15" t="s">
        <v>25</v>
      </c>
      <c r="D210" s="16">
        <v>8.1</v>
      </c>
      <c r="E210" s="15" t="s">
        <v>22</v>
      </c>
      <c r="F210" s="17">
        <v>2.0</v>
      </c>
      <c r="G210" s="51" t="s">
        <v>55</v>
      </c>
      <c r="H210" s="19">
        <v>11.8855</v>
      </c>
      <c r="I210" s="23">
        <f t="shared" ref="I210:P210" si="28">I174*1.02</f>
        <v>5.75586</v>
      </c>
      <c r="J210" s="51">
        <f t="shared" si="28"/>
        <v>0.04896</v>
      </c>
      <c r="K210" s="51">
        <f t="shared" si="28"/>
        <v>136.32096</v>
      </c>
      <c r="L210" s="51">
        <f t="shared" si="28"/>
        <v>31.10694</v>
      </c>
      <c r="M210" s="51">
        <f t="shared" si="28"/>
        <v>118.76166</v>
      </c>
      <c r="N210" s="51">
        <f t="shared" si="28"/>
        <v>32.89398</v>
      </c>
      <c r="O210" s="51">
        <f t="shared" si="28"/>
        <v>75.4902</v>
      </c>
      <c r="P210" s="51">
        <f t="shared" si="28"/>
        <v>29.9421</v>
      </c>
      <c r="Q210" s="15"/>
    </row>
    <row r="211">
      <c r="A211" s="13" t="s">
        <v>19</v>
      </c>
      <c r="B211" s="14">
        <v>45502.0</v>
      </c>
      <c r="C211" s="15" t="s">
        <v>25</v>
      </c>
      <c r="D211" s="16">
        <v>8.2</v>
      </c>
      <c r="E211" s="15" t="s">
        <v>22</v>
      </c>
      <c r="F211" s="17">
        <v>2.0</v>
      </c>
      <c r="G211" s="51" t="s">
        <v>55</v>
      </c>
      <c r="H211" s="19">
        <v>12.0204</v>
      </c>
      <c r="I211" s="23">
        <f t="shared" ref="I211:P211" si="29">I175*1.02</f>
        <v>4.51044</v>
      </c>
      <c r="J211" s="51">
        <f t="shared" si="29"/>
        <v>0.01122</v>
      </c>
      <c r="K211" s="51">
        <f t="shared" si="29"/>
        <v>133.4517</v>
      </c>
      <c r="L211" s="51">
        <f t="shared" si="29"/>
        <v>28.97004</v>
      </c>
      <c r="M211" s="51">
        <f t="shared" si="29"/>
        <v>115.8414</v>
      </c>
      <c r="N211" s="51">
        <f t="shared" si="29"/>
        <v>30.02268</v>
      </c>
      <c r="O211" s="51">
        <f t="shared" si="29"/>
        <v>76.6275</v>
      </c>
      <c r="P211" s="51">
        <f t="shared" si="29"/>
        <v>27.21768</v>
      </c>
      <c r="Q211" s="15"/>
    </row>
    <row r="212">
      <c r="A212" s="13" t="s">
        <v>19</v>
      </c>
      <c r="B212" s="14">
        <v>45502.0</v>
      </c>
      <c r="C212" s="15" t="s">
        <v>25</v>
      </c>
      <c r="D212" s="16">
        <v>8.3</v>
      </c>
      <c r="E212" s="15" t="s">
        <v>22</v>
      </c>
      <c r="F212" s="17">
        <v>2.0</v>
      </c>
      <c r="G212" s="51" t="s">
        <v>55</v>
      </c>
      <c r="H212" s="19">
        <v>9.8282</v>
      </c>
      <c r="I212" s="23">
        <f t="shared" ref="I212:P212" si="30">I176*1.02</f>
        <v>4.0035</v>
      </c>
      <c r="J212" s="51">
        <f t="shared" si="30"/>
        <v>0.05916</v>
      </c>
      <c r="K212" s="51">
        <f t="shared" si="30"/>
        <v>133.04166</v>
      </c>
      <c r="L212" s="51">
        <f t="shared" si="30"/>
        <v>28.30194</v>
      </c>
      <c r="M212" s="51">
        <f t="shared" si="30"/>
        <v>123.63216</v>
      </c>
      <c r="N212" s="51">
        <f t="shared" si="30"/>
        <v>28.77522</v>
      </c>
      <c r="O212" s="51">
        <f t="shared" si="30"/>
        <v>85.01598</v>
      </c>
      <c r="P212" s="51">
        <f t="shared" si="30"/>
        <v>27.20646</v>
      </c>
      <c r="Q212" s="15"/>
    </row>
    <row r="213">
      <c r="A213" s="13" t="s">
        <v>19</v>
      </c>
      <c r="B213" s="14">
        <v>45502.0</v>
      </c>
      <c r="C213" s="15" t="s">
        <v>25</v>
      </c>
      <c r="D213" s="16">
        <v>8.4</v>
      </c>
      <c r="E213" s="52" t="s">
        <v>22</v>
      </c>
      <c r="F213" s="17">
        <v>2.0</v>
      </c>
      <c r="G213" s="51" t="s">
        <v>55</v>
      </c>
      <c r="H213" s="19">
        <v>12.011</v>
      </c>
      <c r="I213" s="23">
        <f t="shared" ref="I213:P213" si="31">I177*1.02</f>
        <v>5.47128</v>
      </c>
      <c r="J213" s="51">
        <f t="shared" si="31"/>
        <v>0.0204</v>
      </c>
      <c r="K213" s="51">
        <f t="shared" si="31"/>
        <v>127.80702</v>
      </c>
      <c r="L213" s="51">
        <f t="shared" si="31"/>
        <v>34.94418</v>
      </c>
      <c r="M213" s="51">
        <f t="shared" si="31"/>
        <v>107.814</v>
      </c>
      <c r="N213" s="51">
        <f t="shared" si="31"/>
        <v>35.33382</v>
      </c>
      <c r="O213" s="51">
        <f t="shared" si="31"/>
        <v>62.92992</v>
      </c>
      <c r="P213" s="51">
        <f t="shared" si="31"/>
        <v>29.2842</v>
      </c>
      <c r="Q213" s="15"/>
    </row>
    <row r="214">
      <c r="A214" s="13" t="s">
        <v>19</v>
      </c>
      <c r="B214" s="14">
        <v>45502.0</v>
      </c>
      <c r="C214" s="15" t="s">
        <v>25</v>
      </c>
      <c r="D214" s="16">
        <v>9.1</v>
      </c>
      <c r="E214" s="15" t="s">
        <v>22</v>
      </c>
      <c r="F214" s="17">
        <v>2.0</v>
      </c>
      <c r="G214" s="51" t="s">
        <v>55</v>
      </c>
      <c r="H214" s="19">
        <v>11.3085</v>
      </c>
      <c r="I214" s="23">
        <f t="shared" ref="I214:P214" si="32">I178*1.02</f>
        <v>4.9113</v>
      </c>
      <c r="J214" s="51">
        <f t="shared" si="32"/>
        <v>0.05814</v>
      </c>
      <c r="K214" s="51">
        <f t="shared" si="32"/>
        <v>135.23262</v>
      </c>
      <c r="L214" s="51">
        <f t="shared" si="32"/>
        <v>32.7675</v>
      </c>
      <c r="M214" s="51">
        <f t="shared" si="32"/>
        <v>120.80982</v>
      </c>
      <c r="N214" s="51">
        <f t="shared" si="32"/>
        <v>33.05616</v>
      </c>
      <c r="O214" s="51">
        <f t="shared" si="32"/>
        <v>79.97616</v>
      </c>
      <c r="P214" s="51">
        <f t="shared" si="32"/>
        <v>29.22096</v>
      </c>
      <c r="Q214" s="15"/>
    </row>
    <row r="215">
      <c r="A215" s="13" t="s">
        <v>19</v>
      </c>
      <c r="B215" s="14">
        <v>45502.0</v>
      </c>
      <c r="C215" s="15" t="s">
        <v>25</v>
      </c>
      <c r="D215" s="16">
        <v>9.2</v>
      </c>
      <c r="E215" s="15" t="s">
        <v>22</v>
      </c>
      <c r="F215" s="17">
        <v>2.0</v>
      </c>
      <c r="G215" s="51" t="s">
        <v>55</v>
      </c>
      <c r="H215" s="19">
        <v>9.7936</v>
      </c>
      <c r="I215" s="23">
        <f t="shared" ref="I215:P215" si="33">I179*1.02</f>
        <v>2.7387</v>
      </c>
      <c r="J215" s="51">
        <f t="shared" si="33"/>
        <v>0.00816</v>
      </c>
      <c r="K215" s="51">
        <f t="shared" si="33"/>
        <v>144.81858</v>
      </c>
      <c r="L215" s="51">
        <f t="shared" si="33"/>
        <v>26.89332</v>
      </c>
      <c r="M215" s="51">
        <f t="shared" si="33"/>
        <v>134.2524</v>
      </c>
      <c r="N215" s="51">
        <f t="shared" si="33"/>
        <v>26.8872</v>
      </c>
      <c r="O215" s="51">
        <f t="shared" si="33"/>
        <v>96.43998</v>
      </c>
      <c r="P215" s="51">
        <f t="shared" si="33"/>
        <v>26.71176</v>
      </c>
      <c r="Q215" s="15"/>
    </row>
    <row r="216">
      <c r="A216" s="13" t="s">
        <v>19</v>
      </c>
      <c r="B216" s="14">
        <v>45502.0</v>
      </c>
      <c r="C216" s="15" t="s">
        <v>25</v>
      </c>
      <c r="D216" s="16">
        <v>9.3</v>
      </c>
      <c r="E216" s="15" t="s">
        <v>22</v>
      </c>
      <c r="F216" s="17">
        <v>2.0</v>
      </c>
      <c r="G216" s="51" t="s">
        <v>55</v>
      </c>
      <c r="H216" s="19">
        <v>9.424</v>
      </c>
      <c r="I216" s="23">
        <f t="shared" ref="I216:P216" si="34">I180*1.02</f>
        <v>3.4833</v>
      </c>
      <c r="J216" s="51">
        <f t="shared" si="34"/>
        <v>0.02448</v>
      </c>
      <c r="K216" s="51">
        <f t="shared" si="34"/>
        <v>139.02804</v>
      </c>
      <c r="L216" s="51">
        <f t="shared" si="34"/>
        <v>30.49392</v>
      </c>
      <c r="M216" s="51">
        <f t="shared" si="34"/>
        <v>127.27356</v>
      </c>
      <c r="N216" s="51">
        <f t="shared" si="34"/>
        <v>30.20424</v>
      </c>
      <c r="O216" s="51">
        <f t="shared" si="34"/>
        <v>86.40216</v>
      </c>
      <c r="P216" s="51">
        <f t="shared" si="34"/>
        <v>27.30642</v>
      </c>
      <c r="Q216" s="15"/>
    </row>
    <row r="217">
      <c r="A217" s="13" t="s">
        <v>19</v>
      </c>
      <c r="B217" s="14">
        <v>45502.0</v>
      </c>
      <c r="C217" s="15" t="s">
        <v>25</v>
      </c>
      <c r="D217" s="16">
        <v>9.4</v>
      </c>
      <c r="E217" s="52" t="s">
        <v>22</v>
      </c>
      <c r="F217" s="17">
        <v>2.0</v>
      </c>
      <c r="G217" s="51" t="s">
        <v>55</v>
      </c>
      <c r="H217" s="19">
        <v>9.608</v>
      </c>
      <c r="I217" s="23">
        <f t="shared" ref="I217:P217" si="35">I181*1.02</f>
        <v>4.05144</v>
      </c>
      <c r="J217" s="51">
        <f t="shared" si="35"/>
        <v>0.1009188</v>
      </c>
      <c r="K217" s="51">
        <f t="shared" si="35"/>
        <v>111.21366</v>
      </c>
      <c r="L217" s="51">
        <f t="shared" si="35"/>
        <v>31.52922</v>
      </c>
      <c r="M217" s="51">
        <f t="shared" si="35"/>
        <v>95.69334</v>
      </c>
      <c r="N217" s="51">
        <f t="shared" si="35"/>
        <v>31.71792</v>
      </c>
      <c r="O217" s="51">
        <f t="shared" si="35"/>
        <v>57.99924</v>
      </c>
      <c r="P217" s="51">
        <f t="shared" si="35"/>
        <v>23.11524</v>
      </c>
      <c r="Q217" s="15"/>
    </row>
    <row r="218">
      <c r="A218" s="13" t="s">
        <v>20</v>
      </c>
      <c r="B218" s="26">
        <v>45565.0</v>
      </c>
      <c r="C218" s="13" t="s">
        <v>21</v>
      </c>
      <c r="D218" s="13">
        <v>1.1</v>
      </c>
      <c r="E218" s="13" t="s">
        <v>22</v>
      </c>
      <c r="F218" s="13">
        <v>3.0</v>
      </c>
      <c r="G218" s="13" t="s">
        <v>54</v>
      </c>
      <c r="H218" s="23">
        <v>24.5839</v>
      </c>
      <c r="I218" s="54">
        <f t="shared" ref="I218:P218" si="36">I2*1.02</f>
        <v>5.80278</v>
      </c>
      <c r="J218" s="54">
        <f t="shared" si="36"/>
        <v>0.04488</v>
      </c>
      <c r="K218" s="54">
        <f t="shared" si="36"/>
        <v>158.83032</v>
      </c>
      <c r="L218" s="54">
        <f t="shared" si="36"/>
        <v>24.99102</v>
      </c>
      <c r="M218" s="54">
        <f t="shared" si="36"/>
        <v>133.69344</v>
      </c>
      <c r="N218" s="54">
        <f t="shared" si="36"/>
        <v>26.73114</v>
      </c>
      <c r="O218" s="54">
        <f t="shared" si="36"/>
        <v>88.54212</v>
      </c>
      <c r="P218" s="54">
        <f t="shared" si="36"/>
        <v>30.74994</v>
      </c>
    </row>
    <row r="219">
      <c r="A219" s="13" t="s">
        <v>20</v>
      </c>
      <c r="B219" s="26">
        <v>45565.0</v>
      </c>
      <c r="C219" s="13" t="s">
        <v>21</v>
      </c>
      <c r="D219" s="13">
        <v>1.2</v>
      </c>
      <c r="E219" s="13" t="s">
        <v>22</v>
      </c>
      <c r="F219" s="13">
        <v>3.0</v>
      </c>
      <c r="G219" s="13" t="s">
        <v>54</v>
      </c>
      <c r="H219" s="23">
        <v>23.7047</v>
      </c>
      <c r="I219" s="54">
        <f t="shared" ref="I219:P219" si="37">I3*1.02</f>
        <v>5.99454</v>
      </c>
      <c r="J219" s="54">
        <f t="shared" si="37"/>
        <v>0.10506</v>
      </c>
      <c r="K219" s="54">
        <f t="shared" si="37"/>
        <v>153.561</v>
      </c>
      <c r="L219" s="54">
        <f t="shared" si="37"/>
        <v>27.82764</v>
      </c>
      <c r="M219" s="54">
        <f t="shared" si="37"/>
        <v>136.94622</v>
      </c>
      <c r="N219" s="54">
        <f t="shared" si="37"/>
        <v>29.59938</v>
      </c>
      <c r="O219" s="54">
        <f t="shared" si="37"/>
        <v>88.49622</v>
      </c>
      <c r="P219" s="54">
        <f t="shared" si="37"/>
        <v>33.70284</v>
      </c>
    </row>
    <row r="220">
      <c r="A220" s="13" t="s">
        <v>20</v>
      </c>
      <c r="B220" s="26">
        <v>45565.0</v>
      </c>
      <c r="C220" s="13" t="s">
        <v>21</v>
      </c>
      <c r="D220" s="13">
        <v>1.3</v>
      </c>
      <c r="E220" s="13" t="s">
        <v>22</v>
      </c>
      <c r="F220" s="13">
        <v>3.0</v>
      </c>
      <c r="G220" s="13" t="s">
        <v>54</v>
      </c>
      <c r="H220" s="23">
        <v>23.5933</v>
      </c>
      <c r="I220" s="54">
        <f t="shared" ref="I220:P220" si="38">I4*1.02</f>
        <v>6.57696</v>
      </c>
      <c r="J220" s="54">
        <f t="shared" si="38"/>
        <v>0.06732</v>
      </c>
      <c r="K220" s="54">
        <f t="shared" si="38"/>
        <v>156.54858</v>
      </c>
      <c r="L220" s="54">
        <f t="shared" si="38"/>
        <v>23.40084</v>
      </c>
      <c r="M220" s="54">
        <f t="shared" si="38"/>
        <v>137.6745</v>
      </c>
      <c r="N220" s="54">
        <f t="shared" si="38"/>
        <v>23.9139</v>
      </c>
      <c r="O220" s="54">
        <f t="shared" si="38"/>
        <v>95.60154</v>
      </c>
      <c r="P220" s="54">
        <f t="shared" si="38"/>
        <v>30.62754</v>
      </c>
    </row>
    <row r="221">
      <c r="A221" s="13" t="s">
        <v>20</v>
      </c>
      <c r="B221" s="26">
        <v>45565.0</v>
      </c>
      <c r="C221" s="13" t="s">
        <v>21</v>
      </c>
      <c r="D221" s="13">
        <v>1.4</v>
      </c>
      <c r="E221" s="13" t="s">
        <v>22</v>
      </c>
      <c r="F221" s="13">
        <v>3.0</v>
      </c>
      <c r="G221" s="13" t="s">
        <v>54</v>
      </c>
      <c r="H221" s="23">
        <v>22.0098</v>
      </c>
      <c r="I221" s="54">
        <f t="shared" ref="I221:P221" si="39">I5*1.02</f>
        <v>6.37602</v>
      </c>
      <c r="J221" s="54">
        <f t="shared" si="39"/>
        <v>0.04182</v>
      </c>
      <c r="K221" s="54">
        <f t="shared" si="39"/>
        <v>151.43634</v>
      </c>
      <c r="L221" s="54">
        <f t="shared" si="39"/>
        <v>25.51734</v>
      </c>
      <c r="M221" s="54">
        <f t="shared" si="39"/>
        <v>124.9194</v>
      </c>
      <c r="N221" s="54">
        <f t="shared" si="39"/>
        <v>28.49064</v>
      </c>
      <c r="O221" s="54">
        <f t="shared" si="39"/>
        <v>73.57974</v>
      </c>
      <c r="P221" s="54">
        <f t="shared" si="39"/>
        <v>30.58266</v>
      </c>
    </row>
    <row r="222">
      <c r="A222" s="13" t="s">
        <v>20</v>
      </c>
      <c r="B222" s="26">
        <v>45565.0</v>
      </c>
      <c r="C222" s="13" t="s">
        <v>21</v>
      </c>
      <c r="D222" s="13">
        <v>2.1</v>
      </c>
      <c r="E222" s="13" t="s">
        <v>22</v>
      </c>
      <c r="F222" s="13">
        <v>3.0</v>
      </c>
      <c r="G222" s="13" t="s">
        <v>54</v>
      </c>
      <c r="H222" s="23">
        <v>16.0734</v>
      </c>
      <c r="I222" s="54">
        <f t="shared" ref="I222:P222" si="40">I6*1.02</f>
        <v>3.00084</v>
      </c>
      <c r="J222" s="54">
        <f t="shared" si="40"/>
        <v>0.02142</v>
      </c>
      <c r="K222" s="54">
        <f t="shared" si="40"/>
        <v>251.04138</v>
      </c>
      <c r="L222" s="54">
        <f t="shared" si="40"/>
        <v>25.14708</v>
      </c>
      <c r="M222" s="54">
        <f t="shared" si="40"/>
        <v>123.1344</v>
      </c>
      <c r="N222" s="54">
        <f t="shared" si="40"/>
        <v>27.17178</v>
      </c>
      <c r="O222" s="54">
        <f t="shared" si="40"/>
        <v>81.20016</v>
      </c>
      <c r="P222" s="54">
        <f t="shared" si="40"/>
        <v>28.21116</v>
      </c>
    </row>
    <row r="223">
      <c r="A223" s="13" t="s">
        <v>20</v>
      </c>
      <c r="B223" s="26">
        <v>45565.0</v>
      </c>
      <c r="C223" s="13" t="s">
        <v>21</v>
      </c>
      <c r="D223" s="13">
        <v>2.2</v>
      </c>
      <c r="E223" s="13" t="s">
        <v>22</v>
      </c>
      <c r="F223" s="13">
        <v>3.0</v>
      </c>
      <c r="G223" s="13" t="s">
        <v>54</v>
      </c>
      <c r="H223" s="23">
        <v>16.336</v>
      </c>
      <c r="I223" s="54">
        <f t="shared" ref="I223:P223" si="41">I7*1.02</f>
        <v>4.03716</v>
      </c>
      <c r="J223" s="54">
        <f t="shared" si="41"/>
        <v>0.0153</v>
      </c>
      <c r="K223" s="54">
        <f t="shared" si="41"/>
        <v>161.7975</v>
      </c>
      <c r="L223" s="54">
        <f t="shared" si="41"/>
        <v>21.67194</v>
      </c>
      <c r="M223" s="54">
        <f t="shared" si="41"/>
        <v>134.06064</v>
      </c>
      <c r="N223" s="54">
        <f t="shared" si="41"/>
        <v>26.32518</v>
      </c>
      <c r="O223" s="54">
        <f t="shared" si="41"/>
        <v>82.12938</v>
      </c>
      <c r="P223" s="54">
        <f t="shared" si="41"/>
        <v>30.19098</v>
      </c>
    </row>
    <row r="224">
      <c r="A224" s="13" t="s">
        <v>20</v>
      </c>
      <c r="B224" s="26">
        <v>45565.0</v>
      </c>
      <c r="C224" s="13" t="s">
        <v>21</v>
      </c>
      <c r="D224" s="13">
        <v>2.3</v>
      </c>
      <c r="E224" s="13" t="s">
        <v>22</v>
      </c>
      <c r="F224" s="13">
        <v>3.0</v>
      </c>
      <c r="G224" s="13" t="s">
        <v>54</v>
      </c>
      <c r="H224" s="23">
        <v>17.7835</v>
      </c>
      <c r="I224" s="54">
        <f t="shared" ref="I224:P224" si="42">I8*1.02</f>
        <v>3.44964</v>
      </c>
      <c r="J224" s="54">
        <f t="shared" si="42"/>
        <v>0.01122</v>
      </c>
      <c r="K224" s="54">
        <f t="shared" si="42"/>
        <v>153.8364</v>
      </c>
      <c r="L224" s="54">
        <f t="shared" si="42"/>
        <v>25.05528</v>
      </c>
      <c r="M224" s="54">
        <f t="shared" si="42"/>
        <v>126.99408</v>
      </c>
      <c r="N224" s="54">
        <f t="shared" si="42"/>
        <v>28.53348</v>
      </c>
      <c r="O224" s="54">
        <f t="shared" si="42"/>
        <v>77.38536</v>
      </c>
      <c r="P224" s="54">
        <f t="shared" si="42"/>
        <v>27.05448</v>
      </c>
    </row>
    <row r="225">
      <c r="A225" s="13" t="s">
        <v>20</v>
      </c>
      <c r="B225" s="26">
        <v>45565.0</v>
      </c>
      <c r="C225" s="13" t="s">
        <v>21</v>
      </c>
      <c r="D225" s="13">
        <v>2.4</v>
      </c>
      <c r="E225" s="13" t="s">
        <v>22</v>
      </c>
      <c r="F225" s="13">
        <v>3.0</v>
      </c>
      <c r="G225" s="13" t="s">
        <v>54</v>
      </c>
      <c r="H225" s="23">
        <v>17.2687</v>
      </c>
      <c r="I225" s="54">
        <f t="shared" ref="I225:P225" si="43">I9*1.02</f>
        <v>3.53022</v>
      </c>
      <c r="J225" s="54">
        <f t="shared" si="43"/>
        <v>0.01122</v>
      </c>
      <c r="K225" s="54">
        <f t="shared" si="43"/>
        <v>159.47394</v>
      </c>
      <c r="L225" s="54">
        <f t="shared" si="43"/>
        <v>21.60972</v>
      </c>
      <c r="M225" s="54">
        <f t="shared" si="43"/>
        <v>133.29156</v>
      </c>
      <c r="N225" s="54">
        <f t="shared" si="43"/>
        <v>24.06282</v>
      </c>
      <c r="O225" s="54">
        <f t="shared" si="43"/>
        <v>79.33968</v>
      </c>
      <c r="P225" s="54">
        <f t="shared" si="43"/>
        <v>26.00082</v>
      </c>
    </row>
    <row r="226">
      <c r="A226" s="13" t="s">
        <v>20</v>
      </c>
      <c r="B226" s="26">
        <v>45565.0</v>
      </c>
      <c r="C226" s="13" t="s">
        <v>21</v>
      </c>
      <c r="D226" s="13">
        <v>3.1</v>
      </c>
      <c r="E226" s="13" t="s">
        <v>22</v>
      </c>
      <c r="F226" s="13">
        <v>3.0</v>
      </c>
      <c r="G226" s="13" t="s">
        <v>54</v>
      </c>
      <c r="H226" s="23">
        <v>21.5947</v>
      </c>
      <c r="I226" s="54">
        <f t="shared" ref="I226:P226" si="44">I10*1.02</f>
        <v>4.63488</v>
      </c>
      <c r="J226" s="54">
        <f t="shared" si="44"/>
        <v>0.04386</v>
      </c>
      <c r="K226" s="54">
        <f t="shared" si="44"/>
        <v>137.751</v>
      </c>
      <c r="L226" s="54">
        <f t="shared" si="44"/>
        <v>35.1543</v>
      </c>
      <c r="M226" s="54">
        <f t="shared" si="44"/>
        <v>170.25636</v>
      </c>
      <c r="N226" s="54">
        <f t="shared" si="44"/>
        <v>35.71836</v>
      </c>
      <c r="O226" s="54">
        <f t="shared" si="44"/>
        <v>78.97554</v>
      </c>
      <c r="P226" s="54">
        <f t="shared" si="44"/>
        <v>36.43848</v>
      </c>
    </row>
    <row r="227">
      <c r="A227" s="13" t="s">
        <v>20</v>
      </c>
      <c r="B227" s="26">
        <v>45565.0</v>
      </c>
      <c r="C227" s="13" t="s">
        <v>21</v>
      </c>
      <c r="D227" s="13">
        <v>3.2</v>
      </c>
      <c r="E227" s="13" t="s">
        <v>22</v>
      </c>
      <c r="F227" s="13">
        <v>3.0</v>
      </c>
      <c r="G227" s="13" t="s">
        <v>54</v>
      </c>
      <c r="H227" s="23">
        <v>14.1441</v>
      </c>
      <c r="I227" s="54">
        <f t="shared" ref="I227:P227" si="45">I11*1.02</f>
        <v>4.1718</v>
      </c>
      <c r="J227" s="54">
        <f t="shared" si="45"/>
        <v>0.02346</v>
      </c>
      <c r="K227" s="54">
        <f t="shared" si="45"/>
        <v>135.2112</v>
      </c>
      <c r="L227" s="54">
        <f t="shared" si="45"/>
        <v>30.58266</v>
      </c>
      <c r="M227" s="54">
        <f t="shared" si="45"/>
        <v>117.85182</v>
      </c>
      <c r="N227" s="54">
        <f t="shared" si="45"/>
        <v>31.961292</v>
      </c>
      <c r="O227" s="54">
        <f t="shared" si="45"/>
        <v>70.69008</v>
      </c>
      <c r="P227" s="54">
        <f t="shared" si="45"/>
        <v>32.3136</v>
      </c>
    </row>
    <row r="228">
      <c r="A228" s="13" t="s">
        <v>20</v>
      </c>
      <c r="B228" s="26">
        <v>45565.0</v>
      </c>
      <c r="C228" s="13" t="s">
        <v>21</v>
      </c>
      <c r="D228" s="13">
        <v>3.3</v>
      </c>
      <c r="E228" s="13" t="s">
        <v>22</v>
      </c>
      <c r="F228" s="13">
        <v>3.0</v>
      </c>
      <c r="G228" s="13" t="s">
        <v>54</v>
      </c>
      <c r="H228" s="23">
        <v>16.8852</v>
      </c>
      <c r="I228" s="54">
        <f t="shared" ref="I228:P228" si="46">I12*1.02</f>
        <v>3.40374</v>
      </c>
      <c r="J228" s="54">
        <f t="shared" si="46"/>
        <v>0.02244</v>
      </c>
      <c r="K228" s="54">
        <f t="shared" si="46"/>
        <v>139.23204</v>
      </c>
      <c r="L228" s="54">
        <f t="shared" si="46"/>
        <v>32.13204</v>
      </c>
      <c r="M228" s="54">
        <f t="shared" si="46"/>
        <v>117.24492</v>
      </c>
      <c r="N228" s="54">
        <f t="shared" si="46"/>
        <v>33.34584</v>
      </c>
      <c r="O228" s="54">
        <f t="shared" si="46"/>
        <v>71.45916</v>
      </c>
      <c r="P228" s="54">
        <f t="shared" si="46"/>
        <v>32.89092</v>
      </c>
    </row>
    <row r="229">
      <c r="A229" s="13" t="s">
        <v>20</v>
      </c>
      <c r="B229" s="26">
        <v>45565.0</v>
      </c>
      <c r="C229" s="13" t="s">
        <v>21</v>
      </c>
      <c r="D229" s="13">
        <v>3.4</v>
      </c>
      <c r="E229" s="13" t="s">
        <v>22</v>
      </c>
      <c r="F229" s="13">
        <v>3.0</v>
      </c>
      <c r="G229" s="13" t="s">
        <v>54</v>
      </c>
      <c r="H229" s="23">
        <v>17.6857</v>
      </c>
      <c r="I229" s="54">
        <f t="shared" ref="I229:P229" si="47">I13*1.02</f>
        <v>4.28502</v>
      </c>
      <c r="J229" s="54">
        <f t="shared" si="47"/>
        <v>0.153</v>
      </c>
      <c r="K229" s="54">
        <f t="shared" si="47"/>
        <v>142.35324</v>
      </c>
      <c r="L229" s="54">
        <f t="shared" si="47"/>
        <v>29.50248</v>
      </c>
      <c r="M229" s="54">
        <f t="shared" si="47"/>
        <v>126.2811</v>
      </c>
      <c r="N229" s="54">
        <f t="shared" si="47"/>
        <v>30.47352</v>
      </c>
      <c r="O229" s="54">
        <f t="shared" si="47"/>
        <v>73.40022</v>
      </c>
      <c r="P229" s="54">
        <f t="shared" si="47"/>
        <v>34.32708</v>
      </c>
    </row>
    <row r="230">
      <c r="A230" s="13" t="s">
        <v>20</v>
      </c>
      <c r="B230" s="26">
        <v>45565.0</v>
      </c>
      <c r="C230" s="13" t="s">
        <v>24</v>
      </c>
      <c r="D230" s="13">
        <v>1.1</v>
      </c>
      <c r="E230" s="13" t="s">
        <v>22</v>
      </c>
      <c r="F230" s="13">
        <v>3.0</v>
      </c>
      <c r="G230" s="13" t="s">
        <v>54</v>
      </c>
      <c r="H230" s="23">
        <v>19.8905</v>
      </c>
      <c r="I230" s="54">
        <f t="shared" ref="I230:P230" si="48">I14*1.02</f>
        <v>6.47088</v>
      </c>
      <c r="J230" s="54">
        <f t="shared" si="48"/>
        <v>0.04284</v>
      </c>
      <c r="K230" s="54">
        <f t="shared" si="48"/>
        <v>147.2421</v>
      </c>
      <c r="L230" s="54">
        <f t="shared" si="48"/>
        <v>19.2117</v>
      </c>
      <c r="M230" s="54">
        <f t="shared" si="48"/>
        <v>113.5056</v>
      </c>
      <c r="N230" s="54">
        <f t="shared" si="48"/>
        <v>20.09298</v>
      </c>
      <c r="O230" s="54">
        <f t="shared" si="48"/>
        <v>62.48214</v>
      </c>
      <c r="P230" s="54">
        <f t="shared" si="48"/>
        <v>22.0524</v>
      </c>
    </row>
    <row r="231">
      <c r="A231" s="13" t="s">
        <v>20</v>
      </c>
      <c r="B231" s="26">
        <v>45565.0</v>
      </c>
      <c r="C231" s="13" t="s">
        <v>24</v>
      </c>
      <c r="D231" s="13">
        <v>1.2</v>
      </c>
      <c r="E231" s="13" t="s">
        <v>22</v>
      </c>
      <c r="F231" s="13">
        <v>3.0</v>
      </c>
      <c r="G231" s="13" t="s">
        <v>54</v>
      </c>
      <c r="H231" s="23">
        <v>18.8646</v>
      </c>
      <c r="I231" s="54">
        <f t="shared" ref="I231:P231" si="49">I15*1.02</f>
        <v>5.2938</v>
      </c>
      <c r="J231" s="54">
        <f t="shared" si="49"/>
        <v>0.0408</v>
      </c>
      <c r="K231" s="54">
        <f t="shared" si="49"/>
        <v>151.58832</v>
      </c>
      <c r="L231" s="54">
        <f t="shared" si="49"/>
        <v>19.65948</v>
      </c>
      <c r="M231" s="54">
        <f t="shared" si="49"/>
        <v>126.03834</v>
      </c>
      <c r="N231" s="54">
        <f t="shared" si="49"/>
        <v>18.13254</v>
      </c>
      <c r="O231" s="54">
        <f t="shared" si="49"/>
        <v>80.99412</v>
      </c>
      <c r="P231" s="54">
        <f t="shared" si="49"/>
        <v>23.03874</v>
      </c>
    </row>
    <row r="232">
      <c r="A232" s="13" t="s">
        <v>20</v>
      </c>
      <c r="B232" s="26">
        <v>45565.0</v>
      </c>
      <c r="C232" s="13" t="s">
        <v>24</v>
      </c>
      <c r="D232" s="13">
        <v>1.3</v>
      </c>
      <c r="E232" s="13" t="s">
        <v>22</v>
      </c>
      <c r="F232" s="13">
        <v>3.0</v>
      </c>
      <c r="G232" s="13" t="s">
        <v>54</v>
      </c>
      <c r="H232" s="23">
        <v>15.5944</v>
      </c>
      <c r="I232" s="54">
        <f t="shared" ref="I232:P232" si="50">I16*1.02</f>
        <v>5.01534</v>
      </c>
      <c r="J232" s="54">
        <f t="shared" si="50"/>
        <v>0.06426</v>
      </c>
      <c r="K232" s="54">
        <f t="shared" si="50"/>
        <v>146.44956</v>
      </c>
      <c r="L232" s="54">
        <f t="shared" si="50"/>
        <v>14.01174</v>
      </c>
      <c r="M232" s="54">
        <f t="shared" si="50"/>
        <v>125.15298</v>
      </c>
      <c r="N232" s="54">
        <f t="shared" si="50"/>
        <v>16.2945</v>
      </c>
      <c r="O232" s="54">
        <f t="shared" si="50"/>
        <v>78.00756</v>
      </c>
      <c r="P232" s="54">
        <f t="shared" si="50"/>
        <v>22.85004</v>
      </c>
    </row>
    <row r="233">
      <c r="A233" s="13" t="s">
        <v>20</v>
      </c>
      <c r="B233" s="26">
        <v>45565.0</v>
      </c>
      <c r="C233" s="13" t="s">
        <v>24</v>
      </c>
      <c r="D233" s="13">
        <v>1.4</v>
      </c>
      <c r="E233" s="13" t="s">
        <v>22</v>
      </c>
      <c r="F233" s="13">
        <v>3.0</v>
      </c>
      <c r="G233" s="13" t="s">
        <v>54</v>
      </c>
      <c r="H233" s="23">
        <v>16.9214</v>
      </c>
      <c r="I233" s="54">
        <f t="shared" ref="I233:P233" si="51">I17*1.02</f>
        <v>3.81786</v>
      </c>
      <c r="J233" s="54">
        <f t="shared" si="51"/>
        <v>0.01836</v>
      </c>
      <c r="K233" s="54">
        <f t="shared" si="51"/>
        <v>153.8823</v>
      </c>
      <c r="L233" s="54">
        <f t="shared" si="51"/>
        <v>13.75062</v>
      </c>
      <c r="M233" s="54">
        <f t="shared" si="51"/>
        <v>129.4125</v>
      </c>
      <c r="N233" s="54">
        <f t="shared" si="51"/>
        <v>15.24084</v>
      </c>
      <c r="O233" s="54">
        <f t="shared" si="51"/>
        <v>77.63526</v>
      </c>
      <c r="P233" s="54">
        <f t="shared" si="51"/>
        <v>20.35206</v>
      </c>
    </row>
    <row r="234">
      <c r="A234" s="13" t="s">
        <v>20</v>
      </c>
      <c r="B234" s="26">
        <v>45565.0</v>
      </c>
      <c r="C234" s="13" t="s">
        <v>24</v>
      </c>
      <c r="D234" s="13">
        <v>2.1</v>
      </c>
      <c r="E234" s="13" t="s">
        <v>22</v>
      </c>
      <c r="F234" s="13">
        <v>3.0</v>
      </c>
      <c r="G234" s="13" t="s">
        <v>54</v>
      </c>
      <c r="H234" s="23">
        <v>11.0005</v>
      </c>
      <c r="I234" s="54">
        <f t="shared" ref="I234:P234" si="52">I18*1.02</f>
        <v>2.88456</v>
      </c>
      <c r="J234" s="54">
        <f t="shared" si="52"/>
        <v>0.05202</v>
      </c>
      <c r="K234" s="54">
        <f t="shared" si="52"/>
        <v>126.3474</v>
      </c>
      <c r="L234" s="54">
        <f t="shared" si="52"/>
        <v>18.63132</v>
      </c>
      <c r="M234" s="54">
        <f t="shared" si="52"/>
        <v>96.0687</v>
      </c>
      <c r="N234" s="54">
        <f t="shared" si="52"/>
        <v>20.13582</v>
      </c>
      <c r="O234" s="54">
        <f t="shared" si="52"/>
        <v>53.59386</v>
      </c>
      <c r="P234" s="54">
        <f t="shared" si="52"/>
        <v>21.19866</v>
      </c>
    </row>
    <row r="235">
      <c r="A235" s="13" t="s">
        <v>20</v>
      </c>
      <c r="B235" s="26">
        <v>45565.0</v>
      </c>
      <c r="C235" s="13" t="s">
        <v>24</v>
      </c>
      <c r="D235" s="13">
        <v>2.2</v>
      </c>
      <c r="E235" s="13" t="s">
        <v>22</v>
      </c>
      <c r="F235" s="13">
        <v>3.0</v>
      </c>
      <c r="G235" s="13" t="s">
        <v>54</v>
      </c>
      <c r="H235" s="23">
        <v>15.1467</v>
      </c>
      <c r="I235" s="54">
        <f t="shared" ref="I235:P235" si="53">I19*1.02</f>
        <v>2.8152</v>
      </c>
      <c r="J235" s="54">
        <f t="shared" si="53"/>
        <v>0.08058</v>
      </c>
      <c r="K235" s="54">
        <f t="shared" si="53"/>
        <v>120.14886</v>
      </c>
      <c r="L235" s="54">
        <f t="shared" si="53"/>
        <v>15.74676</v>
      </c>
      <c r="M235" s="54">
        <f t="shared" si="53"/>
        <v>87.71592</v>
      </c>
      <c r="N235" s="54">
        <f t="shared" si="53"/>
        <v>17.0646</v>
      </c>
      <c r="O235" s="54">
        <f t="shared" si="53"/>
        <v>41.7333</v>
      </c>
      <c r="P235" s="54">
        <f t="shared" si="53"/>
        <v>17.82858</v>
      </c>
    </row>
    <row r="236">
      <c r="A236" s="13" t="s">
        <v>20</v>
      </c>
      <c r="B236" s="26">
        <v>45565.0</v>
      </c>
      <c r="C236" s="13" t="s">
        <v>24</v>
      </c>
      <c r="D236" s="13">
        <v>2.3</v>
      </c>
      <c r="E236" s="13" t="s">
        <v>22</v>
      </c>
      <c r="F236" s="13">
        <v>3.0</v>
      </c>
      <c r="G236" s="13" t="s">
        <v>54</v>
      </c>
      <c r="H236" s="23">
        <v>15.67767</v>
      </c>
      <c r="I236" s="54">
        <f t="shared" ref="I236:P236" si="54">I20*1.02</f>
        <v>3.1518</v>
      </c>
      <c r="J236" s="54">
        <f t="shared" si="54"/>
        <v>0.02448</v>
      </c>
      <c r="K236" s="54">
        <f t="shared" si="54"/>
        <v>113.02212</v>
      </c>
      <c r="L236" s="54">
        <f t="shared" si="54"/>
        <v>17.17782</v>
      </c>
      <c r="M236" s="54">
        <f t="shared" si="54"/>
        <v>81.0798</v>
      </c>
      <c r="N236" s="54">
        <f t="shared" si="54"/>
        <v>16.4679</v>
      </c>
      <c r="O236" s="54">
        <f t="shared" si="54"/>
        <v>42.99606</v>
      </c>
      <c r="P236" s="54">
        <f t="shared" si="54"/>
        <v>14.10048</v>
      </c>
    </row>
    <row r="237">
      <c r="A237" s="13" t="s">
        <v>20</v>
      </c>
      <c r="B237" s="26">
        <v>45565.0</v>
      </c>
      <c r="C237" s="13" t="s">
        <v>24</v>
      </c>
      <c r="D237" s="13">
        <v>2.4</v>
      </c>
      <c r="E237" s="13" t="s">
        <v>22</v>
      </c>
      <c r="F237" s="13">
        <v>3.0</v>
      </c>
      <c r="G237" s="13" t="s">
        <v>54</v>
      </c>
      <c r="H237" s="23">
        <v>14.8451</v>
      </c>
      <c r="I237" s="54">
        <f t="shared" ref="I237:P237" si="55">I21*1.02</f>
        <v>2.6673</v>
      </c>
      <c r="J237" s="54">
        <f t="shared" si="55"/>
        <v>0.02346</v>
      </c>
      <c r="K237" s="54">
        <f t="shared" si="55"/>
        <v>117.54582</v>
      </c>
      <c r="L237" s="54">
        <f t="shared" si="55"/>
        <v>18.64254</v>
      </c>
      <c r="M237" s="54">
        <f t="shared" si="55"/>
        <v>86.02884</v>
      </c>
      <c r="N237" s="54">
        <f t="shared" si="55"/>
        <v>20.60808</v>
      </c>
      <c r="O237" s="54">
        <f t="shared" si="55"/>
        <v>49.27314</v>
      </c>
      <c r="P237" s="54">
        <f t="shared" si="55"/>
        <v>22.67154</v>
      </c>
    </row>
    <row r="238">
      <c r="A238" s="13" t="s">
        <v>20</v>
      </c>
      <c r="B238" s="26">
        <v>45565.0</v>
      </c>
      <c r="C238" s="13" t="s">
        <v>24</v>
      </c>
      <c r="D238" s="13">
        <v>3.1</v>
      </c>
      <c r="E238" s="13" t="s">
        <v>22</v>
      </c>
      <c r="F238" s="13">
        <v>3.0</v>
      </c>
      <c r="G238" s="13" t="s">
        <v>54</v>
      </c>
      <c r="H238" s="23">
        <v>16.2969</v>
      </c>
      <c r="I238" s="54">
        <f t="shared" ref="I238:P238" si="56">I22*1.02</f>
        <v>4.2075</v>
      </c>
      <c r="J238" s="54">
        <f t="shared" si="56"/>
        <v>0.02142</v>
      </c>
      <c r="K238" s="54">
        <f t="shared" si="56"/>
        <v>148.1346</v>
      </c>
      <c r="L238" s="54">
        <f t="shared" si="56"/>
        <v>16.25166</v>
      </c>
      <c r="M238" s="54">
        <f t="shared" si="56"/>
        <v>116.18208</v>
      </c>
      <c r="N238" s="54">
        <f t="shared" si="56"/>
        <v>19.4157</v>
      </c>
      <c r="O238" s="54">
        <f t="shared" si="56"/>
        <v>66.88446</v>
      </c>
      <c r="P238" s="54">
        <f t="shared" si="56"/>
        <v>23.29272</v>
      </c>
    </row>
    <row r="239">
      <c r="A239" s="13" t="s">
        <v>20</v>
      </c>
      <c r="B239" s="26">
        <v>45565.0</v>
      </c>
      <c r="C239" s="13" t="s">
        <v>24</v>
      </c>
      <c r="D239" s="13">
        <v>3.2</v>
      </c>
      <c r="E239" s="13" t="s">
        <v>22</v>
      </c>
      <c r="F239" s="13">
        <v>3.0</v>
      </c>
      <c r="G239" s="13" t="s">
        <v>54</v>
      </c>
      <c r="H239" s="23">
        <v>14.1858</v>
      </c>
      <c r="I239" s="54">
        <f t="shared" ref="I239:P239" si="57">I23*1.02</f>
        <v>4.37886</v>
      </c>
      <c r="J239" s="54">
        <f t="shared" si="57"/>
        <v>0.07956</v>
      </c>
      <c r="K239" s="54">
        <f t="shared" si="57"/>
        <v>142.50828</v>
      </c>
      <c r="L239" s="54">
        <f t="shared" si="57"/>
        <v>11.68818</v>
      </c>
      <c r="M239" s="54">
        <f t="shared" si="57"/>
        <v>107.72424</v>
      </c>
      <c r="N239" s="54">
        <f t="shared" si="57"/>
        <v>13.83936</v>
      </c>
      <c r="O239" s="54">
        <f t="shared" si="57"/>
        <v>52.55346</v>
      </c>
      <c r="P239" s="54">
        <f t="shared" si="57"/>
        <v>13.45074</v>
      </c>
    </row>
    <row r="240">
      <c r="A240" s="13" t="s">
        <v>20</v>
      </c>
      <c r="B240" s="26">
        <v>45565.0</v>
      </c>
      <c r="C240" s="13" t="s">
        <v>24</v>
      </c>
      <c r="D240" s="13">
        <v>3.3</v>
      </c>
      <c r="E240" s="13" t="s">
        <v>22</v>
      </c>
      <c r="F240" s="13">
        <v>3.0</v>
      </c>
      <c r="G240" s="13" t="s">
        <v>54</v>
      </c>
      <c r="H240" s="23">
        <v>15.7342</v>
      </c>
      <c r="I240" s="54">
        <f t="shared" ref="I240:P240" si="58">I24*1.02</f>
        <v>4.6614</v>
      </c>
      <c r="J240" s="54">
        <f t="shared" si="58"/>
        <v>0.04998</v>
      </c>
      <c r="K240" s="54">
        <f t="shared" si="58"/>
        <v>142.1523</v>
      </c>
      <c r="L240" s="54">
        <f t="shared" si="58"/>
        <v>11.75958</v>
      </c>
      <c r="M240" s="54">
        <f t="shared" si="58"/>
        <v>112.03578</v>
      </c>
      <c r="N240" s="54">
        <f t="shared" si="58"/>
        <v>14.14434</v>
      </c>
      <c r="O240" s="54">
        <f t="shared" si="58"/>
        <v>65.06886</v>
      </c>
      <c r="P240" s="54">
        <f t="shared" si="58"/>
        <v>14.4024</v>
      </c>
    </row>
    <row r="241">
      <c r="A241" s="13" t="s">
        <v>20</v>
      </c>
      <c r="B241" s="26">
        <v>45565.0</v>
      </c>
      <c r="C241" s="13" t="s">
        <v>24</v>
      </c>
      <c r="D241" s="13">
        <v>3.4</v>
      </c>
      <c r="E241" s="13" t="s">
        <v>22</v>
      </c>
      <c r="F241" s="13">
        <v>3.0</v>
      </c>
      <c r="G241" s="13" t="s">
        <v>54</v>
      </c>
      <c r="H241" s="23">
        <v>21.8445</v>
      </c>
      <c r="I241" s="54">
        <f t="shared" ref="I241:P241" si="59">I25*1.02</f>
        <v>6.07818</v>
      </c>
      <c r="J241" s="54">
        <f t="shared" si="59"/>
        <v>0.04182</v>
      </c>
      <c r="K241" s="54">
        <f t="shared" si="59"/>
        <v>151.00692</v>
      </c>
      <c r="L241" s="54">
        <f t="shared" si="59"/>
        <v>9.79812</v>
      </c>
      <c r="M241" s="54">
        <f t="shared" si="59"/>
        <v>115.00296</v>
      </c>
      <c r="N241" s="54">
        <f t="shared" si="59"/>
        <v>11.94624</v>
      </c>
      <c r="O241" s="54">
        <f t="shared" si="59"/>
        <v>58.37664</v>
      </c>
      <c r="P241" s="54">
        <f t="shared" si="59"/>
        <v>10.9446</v>
      </c>
    </row>
    <row r="242">
      <c r="A242" s="13" t="s">
        <v>20</v>
      </c>
      <c r="B242" s="26">
        <v>45565.0</v>
      </c>
      <c r="C242" s="13" t="s">
        <v>25</v>
      </c>
      <c r="D242" s="13">
        <v>1.1</v>
      </c>
      <c r="E242" s="13" t="s">
        <v>22</v>
      </c>
      <c r="F242" s="13">
        <v>3.0</v>
      </c>
      <c r="G242" s="13" t="s">
        <v>54</v>
      </c>
      <c r="H242" s="23">
        <v>17.2765</v>
      </c>
      <c r="I242" s="54">
        <f t="shared" ref="I242:P242" si="60">I26*1.02</f>
        <v>4.33398</v>
      </c>
      <c r="J242" s="54">
        <f t="shared" si="60"/>
        <v>0.05304</v>
      </c>
      <c r="K242" s="54">
        <f t="shared" si="60"/>
        <v>133.0794</v>
      </c>
      <c r="L242" s="54">
        <f t="shared" si="60"/>
        <v>24.28926</v>
      </c>
      <c r="M242" s="54">
        <f t="shared" si="60"/>
        <v>120.18864</v>
      </c>
      <c r="N242" s="54">
        <f t="shared" si="60"/>
        <v>25.52754</v>
      </c>
      <c r="O242" s="54">
        <f t="shared" si="60"/>
        <v>69.65988</v>
      </c>
      <c r="P242" s="54">
        <f t="shared" si="60"/>
        <v>24.28926</v>
      </c>
    </row>
    <row r="243">
      <c r="A243" s="13" t="s">
        <v>20</v>
      </c>
      <c r="B243" s="26">
        <v>45565.0</v>
      </c>
      <c r="C243" s="13" t="s">
        <v>25</v>
      </c>
      <c r="D243" s="13">
        <v>1.2</v>
      </c>
      <c r="E243" s="13" t="s">
        <v>22</v>
      </c>
      <c r="F243" s="13">
        <v>3.0</v>
      </c>
      <c r="G243" s="13" t="s">
        <v>54</v>
      </c>
      <c r="H243" s="23">
        <v>14.4984</v>
      </c>
      <c r="I243" s="54">
        <f t="shared" ref="I243:P243" si="61">I27*1.02</f>
        <v>4.03308</v>
      </c>
      <c r="J243" s="54">
        <f t="shared" si="61"/>
        <v>0.02958</v>
      </c>
      <c r="K243" s="54">
        <f t="shared" si="61"/>
        <v>137.57046</v>
      </c>
      <c r="L243" s="54">
        <f t="shared" si="61"/>
        <v>23.0367</v>
      </c>
      <c r="M243" s="54">
        <f t="shared" si="61"/>
        <v>126.60036</v>
      </c>
      <c r="N243" s="54">
        <f t="shared" si="61"/>
        <v>23.93532</v>
      </c>
      <c r="O243" s="54">
        <f t="shared" si="61"/>
        <v>85.0476</v>
      </c>
      <c r="P243" s="54">
        <f t="shared" si="61"/>
        <v>23.73132</v>
      </c>
    </row>
    <row r="244">
      <c r="A244" s="13" t="s">
        <v>20</v>
      </c>
      <c r="B244" s="26">
        <v>45565.0</v>
      </c>
      <c r="C244" s="13" t="s">
        <v>25</v>
      </c>
      <c r="D244" s="13">
        <v>1.3</v>
      </c>
      <c r="E244" s="13" t="s">
        <v>22</v>
      </c>
      <c r="F244" s="13">
        <v>3.0</v>
      </c>
      <c r="G244" s="13" t="s">
        <v>54</v>
      </c>
      <c r="H244" s="23">
        <v>16.4008</v>
      </c>
      <c r="I244" s="54">
        <f t="shared" ref="I244:P244" si="62">I28*1.02</f>
        <v>3.9984</v>
      </c>
      <c r="J244" s="54">
        <f t="shared" si="62"/>
        <v>0.06834</v>
      </c>
      <c r="K244" s="54">
        <f t="shared" si="62"/>
        <v>139.03212</v>
      </c>
      <c r="L244" s="54">
        <f t="shared" si="62"/>
        <v>22.87452</v>
      </c>
      <c r="M244" s="54">
        <f t="shared" si="62"/>
        <v>128.4129</v>
      </c>
      <c r="N244" s="54">
        <f t="shared" si="62"/>
        <v>24.17196</v>
      </c>
      <c r="O244" s="54">
        <f t="shared" si="62"/>
        <v>83.00964</v>
      </c>
      <c r="P244" s="54">
        <f t="shared" si="62"/>
        <v>28.08876</v>
      </c>
    </row>
    <row r="245">
      <c r="A245" s="13" t="s">
        <v>20</v>
      </c>
      <c r="B245" s="26">
        <v>45565.0</v>
      </c>
      <c r="C245" s="13" t="s">
        <v>25</v>
      </c>
      <c r="D245" s="13">
        <v>1.4</v>
      </c>
      <c r="E245" s="13" t="s">
        <v>22</v>
      </c>
      <c r="F245" s="13">
        <v>3.0</v>
      </c>
      <c r="G245" s="13" t="s">
        <v>54</v>
      </c>
      <c r="H245" s="23">
        <v>20.49</v>
      </c>
      <c r="I245" s="54">
        <f t="shared" ref="I245:P245" si="63">I29*1.02</f>
        <v>4.92762</v>
      </c>
      <c r="J245" s="54">
        <f t="shared" si="63"/>
        <v>0.08466</v>
      </c>
      <c r="K245" s="54">
        <f t="shared" si="63"/>
        <v>136.43928</v>
      </c>
      <c r="L245" s="54">
        <f t="shared" si="63"/>
        <v>22.57362</v>
      </c>
      <c r="M245" s="54">
        <f t="shared" si="63"/>
        <v>216.4848</v>
      </c>
      <c r="N245" s="54">
        <f t="shared" si="63"/>
        <v>24.19848</v>
      </c>
      <c r="O245" s="54">
        <f t="shared" si="63"/>
        <v>76.87434</v>
      </c>
      <c r="P245" s="54">
        <f t="shared" si="63"/>
        <v>23.77518</v>
      </c>
    </row>
    <row r="246">
      <c r="A246" s="13" t="s">
        <v>20</v>
      </c>
      <c r="B246" s="26">
        <v>45565.0</v>
      </c>
      <c r="C246" s="13" t="s">
        <v>25</v>
      </c>
      <c r="D246" s="13">
        <v>2.1</v>
      </c>
      <c r="E246" s="13" t="s">
        <v>22</v>
      </c>
      <c r="F246" s="13">
        <v>3.0</v>
      </c>
      <c r="G246" s="13" t="s">
        <v>54</v>
      </c>
      <c r="H246" s="23">
        <v>19.4535</v>
      </c>
      <c r="I246" s="54">
        <f t="shared" ref="I246:P246" si="64">I30*1.02</f>
        <v>5.09184</v>
      </c>
      <c r="J246" s="54">
        <f t="shared" si="64"/>
        <v>0.03876</v>
      </c>
      <c r="K246" s="54">
        <f t="shared" si="64"/>
        <v>145.68456</v>
      </c>
      <c r="L246" s="54">
        <f t="shared" si="64"/>
        <v>21.19458</v>
      </c>
      <c r="M246" s="54">
        <f t="shared" si="64"/>
        <v>128.80152</v>
      </c>
      <c r="N246" s="54">
        <f t="shared" si="64"/>
        <v>24.30354</v>
      </c>
      <c r="O246" s="54">
        <f t="shared" si="64"/>
        <v>85.7667</v>
      </c>
      <c r="P246" s="54">
        <f t="shared" si="64"/>
        <v>25.92024</v>
      </c>
    </row>
    <row r="247">
      <c r="A247" s="13" t="s">
        <v>20</v>
      </c>
      <c r="B247" s="26">
        <v>45565.0</v>
      </c>
      <c r="C247" s="13" t="s">
        <v>25</v>
      </c>
      <c r="D247" s="13">
        <v>2.2</v>
      </c>
      <c r="E247" s="13" t="s">
        <v>22</v>
      </c>
      <c r="F247" s="13">
        <v>3.0</v>
      </c>
      <c r="G247" s="13" t="s">
        <v>54</v>
      </c>
      <c r="H247" s="23">
        <v>22.7414</v>
      </c>
      <c r="I247" s="54">
        <f t="shared" ref="I247:P247" si="65">I31*1.02</f>
        <v>6.5076</v>
      </c>
      <c r="J247" s="54">
        <f t="shared" si="65"/>
        <v>0.0459</v>
      </c>
      <c r="K247" s="54">
        <f t="shared" si="65"/>
        <v>149.79924</v>
      </c>
      <c r="L247" s="54">
        <f t="shared" si="65"/>
        <v>23.15604</v>
      </c>
      <c r="M247" s="54">
        <f t="shared" si="65"/>
        <v>134.1912</v>
      </c>
      <c r="N247" s="54">
        <f t="shared" si="65"/>
        <v>25.12668</v>
      </c>
      <c r="O247" s="54">
        <f t="shared" si="65"/>
        <v>95.0946</v>
      </c>
      <c r="P247" s="54">
        <f t="shared" si="65"/>
        <v>26.02632</v>
      </c>
    </row>
    <row r="248">
      <c r="A248" s="13" t="s">
        <v>20</v>
      </c>
      <c r="B248" s="26">
        <v>45565.0</v>
      </c>
      <c r="C248" s="13" t="s">
        <v>25</v>
      </c>
      <c r="D248" s="13">
        <v>2.3</v>
      </c>
      <c r="E248" s="13" t="s">
        <v>22</v>
      </c>
      <c r="F248" s="13">
        <v>3.0</v>
      </c>
      <c r="G248" s="13" t="s">
        <v>54</v>
      </c>
      <c r="H248" s="23">
        <v>16.435</v>
      </c>
      <c r="I248" s="54">
        <f t="shared" ref="I248:P248" si="66">I32*1.02</f>
        <v>5.79768</v>
      </c>
      <c r="J248" s="54">
        <f t="shared" si="66"/>
        <v>0.02346</v>
      </c>
      <c r="K248" s="54">
        <f t="shared" si="66"/>
        <v>141.0099</v>
      </c>
      <c r="L248" s="54">
        <f t="shared" si="66"/>
        <v>21.69234</v>
      </c>
      <c r="M248" s="54">
        <f t="shared" si="66"/>
        <v>127.10322</v>
      </c>
      <c r="N248" s="54">
        <f t="shared" si="66"/>
        <v>23.04486</v>
      </c>
      <c r="O248" s="54">
        <f t="shared" si="66"/>
        <v>83.43294</v>
      </c>
      <c r="P248" s="54">
        <f t="shared" si="66"/>
        <v>23.34882</v>
      </c>
    </row>
    <row r="249">
      <c r="A249" s="13" t="s">
        <v>20</v>
      </c>
      <c r="B249" s="26">
        <v>45565.0</v>
      </c>
      <c r="C249" s="13" t="s">
        <v>25</v>
      </c>
      <c r="D249" s="13">
        <v>2.4</v>
      </c>
      <c r="E249" s="13" t="s">
        <v>22</v>
      </c>
      <c r="F249" s="13">
        <v>3.0</v>
      </c>
      <c r="G249" s="13" t="s">
        <v>54</v>
      </c>
      <c r="H249" s="23">
        <v>18.4861</v>
      </c>
      <c r="I249" s="54">
        <f t="shared" ref="I249:P249" si="67">I33*1.02</f>
        <v>3.58836</v>
      </c>
      <c r="J249" s="54">
        <f t="shared" si="67"/>
        <v>0.06426</v>
      </c>
      <c r="K249" s="54">
        <f t="shared" si="67"/>
        <v>147.55524</v>
      </c>
      <c r="L249" s="54">
        <f t="shared" si="67"/>
        <v>18.70884</v>
      </c>
      <c r="M249" s="54">
        <f t="shared" si="67"/>
        <v>133.18446</v>
      </c>
      <c r="N249" s="54">
        <f t="shared" si="67"/>
        <v>21.5424</v>
      </c>
      <c r="O249" s="54">
        <f t="shared" si="67"/>
        <v>89.40504</v>
      </c>
      <c r="P249" s="54">
        <f t="shared" si="67"/>
        <v>25.57242</v>
      </c>
    </row>
    <row r="250">
      <c r="A250" s="13" t="s">
        <v>20</v>
      </c>
      <c r="B250" s="26">
        <v>45565.0</v>
      </c>
      <c r="C250" s="13" t="s">
        <v>25</v>
      </c>
      <c r="D250" s="13">
        <v>3.1</v>
      </c>
      <c r="E250" s="13" t="s">
        <v>22</v>
      </c>
      <c r="F250" s="13">
        <v>3.0</v>
      </c>
      <c r="G250" s="13" t="s">
        <v>54</v>
      </c>
      <c r="H250" s="23">
        <v>18.089</v>
      </c>
      <c r="I250" s="54">
        <f t="shared" ref="I250:P250" si="68">I34*1.02</f>
        <v>3.69954</v>
      </c>
      <c r="J250" s="54">
        <f t="shared" si="68"/>
        <v>0.01734</v>
      </c>
      <c r="K250" s="54">
        <f t="shared" si="68"/>
        <v>145.11744</v>
      </c>
      <c r="L250" s="54">
        <f t="shared" si="68"/>
        <v>21.04974</v>
      </c>
      <c r="M250" s="54">
        <f t="shared" si="68"/>
        <v>129.438</v>
      </c>
      <c r="N250" s="54">
        <f t="shared" si="68"/>
        <v>23.31414</v>
      </c>
      <c r="O250" s="54">
        <f t="shared" si="68"/>
        <v>85.03638</v>
      </c>
      <c r="P250" s="54">
        <f t="shared" si="68"/>
        <v>26.6016</v>
      </c>
    </row>
    <row r="251">
      <c r="A251" s="13" t="s">
        <v>20</v>
      </c>
      <c r="B251" s="26">
        <v>45565.0</v>
      </c>
      <c r="C251" s="13" t="s">
        <v>25</v>
      </c>
      <c r="D251" s="13">
        <v>3.2</v>
      </c>
      <c r="E251" s="13" t="s">
        <v>22</v>
      </c>
      <c r="F251" s="13">
        <v>3.0</v>
      </c>
      <c r="G251" s="13" t="s">
        <v>54</v>
      </c>
      <c r="H251" s="23">
        <v>18.3276</v>
      </c>
      <c r="I251" s="54">
        <f t="shared" ref="I251:P251" si="69">I35*1.02</f>
        <v>3.91476</v>
      </c>
      <c r="J251" s="54">
        <f t="shared" si="69"/>
        <v>0.06324</v>
      </c>
      <c r="K251" s="54">
        <f t="shared" si="69"/>
        <v>146.2476</v>
      </c>
      <c r="L251" s="54">
        <f t="shared" si="69"/>
        <v>22.3176</v>
      </c>
      <c r="M251" s="54">
        <f t="shared" si="69"/>
        <v>132.48882</v>
      </c>
      <c r="N251" s="54">
        <f t="shared" si="69"/>
        <v>25.81926</v>
      </c>
      <c r="O251" s="54">
        <f t="shared" si="69"/>
        <v>89.49582</v>
      </c>
      <c r="P251" s="54">
        <f t="shared" si="69"/>
        <v>29.76564</v>
      </c>
    </row>
    <row r="252">
      <c r="A252" s="13" t="s">
        <v>20</v>
      </c>
      <c r="B252" s="26">
        <v>45565.0</v>
      </c>
      <c r="C252" s="13" t="s">
        <v>25</v>
      </c>
      <c r="D252" s="13">
        <v>3.3</v>
      </c>
      <c r="E252" s="13" t="s">
        <v>22</v>
      </c>
      <c r="F252" s="13">
        <v>3.0</v>
      </c>
      <c r="G252" s="13" t="s">
        <v>54</v>
      </c>
      <c r="H252" s="23">
        <v>15.1811</v>
      </c>
      <c r="I252" s="54">
        <f t="shared" ref="I252:P252" si="70">I36*1.02</f>
        <v>4.13814</v>
      </c>
      <c r="J252" s="54">
        <f t="shared" si="70"/>
        <v>0.03672</v>
      </c>
      <c r="K252" s="54">
        <f t="shared" si="70"/>
        <v>146.5077</v>
      </c>
      <c r="L252" s="54">
        <f t="shared" si="70"/>
        <v>22.7256</v>
      </c>
      <c r="M252" s="54">
        <f t="shared" si="70"/>
        <v>131.46168</v>
      </c>
      <c r="N252" s="54">
        <f t="shared" si="70"/>
        <v>24.02814</v>
      </c>
      <c r="O252" s="54">
        <f t="shared" si="70"/>
        <v>89.39076</v>
      </c>
      <c r="P252" s="54">
        <f t="shared" si="70"/>
        <v>24.30456</v>
      </c>
    </row>
    <row r="253">
      <c r="A253" s="13" t="s">
        <v>20</v>
      </c>
      <c r="B253" s="26">
        <v>45565.0</v>
      </c>
      <c r="C253" s="13" t="s">
        <v>25</v>
      </c>
      <c r="D253" s="13">
        <v>3.4</v>
      </c>
      <c r="E253" s="13" t="s">
        <v>22</v>
      </c>
      <c r="F253" s="13">
        <v>3.0</v>
      </c>
      <c r="G253" s="13" t="s">
        <v>54</v>
      </c>
      <c r="H253" s="23">
        <v>18.0961</v>
      </c>
      <c r="I253" s="54">
        <f t="shared" ref="I253:P253" si="71">I37*1.02</f>
        <v>4.75728</v>
      </c>
      <c r="J253" s="54">
        <f t="shared" si="71"/>
        <v>0.1224</v>
      </c>
      <c r="K253" s="54">
        <f t="shared" si="71"/>
        <v>147.05952</v>
      </c>
      <c r="L253" s="54">
        <f t="shared" si="71"/>
        <v>20.04096</v>
      </c>
      <c r="M253" s="54">
        <f t="shared" si="71"/>
        <v>131.29542</v>
      </c>
      <c r="N253" s="54">
        <f t="shared" si="71"/>
        <v>22.25538</v>
      </c>
      <c r="O253" s="54">
        <f t="shared" si="71"/>
        <v>88.20348</v>
      </c>
      <c r="P253" s="54">
        <f t="shared" si="71"/>
        <v>24.20052</v>
      </c>
    </row>
    <row r="254">
      <c r="A254" s="13" t="s">
        <v>20</v>
      </c>
      <c r="B254" s="26">
        <v>45607.0</v>
      </c>
      <c r="C254" s="13" t="s">
        <v>21</v>
      </c>
      <c r="D254" s="13">
        <v>1.1</v>
      </c>
      <c r="E254" s="13" t="s">
        <v>22</v>
      </c>
      <c r="F254" s="13">
        <v>3.0</v>
      </c>
      <c r="G254" s="13" t="s">
        <v>55</v>
      </c>
      <c r="H254" s="23">
        <v>25.2318</v>
      </c>
      <c r="I254" s="54">
        <f t="shared" ref="I254:P254" si="72">I38*1.05</f>
        <v>8.44935</v>
      </c>
      <c r="J254" s="54">
        <f t="shared" si="72"/>
        <v>0.05565</v>
      </c>
      <c r="K254" s="54">
        <f t="shared" si="72"/>
        <v>161.10465</v>
      </c>
      <c r="L254" s="54">
        <f t="shared" si="72"/>
        <v>23.289</v>
      </c>
      <c r="M254" s="54">
        <f t="shared" si="72"/>
        <v>127.95405</v>
      </c>
      <c r="N254" s="54">
        <f t="shared" si="72"/>
        <v>25.88775</v>
      </c>
      <c r="O254" s="54">
        <f t="shared" si="72"/>
        <v>73.0863</v>
      </c>
      <c r="P254" s="54">
        <f t="shared" si="72"/>
        <v>27.8145</v>
      </c>
    </row>
    <row r="255">
      <c r="A255" s="13" t="s">
        <v>20</v>
      </c>
      <c r="B255" s="26">
        <v>45607.0</v>
      </c>
      <c r="C255" s="13" t="s">
        <v>21</v>
      </c>
      <c r="D255" s="13">
        <v>1.2</v>
      </c>
      <c r="E255" s="13" t="s">
        <v>22</v>
      </c>
      <c r="F255" s="13">
        <v>3.0</v>
      </c>
      <c r="G255" s="13" t="s">
        <v>55</v>
      </c>
      <c r="H255" s="23">
        <v>23.6451</v>
      </c>
      <c r="I255" s="54">
        <f t="shared" ref="I255:P255" si="73">I39*1.05</f>
        <v>7.119</v>
      </c>
      <c r="J255" s="54">
        <f t="shared" si="73"/>
        <v>0.26565</v>
      </c>
      <c r="K255" s="54">
        <f t="shared" si="73"/>
        <v>163.0041</v>
      </c>
      <c r="L255" s="54">
        <f t="shared" si="73"/>
        <v>22.23165</v>
      </c>
      <c r="M255" s="54">
        <f t="shared" si="73"/>
        <v>131.81595</v>
      </c>
      <c r="N255" s="54">
        <f t="shared" si="73"/>
        <v>24.7884</v>
      </c>
      <c r="O255" s="54">
        <f t="shared" si="73"/>
        <v>71.64045</v>
      </c>
      <c r="P255" s="54">
        <f t="shared" si="73"/>
        <v>26.61645</v>
      </c>
    </row>
    <row r="256">
      <c r="A256" s="13" t="s">
        <v>20</v>
      </c>
      <c r="B256" s="26">
        <v>45607.0</v>
      </c>
      <c r="C256" s="13" t="s">
        <v>21</v>
      </c>
      <c r="D256" s="13">
        <v>1.3</v>
      </c>
      <c r="E256" s="13" t="s">
        <v>22</v>
      </c>
      <c r="F256" s="13">
        <v>3.0</v>
      </c>
      <c r="G256" s="13" t="s">
        <v>55</v>
      </c>
      <c r="H256" s="23">
        <v>24.0559</v>
      </c>
      <c r="I256" s="54">
        <f t="shared" ref="I256:P256" si="74">I40*1.05</f>
        <v>8.46195</v>
      </c>
      <c r="J256" s="54">
        <f t="shared" si="74"/>
        <v>0.1554</v>
      </c>
      <c r="K256" s="54">
        <f t="shared" si="74"/>
        <v>153.93525</v>
      </c>
      <c r="L256" s="54">
        <f t="shared" si="74"/>
        <v>23.8287</v>
      </c>
      <c r="M256" s="54">
        <f t="shared" si="74"/>
        <v>124.41555</v>
      </c>
      <c r="N256" s="54">
        <f t="shared" si="74"/>
        <v>25.06245</v>
      </c>
      <c r="O256" s="54">
        <f t="shared" si="74"/>
        <v>71.42205</v>
      </c>
      <c r="P256" s="54">
        <f t="shared" si="74"/>
        <v>24.0009</v>
      </c>
    </row>
    <row r="257">
      <c r="A257" s="13" t="s">
        <v>20</v>
      </c>
      <c r="B257" s="26">
        <v>45607.0</v>
      </c>
      <c r="C257" s="13" t="s">
        <v>21</v>
      </c>
      <c r="D257" s="13">
        <v>1.4</v>
      </c>
      <c r="E257" s="13" t="s">
        <v>22</v>
      </c>
      <c r="F257" s="13">
        <v>3.0</v>
      </c>
      <c r="G257" s="13" t="s">
        <v>55</v>
      </c>
      <c r="H257" s="23">
        <v>22.7961</v>
      </c>
      <c r="I257" s="54">
        <f t="shared" ref="I257:P257" si="75">I41*1.05</f>
        <v>7.73955</v>
      </c>
      <c r="J257" s="54">
        <f t="shared" si="75"/>
        <v>0.16275</v>
      </c>
      <c r="K257" s="54">
        <f t="shared" si="75"/>
        <v>143.23995</v>
      </c>
      <c r="L257" s="54">
        <f t="shared" si="75"/>
        <v>26.565</v>
      </c>
      <c r="M257" s="54">
        <f t="shared" si="75"/>
        <v>117.1149</v>
      </c>
      <c r="N257" s="54">
        <f t="shared" si="75"/>
        <v>27.3168</v>
      </c>
      <c r="O257" s="54">
        <f t="shared" si="75"/>
        <v>81.81705</v>
      </c>
      <c r="P257" s="54">
        <f t="shared" si="75"/>
        <v>32.01975</v>
      </c>
    </row>
    <row r="258">
      <c r="A258" s="13" t="s">
        <v>20</v>
      </c>
      <c r="B258" s="26">
        <v>45607.0</v>
      </c>
      <c r="C258" s="13" t="s">
        <v>21</v>
      </c>
      <c r="D258" s="13">
        <v>2.1</v>
      </c>
      <c r="E258" s="13" t="s">
        <v>22</v>
      </c>
      <c r="F258" s="13">
        <v>3.0</v>
      </c>
      <c r="G258" s="13" t="s">
        <v>55</v>
      </c>
      <c r="H258" s="23">
        <v>16.3395</v>
      </c>
      <c r="I258" s="54">
        <f t="shared" ref="I258:P258" si="76">I42*1.05</f>
        <v>3.5133</v>
      </c>
      <c r="J258" s="54">
        <f t="shared" si="76"/>
        <v>0.02415</v>
      </c>
      <c r="K258" s="54">
        <f t="shared" si="76"/>
        <v>148.37445</v>
      </c>
      <c r="L258" s="54">
        <f t="shared" si="76"/>
        <v>18.18495</v>
      </c>
      <c r="M258" s="54">
        <f t="shared" si="76"/>
        <v>117.48345</v>
      </c>
      <c r="N258" s="54">
        <f t="shared" si="76"/>
        <v>21.4326</v>
      </c>
      <c r="O258" s="54">
        <f t="shared" si="76"/>
        <v>63.2772</v>
      </c>
      <c r="P258" s="54">
        <f t="shared" si="76"/>
        <v>23.6901</v>
      </c>
    </row>
    <row r="259">
      <c r="A259" s="13" t="s">
        <v>20</v>
      </c>
      <c r="B259" s="26">
        <v>45607.0</v>
      </c>
      <c r="C259" s="13" t="s">
        <v>21</v>
      </c>
      <c r="D259" s="13">
        <v>2.2</v>
      </c>
      <c r="E259" s="13" t="s">
        <v>22</v>
      </c>
      <c r="F259" s="13">
        <v>3.0</v>
      </c>
      <c r="G259" s="13" t="s">
        <v>55</v>
      </c>
      <c r="H259" s="23">
        <v>16.3513</v>
      </c>
      <c r="I259" s="54">
        <f t="shared" ref="I259:P259" si="77">I43*1.05</f>
        <v>5.72985</v>
      </c>
      <c r="J259" s="54">
        <f t="shared" si="77"/>
        <v>0.042</v>
      </c>
      <c r="K259" s="54">
        <f t="shared" si="77"/>
        <v>174.3315</v>
      </c>
      <c r="L259" s="54">
        <f t="shared" si="77"/>
        <v>22.5015</v>
      </c>
      <c r="M259" s="54">
        <f t="shared" si="77"/>
        <v>138.34695</v>
      </c>
      <c r="N259" s="54">
        <f t="shared" si="77"/>
        <v>27.78195</v>
      </c>
      <c r="O259" s="54">
        <f t="shared" si="77"/>
        <v>75.27765</v>
      </c>
      <c r="P259" s="54">
        <f t="shared" si="77"/>
        <v>29.9775</v>
      </c>
    </row>
    <row r="260">
      <c r="A260" s="13" t="s">
        <v>20</v>
      </c>
      <c r="B260" s="26">
        <v>45607.0</v>
      </c>
      <c r="C260" s="13" t="s">
        <v>21</v>
      </c>
      <c r="D260" s="13">
        <v>2.3</v>
      </c>
      <c r="E260" s="13" t="s">
        <v>22</v>
      </c>
      <c r="F260" s="13">
        <v>3.0</v>
      </c>
      <c r="G260" s="13" t="s">
        <v>55</v>
      </c>
      <c r="H260" s="23">
        <v>18.0865</v>
      </c>
      <c r="I260" s="54">
        <f t="shared" ref="I260:P260" si="78">I44*1.05</f>
        <v>5.7246</v>
      </c>
      <c r="J260" s="54">
        <f t="shared" si="78"/>
        <v>0.03675</v>
      </c>
      <c r="K260" s="54">
        <f t="shared" si="78"/>
        <v>156.85005</v>
      </c>
      <c r="L260" s="54">
        <f t="shared" si="78"/>
        <v>20.5086</v>
      </c>
      <c r="M260" s="54">
        <f t="shared" si="78"/>
        <v>124.95315</v>
      </c>
      <c r="N260" s="54">
        <f t="shared" si="78"/>
        <v>22.88475</v>
      </c>
      <c r="O260" s="54">
        <f t="shared" si="78"/>
        <v>57.4455</v>
      </c>
      <c r="P260" s="54">
        <f t="shared" si="78"/>
        <v>22.02795</v>
      </c>
    </row>
    <row r="261">
      <c r="A261" s="13" t="s">
        <v>20</v>
      </c>
      <c r="B261" s="26">
        <v>45607.0</v>
      </c>
      <c r="C261" s="13" t="s">
        <v>21</v>
      </c>
      <c r="D261" s="13">
        <v>2.4</v>
      </c>
      <c r="E261" s="13" t="s">
        <v>22</v>
      </c>
      <c r="F261" s="13">
        <v>3.0</v>
      </c>
      <c r="G261" s="13" t="s">
        <v>55</v>
      </c>
      <c r="H261" s="23">
        <v>17.2983</v>
      </c>
      <c r="I261" s="54">
        <f t="shared" ref="I261:P261" si="79">I45*1.05</f>
        <v>3.6351</v>
      </c>
      <c r="J261" s="54">
        <f t="shared" si="79"/>
        <v>0.01995</v>
      </c>
      <c r="K261" s="54">
        <f t="shared" si="79"/>
        <v>144.83805</v>
      </c>
      <c r="L261" s="54">
        <f t="shared" si="79"/>
        <v>20.98005</v>
      </c>
      <c r="M261" s="54">
        <f t="shared" si="79"/>
        <v>119.8197</v>
      </c>
      <c r="N261" s="54">
        <f t="shared" si="79"/>
        <v>23.95155</v>
      </c>
      <c r="O261" s="54">
        <f t="shared" si="79"/>
        <v>81.4443</v>
      </c>
      <c r="P261" s="54">
        <f t="shared" si="79"/>
        <v>29.6058</v>
      </c>
    </row>
    <row r="262">
      <c r="A262" s="13" t="s">
        <v>20</v>
      </c>
      <c r="B262" s="26">
        <v>45607.0</v>
      </c>
      <c r="C262" s="13" t="s">
        <v>21</v>
      </c>
      <c r="D262" s="13">
        <v>3.1</v>
      </c>
      <c r="E262" s="13" t="s">
        <v>22</v>
      </c>
      <c r="F262" s="13">
        <v>3.0</v>
      </c>
      <c r="G262" s="13" t="s">
        <v>55</v>
      </c>
      <c r="H262" s="23">
        <v>21.296</v>
      </c>
      <c r="I262" s="54">
        <f t="shared" ref="I262:P262" si="80">I46*1.05</f>
        <v>5.96295</v>
      </c>
      <c r="J262" s="54">
        <f t="shared" si="80"/>
        <v>0.1365</v>
      </c>
      <c r="K262" s="54">
        <f t="shared" si="80"/>
        <v>128.1567</v>
      </c>
      <c r="L262" s="54">
        <f t="shared" si="80"/>
        <v>29.0976</v>
      </c>
      <c r="M262" s="54">
        <f t="shared" si="80"/>
        <v>100.002</v>
      </c>
      <c r="N262" s="54">
        <f t="shared" si="80"/>
        <v>30.67155</v>
      </c>
      <c r="O262" s="54">
        <f t="shared" si="80"/>
        <v>52.92735</v>
      </c>
      <c r="P262" s="54">
        <f t="shared" si="80"/>
        <v>26.1324</v>
      </c>
    </row>
    <row r="263">
      <c r="A263" s="13" t="s">
        <v>20</v>
      </c>
      <c r="B263" s="26">
        <v>45607.0</v>
      </c>
      <c r="C263" s="13" t="s">
        <v>21</v>
      </c>
      <c r="D263" s="13">
        <v>3.2</v>
      </c>
      <c r="E263" s="13" t="s">
        <v>22</v>
      </c>
      <c r="F263" s="13">
        <v>3.0</v>
      </c>
      <c r="G263" s="13" t="s">
        <v>55</v>
      </c>
      <c r="H263" s="23">
        <v>14.3115</v>
      </c>
      <c r="I263" s="54">
        <f t="shared" ref="I263:P263" si="81">I47*1.05</f>
        <v>5.397</v>
      </c>
      <c r="J263" s="54">
        <f t="shared" si="81"/>
        <v>0.12495</v>
      </c>
      <c r="K263" s="54">
        <f t="shared" si="81"/>
        <v>142.5228</v>
      </c>
      <c r="L263" s="54">
        <f t="shared" si="81"/>
        <v>29.2992</v>
      </c>
      <c r="M263" s="54">
        <f t="shared" si="81"/>
        <v>114.04995</v>
      </c>
      <c r="N263" s="54">
        <f t="shared" si="81"/>
        <v>31.92315</v>
      </c>
      <c r="O263" s="54">
        <f t="shared" si="81"/>
        <v>59.71455</v>
      </c>
      <c r="P263" s="54">
        <f t="shared" si="81"/>
        <v>28.8477</v>
      </c>
    </row>
    <row r="264">
      <c r="A264" s="13" t="s">
        <v>20</v>
      </c>
      <c r="B264" s="26">
        <v>45607.0</v>
      </c>
      <c r="C264" s="13" t="s">
        <v>21</v>
      </c>
      <c r="D264" s="13">
        <v>3.3</v>
      </c>
      <c r="E264" s="13" t="s">
        <v>22</v>
      </c>
      <c r="F264" s="13">
        <v>3.0</v>
      </c>
      <c r="G264" s="13" t="s">
        <v>55</v>
      </c>
      <c r="H264" s="23">
        <v>17.3067</v>
      </c>
      <c r="I264" s="54">
        <f t="shared" ref="I264:P264" si="82">I48*1.05</f>
        <v>4.8573</v>
      </c>
      <c r="J264" s="54">
        <f t="shared" si="82"/>
        <v>0.0924</v>
      </c>
      <c r="K264" s="54">
        <f t="shared" si="82"/>
        <v>138.1863</v>
      </c>
      <c r="L264" s="54">
        <f t="shared" si="82"/>
        <v>26.1324</v>
      </c>
      <c r="M264" s="54">
        <f t="shared" si="82"/>
        <v>109.77645</v>
      </c>
      <c r="N264" s="54">
        <f t="shared" si="82"/>
        <v>28.0707</v>
      </c>
      <c r="O264" s="54">
        <f t="shared" si="82"/>
        <v>51.03105</v>
      </c>
      <c r="P264" s="54">
        <f t="shared" si="82"/>
        <v>24.62775</v>
      </c>
    </row>
    <row r="265">
      <c r="A265" s="13" t="s">
        <v>20</v>
      </c>
      <c r="B265" s="26">
        <v>45607.0</v>
      </c>
      <c r="C265" s="13" t="s">
        <v>21</v>
      </c>
      <c r="D265" s="13">
        <v>3.4</v>
      </c>
      <c r="E265" s="13" t="s">
        <v>22</v>
      </c>
      <c r="F265" s="13">
        <v>3.0</v>
      </c>
      <c r="G265" s="13" t="s">
        <v>55</v>
      </c>
      <c r="H265" s="23">
        <v>18.052</v>
      </c>
      <c r="I265" s="54">
        <f t="shared" ref="I265:P265" si="83">I49*1.05</f>
        <v>4.89615</v>
      </c>
      <c r="J265" s="54">
        <f t="shared" si="83"/>
        <v>0.0525</v>
      </c>
      <c r="K265" s="54">
        <f t="shared" si="83"/>
        <v>131.27625</v>
      </c>
      <c r="L265" s="54">
        <f t="shared" si="83"/>
        <v>30.37335</v>
      </c>
      <c r="M265" s="54">
        <f t="shared" si="83"/>
        <v>117.26505</v>
      </c>
      <c r="N265" s="54">
        <f t="shared" si="83"/>
        <v>31.90425</v>
      </c>
      <c r="O265" s="54">
        <f t="shared" si="83"/>
        <v>70.0287</v>
      </c>
      <c r="P265" s="54">
        <f t="shared" si="83"/>
        <v>35.2317</v>
      </c>
    </row>
    <row r="266">
      <c r="A266" s="13" t="s">
        <v>20</v>
      </c>
      <c r="B266" s="26">
        <v>45607.0</v>
      </c>
      <c r="C266" s="13" t="s">
        <v>24</v>
      </c>
      <c r="D266" s="13">
        <v>1.1</v>
      </c>
      <c r="E266" s="13" t="s">
        <v>22</v>
      </c>
      <c r="F266" s="13">
        <v>3.0</v>
      </c>
      <c r="G266" s="13" t="s">
        <v>55</v>
      </c>
      <c r="H266" s="23">
        <v>20.3752</v>
      </c>
      <c r="I266" s="54">
        <f t="shared" ref="I266:P266" si="84">I50*1.05</f>
        <v>6.61185</v>
      </c>
      <c r="J266" s="54">
        <f t="shared" si="84"/>
        <v>0.1281</v>
      </c>
      <c r="K266" s="54">
        <f t="shared" si="84"/>
        <v>142.4598</v>
      </c>
      <c r="L266" s="54">
        <f t="shared" si="84"/>
        <v>16.4115</v>
      </c>
      <c r="M266" s="54">
        <f t="shared" si="84"/>
        <v>114.1602</v>
      </c>
      <c r="N266" s="54">
        <f t="shared" si="84"/>
        <v>18.91575</v>
      </c>
      <c r="O266" s="54">
        <f t="shared" si="84"/>
        <v>66.09855</v>
      </c>
      <c r="P266" s="54">
        <f t="shared" si="84"/>
        <v>26.1156</v>
      </c>
    </row>
    <row r="267">
      <c r="A267" s="13" t="s">
        <v>20</v>
      </c>
      <c r="B267" s="26">
        <v>45607.0</v>
      </c>
      <c r="C267" s="13" t="s">
        <v>24</v>
      </c>
      <c r="D267" s="13">
        <v>1.2</v>
      </c>
      <c r="E267" s="13" t="s">
        <v>22</v>
      </c>
      <c r="F267" s="13">
        <v>3.0</v>
      </c>
      <c r="G267" s="13" t="s">
        <v>55</v>
      </c>
      <c r="H267" s="23">
        <v>18.9896</v>
      </c>
      <c r="I267" s="54">
        <f t="shared" ref="I267:P267" si="85">I51*1.05</f>
        <v>5.50725</v>
      </c>
      <c r="J267" s="54">
        <f t="shared" si="85"/>
        <v>0.04725</v>
      </c>
      <c r="K267" s="54">
        <f t="shared" si="85"/>
        <v>150.3474</v>
      </c>
      <c r="L267" s="54">
        <f t="shared" si="85"/>
        <v>13.40955</v>
      </c>
      <c r="M267" s="54">
        <f t="shared" si="85"/>
        <v>124.88385</v>
      </c>
      <c r="N267" s="54">
        <f t="shared" si="85"/>
        <v>14.7</v>
      </c>
      <c r="O267" s="54">
        <f t="shared" si="85"/>
        <v>86.4108</v>
      </c>
      <c r="P267" s="54">
        <f t="shared" si="85"/>
        <v>20.9664</v>
      </c>
    </row>
    <row r="268">
      <c r="A268" s="13" t="s">
        <v>20</v>
      </c>
      <c r="B268" s="26">
        <v>45607.0</v>
      </c>
      <c r="C268" s="13" t="s">
        <v>24</v>
      </c>
      <c r="D268" s="13">
        <v>1.3</v>
      </c>
      <c r="E268" s="13" t="s">
        <v>22</v>
      </c>
      <c r="F268" s="13">
        <v>3.0</v>
      </c>
      <c r="G268" s="13" t="s">
        <v>55</v>
      </c>
      <c r="H268" s="23">
        <v>15.769</v>
      </c>
      <c r="I268" s="54">
        <f t="shared" ref="I268:P268" si="86">I52*1.05</f>
        <v>5.0946</v>
      </c>
      <c r="J268" s="54">
        <f t="shared" si="86"/>
        <v>0.03885</v>
      </c>
      <c r="K268" s="54">
        <f t="shared" si="86"/>
        <v>149.35725</v>
      </c>
      <c r="L268" s="54">
        <f t="shared" si="86"/>
        <v>12.7302</v>
      </c>
      <c r="M268" s="54">
        <f t="shared" si="86"/>
        <v>123.9777</v>
      </c>
      <c r="N268" s="54">
        <f t="shared" si="86"/>
        <v>14.47635</v>
      </c>
      <c r="O268" s="54">
        <f t="shared" si="86"/>
        <v>73.5567</v>
      </c>
      <c r="P268" s="54">
        <f t="shared" si="86"/>
        <v>20.29125</v>
      </c>
    </row>
    <row r="269">
      <c r="A269" s="13" t="s">
        <v>20</v>
      </c>
      <c r="B269" s="26">
        <v>45607.0</v>
      </c>
      <c r="C269" s="13" t="s">
        <v>24</v>
      </c>
      <c r="D269" s="13">
        <v>1.4</v>
      </c>
      <c r="E269" s="13" t="s">
        <v>22</v>
      </c>
      <c r="F269" s="13">
        <v>3.0</v>
      </c>
      <c r="G269" s="13" t="s">
        <v>55</v>
      </c>
      <c r="H269" s="23">
        <v>17.4093</v>
      </c>
      <c r="I269" s="54">
        <f t="shared" ref="I269:P269" si="87">I53*1.05</f>
        <v>4.23465</v>
      </c>
      <c r="J269" s="54">
        <f t="shared" si="87"/>
        <v>0.0441</v>
      </c>
      <c r="K269" s="54">
        <f t="shared" si="87"/>
        <v>141.0486</v>
      </c>
      <c r="L269" s="54">
        <f t="shared" si="87"/>
        <v>19.25595</v>
      </c>
      <c r="M269" s="54">
        <f t="shared" si="87"/>
        <v>119.53095</v>
      </c>
      <c r="N269" s="54">
        <f t="shared" si="87"/>
        <v>18.74985</v>
      </c>
      <c r="O269" s="54">
        <f t="shared" si="87"/>
        <v>72.6264</v>
      </c>
      <c r="P269" s="54">
        <f t="shared" si="87"/>
        <v>25.3281</v>
      </c>
    </row>
    <row r="270">
      <c r="A270" s="13" t="s">
        <v>20</v>
      </c>
      <c r="B270" s="26">
        <v>45607.0</v>
      </c>
      <c r="C270" s="13" t="s">
        <v>24</v>
      </c>
      <c r="D270" s="13">
        <v>2.1</v>
      </c>
      <c r="E270" s="13" t="s">
        <v>22</v>
      </c>
      <c r="F270" s="13">
        <v>3.0</v>
      </c>
      <c r="G270" s="13" t="s">
        <v>55</v>
      </c>
      <c r="H270" s="23">
        <v>11.1693</v>
      </c>
      <c r="I270" s="54">
        <f t="shared" ref="I270:P270" si="88">I54*1.05</f>
        <v>3.48075</v>
      </c>
      <c r="J270" s="54">
        <f t="shared" si="88"/>
        <v>0.0126</v>
      </c>
      <c r="K270" s="54">
        <f t="shared" si="88"/>
        <v>131.0463</v>
      </c>
      <c r="L270" s="54">
        <f t="shared" si="88"/>
        <v>15.2145</v>
      </c>
      <c r="M270" s="54">
        <f t="shared" si="88"/>
        <v>108.38415</v>
      </c>
      <c r="N270" s="54">
        <f t="shared" si="88"/>
        <v>16.77165</v>
      </c>
      <c r="O270" s="54">
        <f t="shared" si="88"/>
        <v>59.4405</v>
      </c>
      <c r="P270" s="54">
        <f t="shared" si="88"/>
        <v>20.14215</v>
      </c>
    </row>
    <row r="271">
      <c r="A271" s="13" t="s">
        <v>20</v>
      </c>
      <c r="B271" s="26">
        <v>45607.0</v>
      </c>
      <c r="C271" s="13" t="s">
        <v>24</v>
      </c>
      <c r="D271" s="13">
        <v>2.2</v>
      </c>
      <c r="E271" s="13" t="s">
        <v>22</v>
      </c>
      <c r="F271" s="13">
        <v>3.0</v>
      </c>
      <c r="G271" s="13" t="s">
        <v>55</v>
      </c>
      <c r="H271" s="23">
        <v>15.193</v>
      </c>
      <c r="I271" s="54">
        <f t="shared" ref="I271:P271" si="89">I55*1.05</f>
        <v>3.3957</v>
      </c>
      <c r="J271" s="54">
        <f t="shared" si="89"/>
        <v>0.09345</v>
      </c>
      <c r="K271" s="54">
        <f t="shared" si="89"/>
        <v>135.618</v>
      </c>
      <c r="L271" s="54">
        <f t="shared" si="89"/>
        <v>14.65485</v>
      </c>
      <c r="M271" s="54">
        <f t="shared" si="89"/>
        <v>109.5444</v>
      </c>
      <c r="N271" s="54">
        <f t="shared" si="89"/>
        <v>15.61245</v>
      </c>
      <c r="O271" s="54">
        <f t="shared" si="89"/>
        <v>61.7652</v>
      </c>
      <c r="P271" s="54">
        <f t="shared" si="89"/>
        <v>18.53565</v>
      </c>
    </row>
    <row r="272">
      <c r="A272" s="13" t="s">
        <v>20</v>
      </c>
      <c r="B272" s="26">
        <v>45607.0</v>
      </c>
      <c r="C272" s="13" t="s">
        <v>24</v>
      </c>
      <c r="D272" s="13">
        <v>2.3</v>
      </c>
      <c r="E272" s="13" t="s">
        <v>22</v>
      </c>
      <c r="F272" s="13">
        <v>3.0</v>
      </c>
      <c r="G272" s="13" t="s">
        <v>55</v>
      </c>
      <c r="H272" s="23">
        <v>16.1325</v>
      </c>
      <c r="I272" s="54">
        <f t="shared" ref="I272:P272" si="90">I56*1.05</f>
        <v>3.77895</v>
      </c>
      <c r="J272" s="54">
        <f t="shared" si="90"/>
        <v>0.07035</v>
      </c>
      <c r="K272" s="54">
        <f t="shared" si="90"/>
        <v>137.47545</v>
      </c>
      <c r="L272" s="54">
        <f t="shared" si="90"/>
        <v>17.28615</v>
      </c>
      <c r="M272" s="54">
        <f t="shared" si="90"/>
        <v>112.0056</v>
      </c>
      <c r="N272" s="54">
        <f t="shared" si="90"/>
        <v>18.93045</v>
      </c>
      <c r="O272" s="54">
        <f t="shared" si="90"/>
        <v>70.4529</v>
      </c>
      <c r="P272" s="54">
        <f t="shared" si="90"/>
        <v>21.72135</v>
      </c>
    </row>
    <row r="273">
      <c r="A273" s="13" t="s">
        <v>20</v>
      </c>
      <c r="B273" s="26">
        <v>45607.0</v>
      </c>
      <c r="C273" s="13" t="s">
        <v>24</v>
      </c>
      <c r="D273" s="13">
        <v>2.4</v>
      </c>
      <c r="E273" s="13" t="s">
        <v>22</v>
      </c>
      <c r="F273" s="13">
        <v>3.0</v>
      </c>
      <c r="G273" s="13" t="s">
        <v>55</v>
      </c>
      <c r="H273" s="23">
        <v>15.0927</v>
      </c>
      <c r="I273" s="54">
        <f t="shared" ref="I273:P273" si="91">I57*1.05</f>
        <v>2.95995</v>
      </c>
      <c r="J273" s="54">
        <f t="shared" si="91"/>
        <v>0.01575</v>
      </c>
      <c r="K273" s="54">
        <f t="shared" si="91"/>
        <v>136.5441</v>
      </c>
      <c r="L273" s="54">
        <f t="shared" si="91"/>
        <v>21.23205</v>
      </c>
      <c r="M273" s="54">
        <f t="shared" si="91"/>
        <v>93.8385</v>
      </c>
      <c r="N273" s="54">
        <f t="shared" si="91"/>
        <v>22.24635</v>
      </c>
      <c r="O273" s="54">
        <f t="shared" si="91"/>
        <v>57.1305</v>
      </c>
      <c r="P273" s="54">
        <f t="shared" si="91"/>
        <v>25.60845</v>
      </c>
    </row>
    <row r="274">
      <c r="A274" s="13" t="s">
        <v>20</v>
      </c>
      <c r="B274" s="26">
        <v>45607.0</v>
      </c>
      <c r="C274" s="13" t="s">
        <v>24</v>
      </c>
      <c r="D274" s="13">
        <v>3.1</v>
      </c>
      <c r="E274" s="13" t="s">
        <v>22</v>
      </c>
      <c r="F274" s="13">
        <v>3.0</v>
      </c>
      <c r="G274" s="13" t="s">
        <v>55</v>
      </c>
      <c r="H274" s="23">
        <v>16.6961</v>
      </c>
      <c r="I274" s="54">
        <f t="shared" ref="I274:P274" si="92">I58*1.05</f>
        <v>4.62735</v>
      </c>
      <c r="J274" s="54">
        <f t="shared" si="92"/>
        <v>0.03675</v>
      </c>
      <c r="K274" s="54">
        <f t="shared" si="92"/>
        <v>145.9941</v>
      </c>
      <c r="L274" s="54">
        <f t="shared" si="92"/>
        <v>11.9217</v>
      </c>
      <c r="M274" s="54">
        <f t="shared" si="92"/>
        <v>114.4269</v>
      </c>
      <c r="N274" s="54">
        <f t="shared" si="92"/>
        <v>14.72625</v>
      </c>
      <c r="O274" s="54">
        <f t="shared" si="92"/>
        <v>57.59985</v>
      </c>
      <c r="P274" s="54">
        <f t="shared" si="92"/>
        <v>14.71365</v>
      </c>
    </row>
    <row r="275">
      <c r="A275" s="13" t="s">
        <v>20</v>
      </c>
      <c r="B275" s="26">
        <v>45607.0</v>
      </c>
      <c r="C275" s="13" t="s">
        <v>24</v>
      </c>
      <c r="D275" s="13">
        <v>3.2</v>
      </c>
      <c r="E275" s="13" t="s">
        <v>22</v>
      </c>
      <c r="F275" s="13">
        <v>3.0</v>
      </c>
      <c r="G275" s="13" t="s">
        <v>55</v>
      </c>
      <c r="H275" s="23">
        <v>14.4698</v>
      </c>
      <c r="I275" s="54">
        <f t="shared" ref="I275:P275" si="93">I59*1.05</f>
        <v>5.07675</v>
      </c>
      <c r="J275" s="54">
        <f t="shared" si="93"/>
        <v>0.05565</v>
      </c>
      <c r="K275" s="54">
        <f t="shared" si="93"/>
        <v>143.0856</v>
      </c>
      <c r="L275" s="54">
        <f t="shared" si="93"/>
        <v>11.7474</v>
      </c>
      <c r="M275" s="54">
        <f t="shared" si="93"/>
        <v>110.78655</v>
      </c>
      <c r="N275" s="54">
        <f t="shared" si="93"/>
        <v>13.84845</v>
      </c>
      <c r="O275" s="54">
        <f t="shared" si="93"/>
        <v>55.2678</v>
      </c>
      <c r="P275" s="54">
        <f t="shared" si="93"/>
        <v>13.48305</v>
      </c>
    </row>
    <row r="276">
      <c r="A276" s="13" t="s">
        <v>20</v>
      </c>
      <c r="B276" s="26">
        <v>45607.0</v>
      </c>
      <c r="C276" s="13" t="s">
        <v>24</v>
      </c>
      <c r="D276" s="13">
        <v>3.3</v>
      </c>
      <c r="E276" s="13" t="s">
        <v>22</v>
      </c>
      <c r="F276" s="13">
        <v>3.0</v>
      </c>
      <c r="G276" s="13" t="s">
        <v>55</v>
      </c>
      <c r="H276" s="23">
        <v>15.8733</v>
      </c>
      <c r="I276" s="54">
        <f t="shared" ref="I276:P276" si="94">I60*1.05</f>
        <v>5.97765</v>
      </c>
      <c r="J276" s="54">
        <f t="shared" si="94"/>
        <v>0.06195</v>
      </c>
      <c r="K276" s="54">
        <f t="shared" si="94"/>
        <v>14.4585</v>
      </c>
      <c r="L276" s="54">
        <f t="shared" si="94"/>
        <v>13.9839</v>
      </c>
      <c r="M276" s="54">
        <f t="shared" si="94"/>
        <v>109.7586</v>
      </c>
      <c r="N276" s="54">
        <f t="shared" si="94"/>
        <v>16.4094</v>
      </c>
      <c r="O276" s="54">
        <f t="shared" si="94"/>
        <v>60.34665</v>
      </c>
      <c r="P276" s="54">
        <f t="shared" si="94"/>
        <v>15.25545</v>
      </c>
    </row>
    <row r="277">
      <c r="A277" s="13" t="s">
        <v>20</v>
      </c>
      <c r="B277" s="26">
        <v>45607.0</v>
      </c>
      <c r="C277" s="13" t="s">
        <v>24</v>
      </c>
      <c r="D277" s="13">
        <v>3.4</v>
      </c>
      <c r="E277" s="13" t="s">
        <v>22</v>
      </c>
      <c r="F277" s="13">
        <v>3.0</v>
      </c>
      <c r="G277" s="13" t="s">
        <v>55</v>
      </c>
      <c r="H277" s="23">
        <v>22.1801</v>
      </c>
      <c r="I277" s="54">
        <f t="shared" ref="I277:P277" si="95">I61*1.05</f>
        <v>7.34895</v>
      </c>
      <c r="J277" s="54">
        <f t="shared" si="95"/>
        <v>0.1155</v>
      </c>
      <c r="K277" s="54">
        <f t="shared" si="95"/>
        <v>151.63575</v>
      </c>
      <c r="L277" s="54">
        <f t="shared" si="95"/>
        <v>11.06385</v>
      </c>
      <c r="M277" s="54">
        <f t="shared" si="95"/>
        <v>127.03425</v>
      </c>
      <c r="N277" s="54">
        <f t="shared" si="95"/>
        <v>14.427</v>
      </c>
      <c r="O277" s="54">
        <f t="shared" si="95"/>
        <v>88.767</v>
      </c>
      <c r="P277" s="54">
        <f t="shared" si="95"/>
        <v>17.96235</v>
      </c>
    </row>
    <row r="278">
      <c r="A278" s="13" t="s">
        <v>20</v>
      </c>
      <c r="B278" s="26">
        <v>45607.0</v>
      </c>
      <c r="C278" s="13" t="s">
        <v>25</v>
      </c>
      <c r="D278" s="13">
        <v>1.1</v>
      </c>
      <c r="E278" s="13" t="s">
        <v>22</v>
      </c>
      <c r="F278" s="13">
        <v>3.0</v>
      </c>
      <c r="G278" s="13" t="s">
        <v>55</v>
      </c>
      <c r="H278" s="23">
        <v>17.6316</v>
      </c>
      <c r="I278" s="54">
        <f t="shared" ref="I278:P278" si="96">I62*1.05</f>
        <v>5.2668</v>
      </c>
      <c r="J278" s="54">
        <f t="shared" si="96"/>
        <v>0.04935</v>
      </c>
      <c r="K278" s="54">
        <f t="shared" si="96"/>
        <v>133.665</v>
      </c>
      <c r="L278" s="54">
        <f t="shared" si="96"/>
        <v>30.261</v>
      </c>
      <c r="M278" s="54">
        <f t="shared" si="96"/>
        <v>113.76225</v>
      </c>
      <c r="N278" s="54">
        <f t="shared" si="96"/>
        <v>32.02605</v>
      </c>
      <c r="O278" s="54">
        <f t="shared" si="96"/>
        <v>61.38615</v>
      </c>
      <c r="P278" s="54">
        <f t="shared" si="96"/>
        <v>27.17505</v>
      </c>
    </row>
    <row r="279">
      <c r="A279" s="13" t="s">
        <v>20</v>
      </c>
      <c r="B279" s="26">
        <v>45607.0</v>
      </c>
      <c r="C279" s="13" t="s">
        <v>25</v>
      </c>
      <c r="D279" s="13">
        <v>1.2</v>
      </c>
      <c r="E279" s="13" t="s">
        <v>22</v>
      </c>
      <c r="F279" s="13">
        <v>3.0</v>
      </c>
      <c r="G279" s="13" t="s">
        <v>55</v>
      </c>
      <c r="H279" s="23">
        <v>14.4651</v>
      </c>
      <c r="I279" s="54">
        <f t="shared" ref="I279:P279" si="97">I63*1.05</f>
        <v>4.80165</v>
      </c>
      <c r="J279" s="54">
        <f t="shared" si="97"/>
        <v>0.0462</v>
      </c>
      <c r="K279" s="54">
        <f t="shared" si="97"/>
        <v>141.771</v>
      </c>
      <c r="L279" s="54">
        <f t="shared" si="97"/>
        <v>28.1631</v>
      </c>
      <c r="M279" s="54">
        <f t="shared" si="97"/>
        <v>119.4396</v>
      </c>
      <c r="N279" s="54">
        <f t="shared" si="97"/>
        <v>30.0027</v>
      </c>
      <c r="O279" s="54">
        <f t="shared" si="97"/>
        <v>61.0323</v>
      </c>
      <c r="P279" s="54">
        <f t="shared" si="97"/>
        <v>28.54425</v>
      </c>
    </row>
    <row r="280">
      <c r="A280" s="13" t="s">
        <v>20</v>
      </c>
      <c r="B280" s="26">
        <v>45607.0</v>
      </c>
      <c r="C280" s="13" t="s">
        <v>25</v>
      </c>
      <c r="D280" s="13">
        <v>1.3</v>
      </c>
      <c r="E280" s="13" t="s">
        <v>22</v>
      </c>
      <c r="F280" s="13">
        <v>3.0</v>
      </c>
      <c r="G280" s="13" t="s">
        <v>55</v>
      </c>
      <c r="H280" s="23">
        <v>16.775</v>
      </c>
      <c r="I280" s="54">
        <f t="shared" ref="I280:P280" si="98">I64*1.05</f>
        <v>4.4373</v>
      </c>
      <c r="J280" s="54">
        <f t="shared" si="98"/>
        <v>0.0546</v>
      </c>
      <c r="K280" s="54">
        <f t="shared" si="98"/>
        <v>165.63855</v>
      </c>
      <c r="L280" s="54">
        <f t="shared" si="98"/>
        <v>34.4442</v>
      </c>
      <c r="M280" s="54">
        <f t="shared" si="98"/>
        <v>144.84645</v>
      </c>
      <c r="N280" s="54">
        <f t="shared" si="98"/>
        <v>38.0373</v>
      </c>
      <c r="O280" s="54">
        <f t="shared" si="98"/>
        <v>84.35175</v>
      </c>
      <c r="P280" s="54">
        <f t="shared" si="98"/>
        <v>39.66585</v>
      </c>
    </row>
    <row r="281">
      <c r="A281" s="13" t="s">
        <v>20</v>
      </c>
      <c r="B281" s="26">
        <v>45607.0</v>
      </c>
      <c r="C281" s="13" t="s">
        <v>25</v>
      </c>
      <c r="D281" s="13">
        <v>1.4</v>
      </c>
      <c r="E281" s="13" t="s">
        <v>22</v>
      </c>
      <c r="F281" s="13">
        <v>3.0</v>
      </c>
      <c r="G281" s="13" t="s">
        <v>55</v>
      </c>
      <c r="H281" s="23">
        <v>20.4944</v>
      </c>
      <c r="I281" s="54">
        <f t="shared" ref="I281:P281" si="99">I65*1.05</f>
        <v>6.3924</v>
      </c>
      <c r="J281" s="54">
        <f t="shared" si="99"/>
        <v>0.18795</v>
      </c>
      <c r="K281" s="54">
        <f t="shared" si="99"/>
        <v>125.8068</v>
      </c>
      <c r="L281" s="54">
        <f t="shared" si="99"/>
        <v>30.98655</v>
      </c>
      <c r="M281" s="54">
        <f t="shared" si="99"/>
        <v>113.5785</v>
      </c>
      <c r="N281" s="54">
        <f t="shared" si="99"/>
        <v>32.74845</v>
      </c>
      <c r="O281" s="54">
        <f t="shared" si="99"/>
        <v>74.75685</v>
      </c>
      <c r="P281" s="54">
        <f t="shared" si="99"/>
        <v>30.6327</v>
      </c>
    </row>
    <row r="282">
      <c r="A282" s="13" t="s">
        <v>20</v>
      </c>
      <c r="B282" s="26">
        <v>45607.0</v>
      </c>
      <c r="C282" s="13" t="s">
        <v>25</v>
      </c>
      <c r="D282" s="13">
        <v>2.1</v>
      </c>
      <c r="E282" s="13" t="s">
        <v>22</v>
      </c>
      <c r="F282" s="13">
        <v>3.0</v>
      </c>
      <c r="G282" s="13" t="s">
        <v>55</v>
      </c>
      <c r="H282" s="23">
        <v>19.7462</v>
      </c>
      <c r="I282" s="54">
        <f t="shared" ref="I282:P282" si="100">I66*1.05</f>
        <v>6.384</v>
      </c>
      <c r="J282" s="54">
        <f t="shared" si="100"/>
        <v>0.08505</v>
      </c>
      <c r="K282" s="54">
        <f t="shared" si="100"/>
        <v>143.86785</v>
      </c>
      <c r="L282" s="54">
        <f t="shared" si="100"/>
        <v>30.3723</v>
      </c>
      <c r="M282" s="54">
        <f t="shared" si="100"/>
        <v>120.0801</v>
      </c>
      <c r="N282" s="54">
        <f t="shared" si="100"/>
        <v>32.47755</v>
      </c>
      <c r="O282" s="54">
        <f t="shared" si="100"/>
        <v>71.86095</v>
      </c>
      <c r="P282" s="54">
        <f t="shared" si="100"/>
        <v>32.30745</v>
      </c>
    </row>
    <row r="283">
      <c r="A283" s="13" t="s">
        <v>20</v>
      </c>
      <c r="B283" s="26">
        <v>45607.0</v>
      </c>
      <c r="C283" s="13" t="s">
        <v>25</v>
      </c>
      <c r="D283" s="13">
        <v>2.2</v>
      </c>
      <c r="E283" s="13" t="s">
        <v>22</v>
      </c>
      <c r="F283" s="13">
        <v>3.0</v>
      </c>
      <c r="G283" s="13" t="s">
        <v>55</v>
      </c>
      <c r="H283" s="23">
        <v>23.1203</v>
      </c>
      <c r="I283" s="54">
        <f t="shared" ref="I283:P283" si="101">I67*1.05</f>
        <v>8.2257</v>
      </c>
      <c r="J283" s="54">
        <f t="shared" si="101"/>
        <v>0.03675</v>
      </c>
      <c r="K283" s="54">
        <f t="shared" si="101"/>
        <v>141.91485</v>
      </c>
      <c r="L283" s="54">
        <f t="shared" si="101"/>
        <v>24.94905</v>
      </c>
      <c r="M283" s="54">
        <f t="shared" si="101"/>
        <v>119.4438</v>
      </c>
      <c r="N283" s="54">
        <f t="shared" si="101"/>
        <v>28.8267</v>
      </c>
      <c r="O283" s="54">
        <f t="shared" si="101"/>
        <v>66.6225</v>
      </c>
      <c r="P283" s="54">
        <f t="shared" si="101"/>
        <v>29.4777</v>
      </c>
    </row>
    <row r="284">
      <c r="A284" s="13" t="s">
        <v>20</v>
      </c>
      <c r="B284" s="26">
        <v>45607.0</v>
      </c>
      <c r="C284" s="13" t="s">
        <v>25</v>
      </c>
      <c r="D284" s="13">
        <v>2.3</v>
      </c>
      <c r="E284" s="13" t="s">
        <v>22</v>
      </c>
      <c r="F284" s="13">
        <v>3.0</v>
      </c>
      <c r="G284" s="13" t="s">
        <v>55</v>
      </c>
      <c r="H284" s="23">
        <v>16.4772</v>
      </c>
      <c r="I284" s="54">
        <f t="shared" ref="I284:P284" si="102">I68*1.05</f>
        <v>4.3953</v>
      </c>
      <c r="J284" s="54">
        <f t="shared" si="102"/>
        <v>0.0672</v>
      </c>
      <c r="K284" s="54">
        <f t="shared" si="102"/>
        <v>125.8593</v>
      </c>
      <c r="L284" s="54">
        <f t="shared" si="102"/>
        <v>25.56435</v>
      </c>
      <c r="M284" s="54">
        <f t="shared" si="102"/>
        <v>99.2901</v>
      </c>
      <c r="N284" s="54">
        <f t="shared" si="102"/>
        <v>27.39345</v>
      </c>
      <c r="O284" s="54">
        <f t="shared" si="102"/>
        <v>51.39855</v>
      </c>
      <c r="P284" s="54">
        <f t="shared" si="102"/>
        <v>23.1504</v>
      </c>
    </row>
    <row r="285">
      <c r="A285" s="13" t="s">
        <v>20</v>
      </c>
      <c r="B285" s="26">
        <v>45607.0</v>
      </c>
      <c r="C285" s="13" t="s">
        <v>25</v>
      </c>
      <c r="D285" s="13">
        <v>2.4</v>
      </c>
      <c r="E285" s="13" t="s">
        <v>22</v>
      </c>
      <c r="F285" s="13">
        <v>3.0</v>
      </c>
      <c r="G285" s="13" t="s">
        <v>55</v>
      </c>
      <c r="H285" s="23">
        <v>18.617</v>
      </c>
      <c r="I285" s="54">
        <f t="shared" ref="I285:P285" si="103">I69*1.05</f>
        <v>5.11875</v>
      </c>
      <c r="J285" s="54">
        <f t="shared" si="103"/>
        <v>0.0714</v>
      </c>
      <c r="K285" s="54">
        <f t="shared" si="103"/>
        <v>140.3871</v>
      </c>
      <c r="L285" s="54">
        <f t="shared" si="103"/>
        <v>30.12345</v>
      </c>
      <c r="M285" s="54">
        <f t="shared" si="103"/>
        <v>123.1944</v>
      </c>
      <c r="N285" s="54">
        <f t="shared" si="103"/>
        <v>32.39355</v>
      </c>
      <c r="O285" s="54">
        <f t="shared" si="103"/>
        <v>83.5842</v>
      </c>
      <c r="P285" s="54">
        <f t="shared" si="103"/>
        <v>30.35655</v>
      </c>
    </row>
    <row r="286">
      <c r="A286" s="13" t="s">
        <v>20</v>
      </c>
      <c r="B286" s="26">
        <v>45607.0</v>
      </c>
      <c r="C286" s="13" t="s">
        <v>25</v>
      </c>
      <c r="D286" s="13">
        <v>3.1</v>
      </c>
      <c r="E286" s="13" t="s">
        <v>22</v>
      </c>
      <c r="F286" s="13">
        <v>3.0</v>
      </c>
      <c r="G286" s="13" t="s">
        <v>55</v>
      </c>
      <c r="H286" s="23">
        <v>18.3751</v>
      </c>
      <c r="I286" s="54">
        <f t="shared" ref="I286:P286" si="104">I70*1.05</f>
        <v>4.1622</v>
      </c>
      <c r="J286" s="54">
        <f t="shared" si="104"/>
        <v>0.0294</v>
      </c>
      <c r="K286" s="54">
        <f t="shared" si="104"/>
        <v>125.3616</v>
      </c>
      <c r="L286" s="54">
        <f t="shared" si="104"/>
        <v>25.9623</v>
      </c>
      <c r="M286" s="54">
        <f t="shared" si="104"/>
        <v>103.5552</v>
      </c>
      <c r="N286" s="54">
        <f t="shared" si="104"/>
        <v>28.60935</v>
      </c>
      <c r="O286" s="54">
        <f t="shared" si="104"/>
        <v>53.71485</v>
      </c>
      <c r="P286" s="54">
        <f t="shared" si="104"/>
        <v>26.2815</v>
      </c>
    </row>
    <row r="287">
      <c r="A287" s="13" t="s">
        <v>20</v>
      </c>
      <c r="B287" s="26">
        <v>45607.0</v>
      </c>
      <c r="C287" s="13" t="s">
        <v>25</v>
      </c>
      <c r="D287" s="13">
        <v>3.2</v>
      </c>
      <c r="E287" s="13" t="s">
        <v>22</v>
      </c>
      <c r="F287" s="13">
        <v>3.0</v>
      </c>
      <c r="G287" s="13" t="s">
        <v>55</v>
      </c>
      <c r="H287" s="23">
        <v>18.5689</v>
      </c>
      <c r="I287" s="54">
        <f t="shared" ref="I287:P287" si="105">I71*1.05</f>
        <v>4.38795</v>
      </c>
      <c r="J287" s="54">
        <f t="shared" si="105"/>
        <v>0.1428</v>
      </c>
      <c r="K287" s="54">
        <f t="shared" si="105"/>
        <v>134.35485</v>
      </c>
      <c r="L287" s="54">
        <f t="shared" si="105"/>
        <v>30.2757</v>
      </c>
      <c r="M287" s="54">
        <f t="shared" si="105"/>
        <v>117.9969</v>
      </c>
      <c r="N287" s="54">
        <f t="shared" si="105"/>
        <v>34.89465</v>
      </c>
      <c r="O287" s="54">
        <f t="shared" si="105"/>
        <v>74.79045</v>
      </c>
      <c r="P287" s="54">
        <f t="shared" si="105"/>
        <v>38.91405</v>
      </c>
    </row>
    <row r="288">
      <c r="A288" s="13" t="s">
        <v>20</v>
      </c>
      <c r="B288" s="26">
        <v>45607.0</v>
      </c>
      <c r="C288" s="13" t="s">
        <v>25</v>
      </c>
      <c r="D288" s="13">
        <v>3.3</v>
      </c>
      <c r="E288" s="13" t="s">
        <v>22</v>
      </c>
      <c r="F288" s="13">
        <v>3.0</v>
      </c>
      <c r="G288" s="13" t="s">
        <v>55</v>
      </c>
      <c r="H288" s="23">
        <v>15.3565</v>
      </c>
      <c r="I288" s="54">
        <f t="shared" ref="I288:P288" si="106">I72*1.05</f>
        <v>4.83735</v>
      </c>
      <c r="J288" s="54">
        <f t="shared" si="106"/>
        <v>0.02415</v>
      </c>
      <c r="K288" s="54">
        <f t="shared" si="106"/>
        <v>124.9353</v>
      </c>
      <c r="L288" s="54">
        <f t="shared" si="106"/>
        <v>26.30565</v>
      </c>
      <c r="M288" s="54">
        <f t="shared" si="106"/>
        <v>103.0827</v>
      </c>
      <c r="N288" s="54">
        <f t="shared" si="106"/>
        <v>30.21375</v>
      </c>
      <c r="O288" s="54">
        <f t="shared" si="106"/>
        <v>57.05805</v>
      </c>
      <c r="P288" s="54">
        <f t="shared" si="106"/>
        <v>29.7129</v>
      </c>
    </row>
    <row r="289">
      <c r="A289" s="13" t="s">
        <v>20</v>
      </c>
      <c r="B289" s="26">
        <v>45607.0</v>
      </c>
      <c r="C289" s="13" t="s">
        <v>25</v>
      </c>
      <c r="D289" s="13">
        <v>3.4</v>
      </c>
      <c r="E289" s="13" t="s">
        <v>22</v>
      </c>
      <c r="F289" s="13">
        <v>3.0</v>
      </c>
      <c r="G289" s="13" t="s">
        <v>55</v>
      </c>
      <c r="H289" s="23">
        <v>18.308</v>
      </c>
      <c r="I289" s="54">
        <f t="shared" ref="I289:P289" si="107">I73*1.05</f>
        <v>5.62065</v>
      </c>
      <c r="J289" s="54">
        <f t="shared" si="107"/>
        <v>0.05985</v>
      </c>
      <c r="K289" s="54">
        <f t="shared" si="107"/>
        <v>123.4569</v>
      </c>
      <c r="L289" s="54">
        <f t="shared" si="107"/>
        <v>25.67145</v>
      </c>
      <c r="M289" s="54">
        <f t="shared" si="107"/>
        <v>101.3166</v>
      </c>
      <c r="N289" s="54">
        <f t="shared" si="107"/>
        <v>29.1375</v>
      </c>
      <c r="O289" s="54">
        <f t="shared" si="107"/>
        <v>55.36545</v>
      </c>
      <c r="P289" s="54">
        <f t="shared" si="107"/>
        <v>28.0056</v>
      </c>
    </row>
    <row r="290">
      <c r="A290" s="13" t="s">
        <v>20</v>
      </c>
      <c r="B290" s="26">
        <v>45972.0</v>
      </c>
      <c r="C290" s="13" t="s">
        <v>21</v>
      </c>
      <c r="D290" s="13">
        <v>4.1</v>
      </c>
      <c r="E290" s="13" t="s">
        <v>27</v>
      </c>
      <c r="F290" s="13">
        <v>2.0</v>
      </c>
      <c r="G290" s="13" t="s">
        <v>54</v>
      </c>
      <c r="H290" s="23">
        <v>8.347</v>
      </c>
      <c r="I290" s="54">
        <f t="shared" ref="I290:P290" si="108">I74*1.02</f>
        <v>1.95432</v>
      </c>
      <c r="J290" s="54">
        <f t="shared" si="108"/>
        <v>0.0051</v>
      </c>
      <c r="K290" s="54">
        <f t="shared" si="108"/>
        <v>133.45578</v>
      </c>
      <c r="L290" s="54">
        <f t="shared" si="108"/>
        <v>26.8923</v>
      </c>
      <c r="M290" s="54">
        <f t="shared" si="108"/>
        <v>116.10558</v>
      </c>
      <c r="N290" s="54">
        <f t="shared" si="108"/>
        <v>26.58222</v>
      </c>
      <c r="O290" s="54">
        <f t="shared" si="108"/>
        <v>82.44354</v>
      </c>
      <c r="P290" s="54">
        <f t="shared" si="108"/>
        <v>28.9731</v>
      </c>
    </row>
    <row r="291">
      <c r="A291" s="13" t="s">
        <v>20</v>
      </c>
      <c r="B291" s="26">
        <v>45972.0</v>
      </c>
      <c r="C291" s="13" t="s">
        <v>21</v>
      </c>
      <c r="D291" s="13">
        <v>4.2</v>
      </c>
      <c r="E291" s="13" t="s">
        <v>27</v>
      </c>
      <c r="F291" s="13">
        <v>2.0</v>
      </c>
      <c r="G291" s="13" t="s">
        <v>54</v>
      </c>
      <c r="H291" s="23">
        <v>8.6</v>
      </c>
      <c r="I291" s="54">
        <f t="shared" ref="I291:P291" si="109">I75*1.02</f>
        <v>2.09406</v>
      </c>
      <c r="J291" s="54">
        <f t="shared" si="109"/>
        <v>0.02754</v>
      </c>
      <c r="K291" s="54">
        <f t="shared" si="109"/>
        <v>128.12322</v>
      </c>
      <c r="L291" s="54">
        <f t="shared" si="109"/>
        <v>21.11502</v>
      </c>
      <c r="M291" s="54">
        <f t="shared" si="109"/>
        <v>110.07024</v>
      </c>
      <c r="N291" s="54">
        <f t="shared" si="109"/>
        <v>23.79456</v>
      </c>
      <c r="O291" s="54">
        <f t="shared" si="109"/>
        <v>80.62794</v>
      </c>
      <c r="P291" s="54">
        <f t="shared" si="109"/>
        <v>28.05102</v>
      </c>
    </row>
    <row r="292">
      <c r="A292" s="13" t="s">
        <v>20</v>
      </c>
      <c r="B292" s="26">
        <v>45972.0</v>
      </c>
      <c r="C292" s="13" t="s">
        <v>21</v>
      </c>
      <c r="D292" s="13">
        <v>4.3</v>
      </c>
      <c r="E292" s="13" t="s">
        <v>27</v>
      </c>
      <c r="F292" s="13">
        <v>2.0</v>
      </c>
      <c r="G292" s="13" t="s">
        <v>54</v>
      </c>
      <c r="H292" s="23">
        <v>8.324</v>
      </c>
      <c r="I292" s="54">
        <f t="shared" ref="I292:P292" si="110">I76*1.02</f>
        <v>1.66158</v>
      </c>
      <c r="J292" s="54">
        <f t="shared" si="110"/>
        <v>0.03774</v>
      </c>
      <c r="K292" s="54">
        <f t="shared" si="110"/>
        <v>128.6781</v>
      </c>
      <c r="L292" s="54">
        <f t="shared" si="110"/>
        <v>21.60054</v>
      </c>
      <c r="M292" s="54">
        <f t="shared" si="110"/>
        <v>116.2953</v>
      </c>
      <c r="N292" s="54">
        <f t="shared" si="110"/>
        <v>25.43472</v>
      </c>
      <c r="O292" s="54">
        <f t="shared" si="110"/>
        <v>90.09966</v>
      </c>
      <c r="P292" s="54">
        <f t="shared" si="110"/>
        <v>32.89602</v>
      </c>
    </row>
    <row r="293">
      <c r="A293" s="13" t="s">
        <v>20</v>
      </c>
      <c r="B293" s="26">
        <v>45972.0</v>
      </c>
      <c r="C293" s="13" t="s">
        <v>21</v>
      </c>
      <c r="D293" s="13">
        <v>4.4</v>
      </c>
      <c r="E293" s="13" t="s">
        <v>27</v>
      </c>
      <c r="F293" s="13">
        <v>2.0</v>
      </c>
      <c r="G293" s="13" t="s">
        <v>54</v>
      </c>
      <c r="H293" s="23">
        <v>7.6093</v>
      </c>
      <c r="I293" s="54">
        <f t="shared" ref="I293:P293" si="111">I77*1.02</f>
        <v>2.14914</v>
      </c>
      <c r="J293" s="54">
        <f t="shared" si="111"/>
        <v>0.02244</v>
      </c>
      <c r="K293" s="54">
        <f t="shared" si="111"/>
        <v>136.41684</v>
      </c>
      <c r="L293" s="54">
        <f t="shared" si="111"/>
        <v>25.95594</v>
      </c>
      <c r="M293" s="54">
        <f t="shared" si="111"/>
        <v>118.67598</v>
      </c>
      <c r="N293" s="54">
        <f t="shared" si="111"/>
        <v>27.84396</v>
      </c>
      <c r="O293" s="54">
        <f t="shared" si="111"/>
        <v>90.44646</v>
      </c>
      <c r="P293" s="54">
        <f t="shared" si="111"/>
        <v>27.9531</v>
      </c>
    </row>
    <row r="294">
      <c r="A294" s="13" t="s">
        <v>20</v>
      </c>
      <c r="B294" s="26">
        <v>45972.0</v>
      </c>
      <c r="C294" s="13" t="s">
        <v>21</v>
      </c>
      <c r="D294" s="13">
        <v>5.1</v>
      </c>
      <c r="E294" s="13" t="s">
        <v>27</v>
      </c>
      <c r="F294" s="13">
        <v>2.0</v>
      </c>
      <c r="G294" s="13" t="s">
        <v>54</v>
      </c>
      <c r="H294" s="23">
        <v>8.985</v>
      </c>
      <c r="I294" s="54">
        <f t="shared" ref="I294:P294" si="112">I78*1.02</f>
        <v>2.18178</v>
      </c>
      <c r="J294" s="54">
        <f t="shared" si="112"/>
        <v>0.0204</v>
      </c>
      <c r="K294" s="54">
        <f t="shared" si="112"/>
        <v>109.96008</v>
      </c>
      <c r="L294" s="54">
        <f t="shared" si="112"/>
        <v>43.36326</v>
      </c>
      <c r="M294" s="54">
        <f t="shared" si="112"/>
        <v>90.01908</v>
      </c>
      <c r="N294" s="54">
        <f t="shared" si="112"/>
        <v>55.62162</v>
      </c>
      <c r="O294" s="54">
        <f t="shared" si="112"/>
        <v>76.7295</v>
      </c>
      <c r="P294" s="54">
        <f t="shared" si="112"/>
        <v>44.97996</v>
      </c>
    </row>
    <row r="295">
      <c r="A295" s="13" t="s">
        <v>20</v>
      </c>
      <c r="B295" s="26">
        <v>45972.0</v>
      </c>
      <c r="C295" s="13" t="s">
        <v>21</v>
      </c>
      <c r="D295" s="13">
        <v>5.2</v>
      </c>
      <c r="E295" s="13" t="s">
        <v>27</v>
      </c>
      <c r="F295" s="13">
        <v>2.0</v>
      </c>
      <c r="G295" s="13" t="s">
        <v>54</v>
      </c>
      <c r="H295" s="23">
        <v>9.514</v>
      </c>
      <c r="I295" s="54">
        <f t="shared" ref="I295:P295" si="113">I79*1.02</f>
        <v>2.94678</v>
      </c>
      <c r="J295" s="54">
        <f t="shared" si="113"/>
        <v>0.00408</v>
      </c>
      <c r="K295" s="54">
        <f t="shared" si="113"/>
        <v>106.55634</v>
      </c>
      <c r="L295" s="54">
        <f t="shared" si="113"/>
        <v>32.22078</v>
      </c>
      <c r="M295" s="54">
        <f t="shared" si="113"/>
        <v>81.46842</v>
      </c>
      <c r="N295" s="54">
        <f t="shared" si="113"/>
        <v>34.37604</v>
      </c>
      <c r="O295" s="54">
        <f t="shared" si="113"/>
        <v>64.4079</v>
      </c>
      <c r="P295" s="54">
        <f t="shared" si="113"/>
        <v>30.60816</v>
      </c>
    </row>
    <row r="296">
      <c r="A296" s="13" t="s">
        <v>20</v>
      </c>
      <c r="B296" s="26">
        <v>45972.0</v>
      </c>
      <c r="C296" s="13" t="s">
        <v>21</v>
      </c>
      <c r="D296" s="13">
        <v>5.3</v>
      </c>
      <c r="E296" s="13" t="s">
        <v>27</v>
      </c>
      <c r="F296" s="13">
        <v>2.0</v>
      </c>
      <c r="G296" s="13" t="s">
        <v>54</v>
      </c>
      <c r="H296" s="23">
        <v>9.808</v>
      </c>
      <c r="I296" s="54">
        <f t="shared" ref="I296:P296" si="114">I80*1.02</f>
        <v>2.83356</v>
      </c>
      <c r="J296" s="54">
        <f t="shared" si="114"/>
        <v>0.03264</v>
      </c>
      <c r="K296" s="54">
        <f t="shared" si="114"/>
        <v>108.89112</v>
      </c>
      <c r="L296" s="54">
        <f t="shared" si="114"/>
        <v>39.8616</v>
      </c>
      <c r="M296" s="54">
        <f t="shared" si="114"/>
        <v>85.07616</v>
      </c>
      <c r="N296" s="54">
        <f t="shared" si="114"/>
        <v>40.39098</v>
      </c>
      <c r="O296" s="54">
        <f t="shared" si="114"/>
        <v>60.34422</v>
      </c>
      <c r="P296" s="54">
        <f t="shared" si="114"/>
        <v>36.45684</v>
      </c>
    </row>
    <row r="297">
      <c r="A297" s="13" t="s">
        <v>20</v>
      </c>
      <c r="B297" s="26">
        <v>45972.0</v>
      </c>
      <c r="C297" s="13" t="s">
        <v>21</v>
      </c>
      <c r="D297" s="13">
        <v>5.4</v>
      </c>
      <c r="E297" s="13" t="s">
        <v>27</v>
      </c>
      <c r="F297" s="13">
        <v>2.0</v>
      </c>
      <c r="G297" s="13" t="s">
        <v>54</v>
      </c>
      <c r="H297" s="23">
        <v>8.9352</v>
      </c>
      <c r="I297" s="54">
        <f t="shared" ref="I297:P297" si="115">I81*1.02</f>
        <v>2.56632</v>
      </c>
      <c r="J297" s="54">
        <f t="shared" si="115"/>
        <v>0.04488</v>
      </c>
      <c r="K297" s="54">
        <f t="shared" si="115"/>
        <v>66.59682</v>
      </c>
      <c r="L297" s="54">
        <f t="shared" si="115"/>
        <v>28.7538</v>
      </c>
      <c r="M297" s="54">
        <f t="shared" si="115"/>
        <v>50.36862</v>
      </c>
      <c r="N297" s="54">
        <f t="shared" si="115"/>
        <v>27.16464</v>
      </c>
      <c r="O297" s="54">
        <f t="shared" si="115"/>
        <v>43.25922</v>
      </c>
      <c r="P297" s="54">
        <f t="shared" si="115"/>
        <v>25.20318</v>
      </c>
    </row>
    <row r="298">
      <c r="A298" s="13" t="s">
        <v>20</v>
      </c>
      <c r="B298" s="26">
        <v>45972.0</v>
      </c>
      <c r="C298" s="13" t="s">
        <v>21</v>
      </c>
      <c r="D298" s="13">
        <v>6.1</v>
      </c>
      <c r="E298" s="13" t="s">
        <v>27</v>
      </c>
      <c r="F298" s="13">
        <v>2.0</v>
      </c>
      <c r="G298" s="13" t="s">
        <v>54</v>
      </c>
      <c r="H298" s="23">
        <v>8.958</v>
      </c>
      <c r="I298" s="54">
        <f t="shared" ref="I298:P298" si="116">I82*1.02</f>
        <v>3.46086</v>
      </c>
      <c r="J298" s="54">
        <f t="shared" si="116"/>
        <v>0.04386</v>
      </c>
      <c r="K298" s="54">
        <f t="shared" si="116"/>
        <v>119.73372</v>
      </c>
      <c r="L298" s="54">
        <f t="shared" si="116"/>
        <v>41.52216</v>
      </c>
      <c r="M298" s="54">
        <f t="shared" si="116"/>
        <v>93.88998</v>
      </c>
      <c r="N298" s="54">
        <f t="shared" si="116"/>
        <v>39.29346</v>
      </c>
      <c r="O298" s="54">
        <f t="shared" si="116"/>
        <v>62.36892</v>
      </c>
      <c r="P298" s="54">
        <f t="shared" si="116"/>
        <v>33.83442</v>
      </c>
    </row>
    <row r="299">
      <c r="A299" s="13" t="s">
        <v>20</v>
      </c>
      <c r="B299" s="26">
        <v>45972.0</v>
      </c>
      <c r="C299" s="13" t="s">
        <v>21</v>
      </c>
      <c r="D299" s="13">
        <v>6.2</v>
      </c>
      <c r="E299" s="13" t="s">
        <v>27</v>
      </c>
      <c r="F299" s="13">
        <v>2.0</v>
      </c>
      <c r="G299" s="13" t="s">
        <v>54</v>
      </c>
      <c r="H299" s="23">
        <v>7.962</v>
      </c>
      <c r="I299" s="54">
        <f t="shared" ref="I299:P299" si="117">I83*1.02</f>
        <v>2.1675</v>
      </c>
      <c r="J299" s="54">
        <f t="shared" si="117"/>
        <v>0.0408</v>
      </c>
      <c r="K299" s="54">
        <f t="shared" si="117"/>
        <v>128.56182</v>
      </c>
      <c r="L299" s="54">
        <f t="shared" si="117"/>
        <v>31.926</v>
      </c>
      <c r="M299" s="54">
        <f t="shared" si="117"/>
        <v>106.30134</v>
      </c>
      <c r="N299" s="54">
        <f t="shared" si="117"/>
        <v>31.88928</v>
      </c>
      <c r="O299" s="54">
        <f t="shared" si="117"/>
        <v>65.45544</v>
      </c>
      <c r="P299" s="54">
        <f t="shared" si="117"/>
        <v>31.76688</v>
      </c>
    </row>
    <row r="300">
      <c r="A300" s="13" t="s">
        <v>20</v>
      </c>
      <c r="B300" s="26">
        <v>45972.0</v>
      </c>
      <c r="C300" s="13" t="s">
        <v>21</v>
      </c>
      <c r="D300" s="13">
        <v>6.3</v>
      </c>
      <c r="E300" s="13" t="s">
        <v>27</v>
      </c>
      <c r="F300" s="13">
        <v>2.0</v>
      </c>
      <c r="G300" s="13" t="s">
        <v>54</v>
      </c>
      <c r="H300" s="23">
        <v>8.596</v>
      </c>
      <c r="I300" s="54">
        <f t="shared" ref="I300:P300" si="118">I84*1.02</f>
        <v>2.22156</v>
      </c>
      <c r="J300" s="54">
        <f t="shared" si="118"/>
        <v>0.04386</v>
      </c>
      <c r="K300" s="54">
        <f t="shared" si="118"/>
        <v>131.68302</v>
      </c>
      <c r="L300" s="54">
        <f t="shared" si="118"/>
        <v>32.65632</v>
      </c>
      <c r="M300" s="54">
        <f t="shared" si="118"/>
        <v>110.08554</v>
      </c>
      <c r="N300" s="54">
        <f t="shared" si="118"/>
        <v>31.42722</v>
      </c>
      <c r="O300" s="54">
        <f t="shared" si="118"/>
        <v>74.32332</v>
      </c>
      <c r="P300" s="54">
        <f t="shared" si="118"/>
        <v>32.20752</v>
      </c>
    </row>
    <row r="301">
      <c r="A301" s="13" t="s">
        <v>20</v>
      </c>
      <c r="B301" s="26">
        <v>45972.0</v>
      </c>
      <c r="C301" s="13" t="s">
        <v>21</v>
      </c>
      <c r="D301" s="13">
        <v>6.4</v>
      </c>
      <c r="E301" s="13" t="s">
        <v>27</v>
      </c>
      <c r="F301" s="13">
        <v>2.0</v>
      </c>
      <c r="G301" s="13" t="s">
        <v>54</v>
      </c>
      <c r="H301" s="23">
        <v>8.0069</v>
      </c>
      <c r="I301" s="54">
        <f t="shared" ref="I301:P301" si="119">I85*1.02</f>
        <v>2.29398</v>
      </c>
      <c r="J301" s="54">
        <f t="shared" si="119"/>
        <v>0.05508</v>
      </c>
      <c r="K301" s="54">
        <f t="shared" si="119"/>
        <v>109.48578</v>
      </c>
      <c r="L301" s="54">
        <f t="shared" si="119"/>
        <v>28.45392</v>
      </c>
      <c r="M301" s="54">
        <f t="shared" si="119"/>
        <v>90.54132</v>
      </c>
      <c r="N301" s="54">
        <f t="shared" si="119"/>
        <v>29.40864</v>
      </c>
      <c r="O301" s="54">
        <f t="shared" si="119"/>
        <v>54.13752</v>
      </c>
      <c r="P301" s="54">
        <f t="shared" si="119"/>
        <v>27.67056</v>
      </c>
    </row>
    <row r="302">
      <c r="A302" s="13" t="s">
        <v>20</v>
      </c>
      <c r="B302" s="26">
        <v>45972.0</v>
      </c>
      <c r="C302" s="13" t="s">
        <v>24</v>
      </c>
      <c r="D302" s="13">
        <v>4.1</v>
      </c>
      <c r="E302" s="13" t="s">
        <v>27</v>
      </c>
      <c r="F302" s="13">
        <v>2.0</v>
      </c>
      <c r="G302" s="13" t="s">
        <v>54</v>
      </c>
      <c r="H302" s="23">
        <v>12.255</v>
      </c>
      <c r="I302" s="54">
        <f t="shared" ref="I302:P302" si="120">I86*1.02</f>
        <v>5.25198</v>
      </c>
      <c r="J302" s="54">
        <f t="shared" si="120"/>
        <v>0.04182</v>
      </c>
      <c r="K302" s="54">
        <f t="shared" si="120"/>
        <v>150.858</v>
      </c>
      <c r="L302" s="54">
        <f t="shared" si="120"/>
        <v>12.41034</v>
      </c>
      <c r="M302" s="54">
        <f t="shared" si="120"/>
        <v>125.72418</v>
      </c>
      <c r="N302" s="54">
        <f t="shared" si="120"/>
        <v>14.4636</v>
      </c>
      <c r="O302" s="54">
        <f t="shared" si="120"/>
        <v>89.41116</v>
      </c>
      <c r="P302" s="54">
        <f t="shared" si="120"/>
        <v>18.91182</v>
      </c>
    </row>
    <row r="303">
      <c r="A303" s="13" t="s">
        <v>20</v>
      </c>
      <c r="B303" s="26">
        <v>45972.0</v>
      </c>
      <c r="C303" s="13" t="s">
        <v>24</v>
      </c>
      <c r="D303" s="13">
        <v>4.2</v>
      </c>
      <c r="E303" s="13" t="s">
        <v>27</v>
      </c>
      <c r="F303" s="13">
        <v>2.0</v>
      </c>
      <c r="G303" s="13" t="s">
        <v>54</v>
      </c>
      <c r="H303" s="23">
        <v>13.025</v>
      </c>
      <c r="I303" s="54">
        <f t="shared" ref="I303:P303" si="121">I87*1.02</f>
        <v>5.91192</v>
      </c>
      <c r="J303" s="54">
        <f t="shared" si="121"/>
        <v>0.0408</v>
      </c>
      <c r="K303" s="54">
        <f t="shared" si="121"/>
        <v>143.27328</v>
      </c>
      <c r="L303" s="54">
        <f t="shared" si="121"/>
        <v>11.067</v>
      </c>
      <c r="M303" s="54">
        <f t="shared" si="121"/>
        <v>118.28124</v>
      </c>
      <c r="N303" s="54">
        <f t="shared" si="121"/>
        <v>13.0917</v>
      </c>
      <c r="O303" s="54">
        <f t="shared" si="121"/>
        <v>82.93008</v>
      </c>
      <c r="P303" s="54">
        <f t="shared" si="121"/>
        <v>17.16456</v>
      </c>
    </row>
    <row r="304">
      <c r="A304" s="13" t="s">
        <v>20</v>
      </c>
      <c r="B304" s="26">
        <v>45972.0</v>
      </c>
      <c r="C304" s="13" t="s">
        <v>24</v>
      </c>
      <c r="D304" s="13">
        <v>4.3</v>
      </c>
      <c r="E304" s="13" t="s">
        <v>27</v>
      </c>
      <c r="F304" s="13">
        <v>2.0</v>
      </c>
      <c r="G304" s="13" t="s">
        <v>54</v>
      </c>
      <c r="H304" s="23">
        <v>13.296</v>
      </c>
      <c r="I304" s="54">
        <f t="shared" ref="I304:P304" si="122">I88*1.02</f>
        <v>6.72384</v>
      </c>
      <c r="J304" s="54">
        <f t="shared" si="122"/>
        <v>0.03162</v>
      </c>
      <c r="K304" s="54">
        <f t="shared" si="122"/>
        <v>146.68008</v>
      </c>
      <c r="L304" s="54">
        <f t="shared" si="122"/>
        <v>10.863</v>
      </c>
      <c r="M304" s="54">
        <f t="shared" si="122"/>
        <v>122.85288</v>
      </c>
      <c r="N304" s="54">
        <f t="shared" si="122"/>
        <v>13.54662</v>
      </c>
      <c r="O304" s="54">
        <f t="shared" si="122"/>
        <v>87.29466</v>
      </c>
      <c r="P304" s="54">
        <f t="shared" si="122"/>
        <v>17.7888</v>
      </c>
    </row>
    <row r="305">
      <c r="A305" s="13" t="s">
        <v>20</v>
      </c>
      <c r="B305" s="26">
        <v>45972.0</v>
      </c>
      <c r="C305" s="13" t="s">
        <v>24</v>
      </c>
      <c r="D305" s="13">
        <v>4.4</v>
      </c>
      <c r="E305" s="13" t="s">
        <v>27</v>
      </c>
      <c r="F305" s="13">
        <v>2.0</v>
      </c>
      <c r="G305" s="13" t="s">
        <v>54</v>
      </c>
      <c r="H305" s="23">
        <v>12.8728</v>
      </c>
      <c r="I305" s="54">
        <f t="shared" ref="I305:P305" si="123">I89*1.02</f>
        <v>5.99964</v>
      </c>
      <c r="J305" s="54">
        <f t="shared" si="123"/>
        <v>0.0459</v>
      </c>
      <c r="K305" s="54">
        <f t="shared" si="123"/>
        <v>133.33236</v>
      </c>
      <c r="L305" s="54">
        <f t="shared" si="123"/>
        <v>11.20674</v>
      </c>
      <c r="M305" s="54">
        <f t="shared" si="123"/>
        <v>108.69936</v>
      </c>
      <c r="N305" s="54">
        <f t="shared" si="123"/>
        <v>12.75408</v>
      </c>
      <c r="O305" s="54">
        <f t="shared" si="123"/>
        <v>66.93954</v>
      </c>
      <c r="P305" s="54">
        <f t="shared" si="123"/>
        <v>14.06478</v>
      </c>
    </row>
    <row r="306">
      <c r="A306" s="13" t="s">
        <v>20</v>
      </c>
      <c r="B306" s="26">
        <v>45972.0</v>
      </c>
      <c r="C306" s="13" t="s">
        <v>24</v>
      </c>
      <c r="D306" s="13">
        <v>5.1</v>
      </c>
      <c r="E306" s="13" t="s">
        <v>27</v>
      </c>
      <c r="F306" s="13">
        <v>2.0</v>
      </c>
      <c r="G306" s="13" t="s">
        <v>54</v>
      </c>
      <c r="H306" s="23">
        <v>9.965</v>
      </c>
      <c r="I306" s="54">
        <f t="shared" ref="I306:P306" si="124">I90*1.02</f>
        <v>4.52982</v>
      </c>
      <c r="J306" s="54">
        <f t="shared" si="124"/>
        <v>0.07242</v>
      </c>
      <c r="K306" s="54">
        <f t="shared" si="124"/>
        <v>134.40132</v>
      </c>
      <c r="L306" s="54">
        <f t="shared" si="124"/>
        <v>25.56528</v>
      </c>
      <c r="M306" s="54">
        <f t="shared" si="124"/>
        <v>130.3509</v>
      </c>
      <c r="N306" s="54">
        <f t="shared" si="124"/>
        <v>23.307</v>
      </c>
      <c r="O306" s="54">
        <f t="shared" si="124"/>
        <v>88.28508</v>
      </c>
      <c r="P306" s="54">
        <f t="shared" si="124"/>
        <v>32.46864</v>
      </c>
    </row>
    <row r="307">
      <c r="A307" s="13" t="s">
        <v>20</v>
      </c>
      <c r="B307" s="26">
        <v>45972.0</v>
      </c>
      <c r="C307" s="13" t="s">
        <v>24</v>
      </c>
      <c r="D307" s="13">
        <v>5.2</v>
      </c>
      <c r="E307" s="13" t="s">
        <v>27</v>
      </c>
      <c r="F307" s="13">
        <v>2.0</v>
      </c>
      <c r="G307" s="13" t="s">
        <v>54</v>
      </c>
      <c r="H307" s="23">
        <v>9.021</v>
      </c>
      <c r="I307" s="54">
        <f t="shared" ref="I307:P307" si="125">I91*1.02</f>
        <v>3.33438</v>
      </c>
      <c r="J307" s="54">
        <f t="shared" si="125"/>
        <v>0.03264</v>
      </c>
      <c r="K307" s="54">
        <f t="shared" si="125"/>
        <v>131.172</v>
      </c>
      <c r="L307" s="54">
        <f t="shared" si="125"/>
        <v>16.4271</v>
      </c>
      <c r="M307" s="54">
        <f t="shared" si="125"/>
        <v>124.29618</v>
      </c>
      <c r="N307" s="54">
        <f t="shared" si="125"/>
        <v>17.3196</v>
      </c>
      <c r="O307" s="54">
        <f t="shared" si="125"/>
        <v>81.57552</v>
      </c>
      <c r="P307" s="54">
        <f t="shared" si="125"/>
        <v>26.30172</v>
      </c>
    </row>
    <row r="308">
      <c r="A308" s="13" t="s">
        <v>20</v>
      </c>
      <c r="B308" s="26">
        <v>45972.0</v>
      </c>
      <c r="C308" s="13" t="s">
        <v>24</v>
      </c>
      <c r="D308" s="13">
        <v>5.3</v>
      </c>
      <c r="E308" s="13" t="s">
        <v>27</v>
      </c>
      <c r="F308" s="13">
        <v>2.0</v>
      </c>
      <c r="G308" s="13" t="s">
        <v>54</v>
      </c>
      <c r="H308" s="23">
        <v>9.584</v>
      </c>
      <c r="I308" s="54">
        <f t="shared" ref="I308:P308" si="126">I92*1.02</f>
        <v>3.9372</v>
      </c>
      <c r="J308" s="54">
        <f t="shared" si="126"/>
        <v>0.03672</v>
      </c>
      <c r="K308" s="54">
        <f t="shared" si="126"/>
        <v>141.00582</v>
      </c>
      <c r="L308" s="54">
        <f t="shared" si="126"/>
        <v>19.12704</v>
      </c>
      <c r="M308" s="54">
        <f t="shared" si="126"/>
        <v>134.34726</v>
      </c>
      <c r="N308" s="54">
        <f t="shared" si="126"/>
        <v>18.61398</v>
      </c>
      <c r="O308" s="54">
        <f t="shared" si="126"/>
        <v>85.578</v>
      </c>
      <c r="P308" s="54">
        <f t="shared" si="126"/>
        <v>27.36048</v>
      </c>
    </row>
    <row r="309">
      <c r="A309" s="13" t="s">
        <v>20</v>
      </c>
      <c r="B309" s="26">
        <v>45972.0</v>
      </c>
      <c r="C309" s="13" t="s">
        <v>24</v>
      </c>
      <c r="D309" s="13">
        <v>5.4</v>
      </c>
      <c r="E309" s="13" t="s">
        <v>27</v>
      </c>
      <c r="F309" s="13">
        <v>2.0</v>
      </c>
      <c r="G309" s="13" t="s">
        <v>54</v>
      </c>
      <c r="H309" s="23">
        <v>9.7634</v>
      </c>
      <c r="I309" s="54">
        <f t="shared" ref="I309:P309" si="127">I93*1.02</f>
        <v>3.88416</v>
      </c>
      <c r="J309" s="54">
        <f t="shared" si="127"/>
        <v>0.0153</v>
      </c>
      <c r="K309" s="54">
        <f t="shared" si="127"/>
        <v>130.79766</v>
      </c>
      <c r="L309" s="54">
        <f t="shared" si="127"/>
        <v>13.30692</v>
      </c>
      <c r="M309" s="54">
        <f t="shared" si="127"/>
        <v>116.60028</v>
      </c>
      <c r="N309" s="54">
        <f t="shared" si="127"/>
        <v>16.27818</v>
      </c>
      <c r="O309" s="54">
        <f t="shared" si="127"/>
        <v>83.69202</v>
      </c>
      <c r="P309" s="54">
        <f t="shared" si="127"/>
        <v>24.6228</v>
      </c>
    </row>
    <row r="310">
      <c r="A310" s="13" t="s">
        <v>20</v>
      </c>
      <c r="B310" s="26">
        <v>45972.0</v>
      </c>
      <c r="C310" s="13" t="s">
        <v>24</v>
      </c>
      <c r="D310" s="13">
        <v>6.1</v>
      </c>
      <c r="E310" s="13" t="s">
        <v>27</v>
      </c>
      <c r="F310" s="13">
        <v>2.0</v>
      </c>
      <c r="G310" s="13" t="s">
        <v>54</v>
      </c>
      <c r="H310" s="23">
        <v>12.24</v>
      </c>
      <c r="I310" s="54">
        <f t="shared" ref="I310:P310" si="128">I94*1.02</f>
        <v>5.8956</v>
      </c>
      <c r="J310" s="54">
        <f t="shared" si="128"/>
        <v>0.0357</v>
      </c>
      <c r="K310" s="54">
        <f t="shared" si="128"/>
        <v>144.61866</v>
      </c>
      <c r="L310" s="54">
        <f t="shared" si="128"/>
        <v>18.18762</v>
      </c>
      <c r="M310" s="54">
        <f t="shared" si="128"/>
        <v>121.78392</v>
      </c>
      <c r="N310" s="54">
        <f t="shared" si="128"/>
        <v>18.23556</v>
      </c>
      <c r="O310" s="54">
        <f t="shared" si="128"/>
        <v>87.93216</v>
      </c>
      <c r="P310" s="54">
        <f t="shared" si="128"/>
        <v>24.07608</v>
      </c>
    </row>
    <row r="311">
      <c r="A311" s="13" t="s">
        <v>20</v>
      </c>
      <c r="B311" s="26">
        <v>45972.0</v>
      </c>
      <c r="C311" s="13" t="s">
        <v>24</v>
      </c>
      <c r="D311" s="13">
        <v>6.2</v>
      </c>
      <c r="E311" s="13" t="s">
        <v>27</v>
      </c>
      <c r="F311" s="13">
        <v>2.0</v>
      </c>
      <c r="G311" s="13" t="s">
        <v>54</v>
      </c>
      <c r="H311" s="23">
        <v>11.751</v>
      </c>
      <c r="I311" s="54">
        <f t="shared" ref="I311:P311" si="129">I95*1.02</f>
        <v>6.28218</v>
      </c>
      <c r="J311" s="54">
        <f t="shared" si="129"/>
        <v>0.02958</v>
      </c>
      <c r="K311" s="54">
        <f t="shared" si="129"/>
        <v>168.15516</v>
      </c>
      <c r="L311" s="54">
        <f t="shared" si="129"/>
        <v>19.59726</v>
      </c>
      <c r="M311" s="54">
        <f t="shared" si="129"/>
        <v>140.39178</v>
      </c>
      <c r="N311" s="54">
        <f t="shared" si="129"/>
        <v>19.79004</v>
      </c>
      <c r="O311" s="54">
        <f t="shared" si="129"/>
        <v>94.80288</v>
      </c>
      <c r="P311" s="54">
        <f t="shared" si="129"/>
        <v>25.99776</v>
      </c>
    </row>
    <row r="312">
      <c r="A312" s="13" t="s">
        <v>20</v>
      </c>
      <c r="B312" s="26">
        <v>45972.0</v>
      </c>
      <c r="C312" s="13" t="s">
        <v>24</v>
      </c>
      <c r="D312" s="13">
        <v>6.3</v>
      </c>
      <c r="E312" s="13" t="s">
        <v>27</v>
      </c>
      <c r="F312" s="13">
        <v>2.0</v>
      </c>
      <c r="G312" s="13" t="s">
        <v>54</v>
      </c>
      <c r="H312" s="23">
        <v>11.696</v>
      </c>
      <c r="I312" s="54">
        <f t="shared" ref="I312:P312" si="130">I96*1.02</f>
        <v>5.10102</v>
      </c>
      <c r="J312" s="54">
        <f t="shared" si="130"/>
        <v>0.05406</v>
      </c>
      <c r="K312" s="54">
        <f t="shared" si="130"/>
        <v>163.68246</v>
      </c>
      <c r="L312" s="54">
        <f t="shared" si="130"/>
        <v>14.32998</v>
      </c>
      <c r="M312" s="54">
        <f t="shared" si="130"/>
        <v>133.92804</v>
      </c>
      <c r="N312" s="54">
        <f t="shared" si="130"/>
        <v>14.60946</v>
      </c>
      <c r="O312" s="54">
        <f t="shared" si="130"/>
        <v>92.50074</v>
      </c>
      <c r="P312" s="54">
        <f t="shared" si="130"/>
        <v>20.86002</v>
      </c>
    </row>
    <row r="313">
      <c r="A313" s="13" t="s">
        <v>20</v>
      </c>
      <c r="B313" s="26">
        <v>45972.0</v>
      </c>
      <c r="C313" s="13" t="s">
        <v>24</v>
      </c>
      <c r="D313" s="13">
        <v>6.4</v>
      </c>
      <c r="E313" s="13" t="s">
        <v>27</v>
      </c>
      <c r="F313" s="13">
        <v>2.0</v>
      </c>
      <c r="G313" s="13" t="s">
        <v>54</v>
      </c>
      <c r="H313" s="23">
        <v>11.0871</v>
      </c>
      <c r="I313" s="54">
        <f t="shared" ref="I313:P313" si="131">I97*1.02</f>
        <v>5.05206</v>
      </c>
      <c r="J313" s="54">
        <f t="shared" si="131"/>
        <v>0.05814</v>
      </c>
      <c r="K313" s="54">
        <f t="shared" si="131"/>
        <v>134.1708</v>
      </c>
      <c r="L313" s="54">
        <f t="shared" si="131"/>
        <v>13.87404</v>
      </c>
      <c r="M313" s="54">
        <f t="shared" si="131"/>
        <v>111.86646</v>
      </c>
      <c r="N313" s="54">
        <f t="shared" si="131"/>
        <v>13.14984</v>
      </c>
      <c r="O313" s="54">
        <f t="shared" si="131"/>
        <v>77.65464</v>
      </c>
      <c r="P313" s="54">
        <f t="shared" si="131"/>
        <v>17.79798</v>
      </c>
    </row>
    <row r="314">
      <c r="A314" s="13" t="s">
        <v>20</v>
      </c>
      <c r="B314" s="26">
        <v>45972.0</v>
      </c>
      <c r="C314" s="13" t="s">
        <v>25</v>
      </c>
      <c r="D314" s="13">
        <v>4.1</v>
      </c>
      <c r="E314" s="13" t="s">
        <v>27</v>
      </c>
      <c r="F314" s="13">
        <v>2.0</v>
      </c>
      <c r="G314" s="13" t="s">
        <v>54</v>
      </c>
      <c r="H314" s="23">
        <v>11.956</v>
      </c>
      <c r="I314" s="54">
        <f t="shared" ref="I314:P314" si="132">I98*1.02</f>
        <v>5.40294</v>
      </c>
      <c r="J314" s="54">
        <f t="shared" si="132"/>
        <v>0.02244</v>
      </c>
      <c r="K314" s="54">
        <f t="shared" si="132"/>
        <v>152.11056</v>
      </c>
      <c r="L314" s="54">
        <f t="shared" si="132"/>
        <v>32.01372</v>
      </c>
      <c r="M314" s="54">
        <f t="shared" si="132"/>
        <v>135.93846</v>
      </c>
      <c r="N314" s="54">
        <f t="shared" si="132"/>
        <v>30.95904</v>
      </c>
      <c r="O314" s="54">
        <f t="shared" si="132"/>
        <v>94.3704</v>
      </c>
      <c r="P314" s="54">
        <f t="shared" si="132"/>
        <v>27.36048</v>
      </c>
    </row>
    <row r="315">
      <c r="A315" s="13" t="s">
        <v>20</v>
      </c>
      <c r="B315" s="26">
        <v>45972.0</v>
      </c>
      <c r="C315" s="13" t="s">
        <v>25</v>
      </c>
      <c r="D315" s="13">
        <v>4.2</v>
      </c>
      <c r="E315" s="13" t="s">
        <v>27</v>
      </c>
      <c r="F315" s="13">
        <v>2.0</v>
      </c>
      <c r="G315" s="13" t="s">
        <v>54</v>
      </c>
      <c r="H315" s="23">
        <v>10.358</v>
      </c>
      <c r="I315" s="54">
        <f t="shared" ref="I315:P315" si="133">I99*1.02</f>
        <v>3.63018</v>
      </c>
      <c r="J315" s="54">
        <f t="shared" si="133"/>
        <v>0.04182</v>
      </c>
      <c r="K315" s="54">
        <f t="shared" si="133"/>
        <v>142.86936</v>
      </c>
      <c r="L315" s="54">
        <f t="shared" si="133"/>
        <v>31.8393</v>
      </c>
      <c r="M315" s="54">
        <f t="shared" si="133"/>
        <v>129.84906</v>
      </c>
      <c r="N315" s="54">
        <f t="shared" si="133"/>
        <v>31.91274</v>
      </c>
      <c r="O315" s="54">
        <f t="shared" si="133"/>
        <v>94.51422</v>
      </c>
      <c r="P315" s="54">
        <f t="shared" si="133"/>
        <v>30.0186</v>
      </c>
    </row>
    <row r="316">
      <c r="A316" s="13" t="s">
        <v>20</v>
      </c>
      <c r="B316" s="26">
        <v>45972.0</v>
      </c>
      <c r="C316" s="13" t="s">
        <v>25</v>
      </c>
      <c r="D316" s="13">
        <v>4.3</v>
      </c>
      <c r="E316" s="13" t="s">
        <v>27</v>
      </c>
      <c r="F316" s="13">
        <v>2.0</v>
      </c>
      <c r="G316" s="13" t="s">
        <v>54</v>
      </c>
      <c r="H316" s="23">
        <v>12.419</v>
      </c>
      <c r="I316" s="54">
        <f t="shared" ref="I316:P316" si="134">I100*1.02</f>
        <v>3.92802</v>
      </c>
      <c r="J316" s="54">
        <f t="shared" si="134"/>
        <v>0.11628</v>
      </c>
      <c r="K316" s="54">
        <f t="shared" si="134"/>
        <v>138.51498</v>
      </c>
      <c r="L316" s="54">
        <f t="shared" si="134"/>
        <v>29.6055</v>
      </c>
      <c r="M316" s="54">
        <f t="shared" si="134"/>
        <v>126.0363</v>
      </c>
      <c r="N316" s="54">
        <f t="shared" si="134"/>
        <v>30.03288</v>
      </c>
      <c r="O316" s="54">
        <f t="shared" si="134"/>
        <v>89.9028</v>
      </c>
      <c r="P316" s="54">
        <f t="shared" si="134"/>
        <v>27.62568</v>
      </c>
    </row>
    <row r="317">
      <c r="A317" s="13" t="s">
        <v>20</v>
      </c>
      <c r="B317" s="26">
        <v>45972.0</v>
      </c>
      <c r="C317" s="13" t="s">
        <v>25</v>
      </c>
      <c r="D317" s="13">
        <v>4.4</v>
      </c>
      <c r="E317" s="13" t="s">
        <v>27</v>
      </c>
      <c r="F317" s="13">
        <v>2.0</v>
      </c>
      <c r="G317" s="13" t="s">
        <v>54</v>
      </c>
      <c r="H317" s="23">
        <v>11.1352</v>
      </c>
      <c r="I317" s="54">
        <f t="shared" ref="I317:P317" si="135">I101*1.02</f>
        <v>4.5084</v>
      </c>
      <c r="J317" s="54">
        <f t="shared" si="135"/>
        <v>0.07956</v>
      </c>
      <c r="K317" s="54">
        <f t="shared" si="135"/>
        <v>119.97138</v>
      </c>
      <c r="L317" s="54">
        <f t="shared" si="135"/>
        <v>28.47126</v>
      </c>
      <c r="M317" s="54">
        <f t="shared" si="135"/>
        <v>107.74056</v>
      </c>
      <c r="N317" s="54">
        <f t="shared" si="135"/>
        <v>27.67974</v>
      </c>
      <c r="O317" s="54">
        <f t="shared" si="135"/>
        <v>75.77988</v>
      </c>
      <c r="P317" s="54">
        <f t="shared" si="135"/>
        <v>24.52488</v>
      </c>
    </row>
    <row r="318">
      <c r="A318" s="13" t="s">
        <v>20</v>
      </c>
      <c r="B318" s="26">
        <v>45972.0</v>
      </c>
      <c r="C318" s="13" t="s">
        <v>25</v>
      </c>
      <c r="D318" s="13">
        <v>5.1</v>
      </c>
      <c r="E318" s="13" t="s">
        <v>27</v>
      </c>
      <c r="F318" s="13">
        <v>2.0</v>
      </c>
      <c r="G318" s="13" t="s">
        <v>54</v>
      </c>
      <c r="H318" s="23">
        <v>9.584</v>
      </c>
      <c r="I318" s="54">
        <f t="shared" ref="I318:P318" si="136">I102*1.02</f>
        <v>2.90496</v>
      </c>
      <c r="J318" s="54">
        <f t="shared" si="136"/>
        <v>0.0357</v>
      </c>
      <c r="K318" s="54">
        <f t="shared" si="136"/>
        <v>155.43168</v>
      </c>
      <c r="L318" s="54">
        <f t="shared" si="136"/>
        <v>28.11324</v>
      </c>
      <c r="M318" s="54">
        <f t="shared" si="136"/>
        <v>137.1543</v>
      </c>
      <c r="N318" s="54">
        <f t="shared" si="136"/>
        <v>28.69668</v>
      </c>
      <c r="O318" s="54">
        <f t="shared" si="136"/>
        <v>95.59848</v>
      </c>
      <c r="P318" s="54">
        <f t="shared" si="136"/>
        <v>27.17994</v>
      </c>
    </row>
    <row r="319">
      <c r="A319" s="13" t="s">
        <v>20</v>
      </c>
      <c r="B319" s="26">
        <v>45972.0</v>
      </c>
      <c r="C319" s="13" t="s">
        <v>25</v>
      </c>
      <c r="D319" s="13">
        <v>5.2</v>
      </c>
      <c r="E319" s="13" t="s">
        <v>27</v>
      </c>
      <c r="F319" s="13">
        <v>2.0</v>
      </c>
      <c r="G319" s="13" t="s">
        <v>54</v>
      </c>
      <c r="H319" s="23">
        <v>9.334</v>
      </c>
      <c r="I319" s="54">
        <f t="shared" ref="I319:P319" si="137">I103*1.02</f>
        <v>2.8713</v>
      </c>
      <c r="J319" s="54">
        <f t="shared" si="137"/>
        <v>0.01734</v>
      </c>
      <c r="K319" s="54">
        <f t="shared" si="137"/>
        <v>166.08354</v>
      </c>
      <c r="L319" s="54">
        <f t="shared" si="137"/>
        <v>28.72728</v>
      </c>
      <c r="M319" s="54">
        <f t="shared" si="137"/>
        <v>148.35594</v>
      </c>
      <c r="N319" s="54">
        <f t="shared" si="137"/>
        <v>30.66528</v>
      </c>
      <c r="O319" s="54">
        <f t="shared" si="137"/>
        <v>107.39478</v>
      </c>
      <c r="P319" s="54">
        <f t="shared" si="137"/>
        <v>32.0331</v>
      </c>
    </row>
    <row r="320">
      <c r="A320" s="13" t="s">
        <v>20</v>
      </c>
      <c r="B320" s="26">
        <v>45972.0</v>
      </c>
      <c r="C320" s="13" t="s">
        <v>25</v>
      </c>
      <c r="D320" s="13">
        <v>5.3</v>
      </c>
      <c r="E320" s="13" t="s">
        <v>27</v>
      </c>
      <c r="F320" s="13">
        <v>2.0</v>
      </c>
      <c r="G320" s="13" t="s">
        <v>54</v>
      </c>
      <c r="H320" s="23">
        <v>9.818</v>
      </c>
      <c r="I320" s="54">
        <f t="shared" ref="I320:P320" si="138">I104*1.02</f>
        <v>3.68526</v>
      </c>
      <c r="J320" s="54">
        <f t="shared" si="138"/>
        <v>0.02652</v>
      </c>
      <c r="K320" s="54">
        <f t="shared" si="138"/>
        <v>136.35972</v>
      </c>
      <c r="L320" s="54">
        <f t="shared" si="138"/>
        <v>33.49884</v>
      </c>
      <c r="M320" s="54">
        <f t="shared" si="138"/>
        <v>120.79044</v>
      </c>
      <c r="N320" s="54">
        <f t="shared" si="138"/>
        <v>35.46744</v>
      </c>
      <c r="O320" s="54">
        <f t="shared" si="138"/>
        <v>88.83486</v>
      </c>
      <c r="P320" s="54">
        <f t="shared" si="138"/>
        <v>35.22366</v>
      </c>
    </row>
    <row r="321">
      <c r="A321" s="13" t="s">
        <v>20</v>
      </c>
      <c r="B321" s="26">
        <v>45972.0</v>
      </c>
      <c r="C321" s="13" t="s">
        <v>25</v>
      </c>
      <c r="D321" s="13">
        <v>5.4</v>
      </c>
      <c r="E321" s="13" t="s">
        <v>27</v>
      </c>
      <c r="F321" s="13">
        <v>2.0</v>
      </c>
      <c r="G321" s="13" t="s">
        <v>54</v>
      </c>
      <c r="H321" s="23">
        <v>10.6118</v>
      </c>
      <c r="I321" s="54">
        <f t="shared" ref="I321:P321" si="139">I105*1.02</f>
        <v>4.00758</v>
      </c>
      <c r="J321" s="54">
        <f t="shared" si="139"/>
        <v>0.0561</v>
      </c>
      <c r="K321" s="54">
        <f t="shared" si="139"/>
        <v>163.21836</v>
      </c>
      <c r="L321" s="54">
        <f t="shared" si="139"/>
        <v>29.56776</v>
      </c>
      <c r="M321" s="54">
        <f t="shared" si="139"/>
        <v>145.55094</v>
      </c>
      <c r="N321" s="54">
        <f t="shared" si="139"/>
        <v>30.47964</v>
      </c>
      <c r="O321" s="54">
        <f t="shared" si="139"/>
        <v>110.0172</v>
      </c>
      <c r="P321" s="54">
        <f t="shared" si="139"/>
        <v>29.19954</v>
      </c>
    </row>
    <row r="322">
      <c r="A322" s="13" t="s">
        <v>20</v>
      </c>
      <c r="B322" s="26">
        <v>45972.0</v>
      </c>
      <c r="C322" s="13" t="s">
        <v>25</v>
      </c>
      <c r="D322" s="13">
        <v>6.1</v>
      </c>
      <c r="E322" s="13" t="s">
        <v>27</v>
      </c>
      <c r="F322" s="13">
        <v>2.0</v>
      </c>
      <c r="G322" s="13" t="s">
        <v>54</v>
      </c>
      <c r="H322" s="23">
        <v>10.422</v>
      </c>
      <c r="I322" s="54">
        <f t="shared" ref="I322:P322" si="140">I106*1.02</f>
        <v>5.36316</v>
      </c>
      <c r="J322" s="54">
        <f t="shared" si="140"/>
        <v>0.02142</v>
      </c>
      <c r="K322" s="54">
        <f t="shared" si="140"/>
        <v>155.97636</v>
      </c>
      <c r="L322" s="54">
        <f t="shared" si="140"/>
        <v>31.58328</v>
      </c>
      <c r="M322" s="54">
        <f t="shared" si="140"/>
        <v>139.04538</v>
      </c>
      <c r="N322" s="54">
        <f t="shared" si="140"/>
        <v>32.83686</v>
      </c>
      <c r="O322" s="54">
        <f t="shared" si="140"/>
        <v>101.19012</v>
      </c>
      <c r="P322" s="54">
        <f t="shared" si="140"/>
        <v>34.54128</v>
      </c>
    </row>
    <row r="323">
      <c r="A323" s="13" t="s">
        <v>20</v>
      </c>
      <c r="B323" s="26">
        <v>45972.0</v>
      </c>
      <c r="C323" s="13" t="s">
        <v>25</v>
      </c>
      <c r="D323" s="13">
        <v>6.2</v>
      </c>
      <c r="E323" s="13" t="s">
        <v>27</v>
      </c>
      <c r="F323" s="13">
        <v>2.0</v>
      </c>
      <c r="G323" s="13" t="s">
        <v>54</v>
      </c>
      <c r="H323" s="23">
        <v>14.281</v>
      </c>
      <c r="I323" s="54">
        <f t="shared" ref="I323:P323" si="141">I107*1.02</f>
        <v>5.34378</v>
      </c>
      <c r="J323" s="54">
        <f t="shared" si="141"/>
        <v>0.03774</v>
      </c>
      <c r="K323" s="54">
        <f t="shared" si="141"/>
        <v>160.14306</v>
      </c>
      <c r="L323" s="54">
        <f t="shared" si="141"/>
        <v>28.61814</v>
      </c>
      <c r="M323" s="54">
        <f t="shared" si="141"/>
        <v>143.29572</v>
      </c>
      <c r="N323" s="54">
        <f t="shared" si="141"/>
        <v>30.61122</v>
      </c>
      <c r="O323" s="54">
        <f t="shared" si="141"/>
        <v>105.4731</v>
      </c>
      <c r="P323" s="54">
        <f t="shared" si="141"/>
        <v>32.4462</v>
      </c>
    </row>
    <row r="324">
      <c r="A324" s="13" t="s">
        <v>20</v>
      </c>
      <c r="B324" s="26">
        <v>45972.0</v>
      </c>
      <c r="C324" s="13" t="s">
        <v>25</v>
      </c>
      <c r="D324" s="13">
        <v>6.3</v>
      </c>
      <c r="E324" s="13" t="s">
        <v>27</v>
      </c>
      <c r="F324" s="13">
        <v>2.0</v>
      </c>
      <c r="G324" s="13" t="s">
        <v>54</v>
      </c>
      <c r="H324" s="23">
        <v>12.84</v>
      </c>
      <c r="I324" s="54">
        <f t="shared" ref="I324:P324" si="142">I108*1.02</f>
        <v>5.33562</v>
      </c>
      <c r="J324" s="54">
        <f t="shared" si="142"/>
        <v>0.09588</v>
      </c>
      <c r="K324" s="54">
        <f t="shared" si="142"/>
        <v>140.5152</v>
      </c>
      <c r="L324" s="54">
        <f t="shared" si="142"/>
        <v>33.45294</v>
      </c>
      <c r="M324" s="54">
        <f t="shared" si="142"/>
        <v>123.17418</v>
      </c>
      <c r="N324" s="54">
        <f t="shared" si="142"/>
        <v>35.72448</v>
      </c>
      <c r="O324" s="54">
        <f t="shared" si="142"/>
        <v>71.70498</v>
      </c>
      <c r="P324" s="54">
        <f t="shared" si="142"/>
        <v>36.69348</v>
      </c>
    </row>
    <row r="325">
      <c r="A325" s="13" t="s">
        <v>20</v>
      </c>
      <c r="B325" s="26">
        <v>45972.0</v>
      </c>
      <c r="C325" s="13" t="s">
        <v>25</v>
      </c>
      <c r="D325" s="13">
        <v>6.4</v>
      </c>
      <c r="E325" s="13" t="s">
        <v>27</v>
      </c>
      <c r="F325" s="13">
        <v>2.0</v>
      </c>
      <c r="G325" s="13" t="s">
        <v>54</v>
      </c>
      <c r="H325" s="23">
        <v>13.9517</v>
      </c>
      <c r="I325" s="54">
        <f t="shared" ref="I325:P325" si="143">I109*1.02</f>
        <v>5.32032</v>
      </c>
      <c r="J325" s="54">
        <f t="shared" si="143"/>
        <v>0.051</v>
      </c>
      <c r="K325" s="54">
        <f t="shared" si="143"/>
        <v>141.44034</v>
      </c>
      <c r="L325" s="54">
        <f t="shared" si="143"/>
        <v>27.6675</v>
      </c>
      <c r="M325" s="54">
        <f t="shared" si="143"/>
        <v>125.81904</v>
      </c>
      <c r="N325" s="54">
        <f t="shared" si="143"/>
        <v>28.2285</v>
      </c>
      <c r="O325" s="54">
        <f t="shared" si="143"/>
        <v>89.41524</v>
      </c>
      <c r="P325" s="54">
        <f t="shared" si="143"/>
        <v>27.53694</v>
      </c>
    </row>
    <row r="326">
      <c r="A326" s="13" t="s">
        <v>20</v>
      </c>
      <c r="B326" s="26">
        <v>45646.0</v>
      </c>
      <c r="C326" s="13" t="s">
        <v>21</v>
      </c>
      <c r="D326" s="13">
        <v>4.1</v>
      </c>
      <c r="E326" s="13" t="s">
        <v>27</v>
      </c>
      <c r="F326" s="13">
        <v>2.0</v>
      </c>
      <c r="G326" s="13" t="s">
        <v>55</v>
      </c>
      <c r="H326" s="23">
        <v>8.2117</v>
      </c>
      <c r="I326" s="54">
        <f t="shared" ref="I326:P326" si="144">I110*1.05</f>
        <v>2.457</v>
      </c>
      <c r="J326" s="54">
        <f t="shared" si="144"/>
        <v>0.09135</v>
      </c>
      <c r="K326" s="54">
        <f t="shared" si="144"/>
        <v>146.69655</v>
      </c>
      <c r="L326" s="54">
        <f t="shared" si="144"/>
        <v>27.3672</v>
      </c>
      <c r="M326" s="54">
        <f t="shared" si="144"/>
        <v>121.0314</v>
      </c>
      <c r="N326" s="54">
        <f t="shared" si="144"/>
        <v>32.48805</v>
      </c>
      <c r="O326" s="54">
        <f t="shared" si="144"/>
        <v>72.61695</v>
      </c>
      <c r="P326" s="54">
        <f t="shared" si="144"/>
        <v>37.47135</v>
      </c>
    </row>
    <row r="327">
      <c r="A327" s="13" t="s">
        <v>20</v>
      </c>
      <c r="B327" s="26">
        <v>45646.0</v>
      </c>
      <c r="C327" s="13" t="s">
        <v>21</v>
      </c>
      <c r="D327" s="13">
        <v>4.2</v>
      </c>
      <c r="E327" s="13" t="s">
        <v>27</v>
      </c>
      <c r="F327" s="13">
        <v>2.0</v>
      </c>
      <c r="G327" s="13" t="s">
        <v>55</v>
      </c>
      <c r="H327" s="23">
        <v>8.6298</v>
      </c>
      <c r="I327" s="54">
        <f t="shared" ref="I327:P327" si="145">I111*1.05</f>
        <v>3.1521</v>
      </c>
      <c r="J327" s="54">
        <f t="shared" si="145"/>
        <v>0.05145</v>
      </c>
      <c r="K327" s="54">
        <f t="shared" si="145"/>
        <v>125.75745</v>
      </c>
      <c r="L327" s="54">
        <f t="shared" si="145"/>
        <v>26.33715</v>
      </c>
      <c r="M327" s="54">
        <f t="shared" si="145"/>
        <v>92.1921</v>
      </c>
      <c r="N327" s="54">
        <f t="shared" si="145"/>
        <v>28.16625</v>
      </c>
      <c r="O327" s="54">
        <f t="shared" si="145"/>
        <v>40.173</v>
      </c>
      <c r="P327" s="54">
        <f t="shared" si="145"/>
        <v>21.4998</v>
      </c>
    </row>
    <row r="328">
      <c r="A328" s="13" t="s">
        <v>20</v>
      </c>
      <c r="B328" s="26">
        <v>45646.0</v>
      </c>
      <c r="C328" s="13" t="s">
        <v>21</v>
      </c>
      <c r="D328" s="13">
        <v>4.3</v>
      </c>
      <c r="E328" s="13" t="s">
        <v>27</v>
      </c>
      <c r="F328" s="13">
        <v>2.0</v>
      </c>
      <c r="G328" s="13" t="s">
        <v>55</v>
      </c>
      <c r="H328" s="23">
        <v>8.4614</v>
      </c>
      <c r="I328" s="54">
        <f t="shared" ref="I328:P328" si="146">I112*1.05</f>
        <v>2.09895</v>
      </c>
      <c r="J328" s="54">
        <f t="shared" si="146"/>
        <v>0.03045</v>
      </c>
      <c r="K328" s="54">
        <f t="shared" si="146"/>
        <v>163.4094</v>
      </c>
      <c r="L328" s="54">
        <f t="shared" si="146"/>
        <v>28.413</v>
      </c>
      <c r="M328" s="54">
        <f t="shared" si="146"/>
        <v>130.80165</v>
      </c>
      <c r="N328" s="54">
        <f t="shared" si="146"/>
        <v>31.84335</v>
      </c>
      <c r="O328" s="54">
        <f t="shared" si="146"/>
        <v>68.65425</v>
      </c>
      <c r="P328" s="54">
        <f t="shared" si="146"/>
        <v>27.65595</v>
      </c>
    </row>
    <row r="329">
      <c r="A329" s="13" t="s">
        <v>20</v>
      </c>
      <c r="B329" s="26">
        <v>45646.0</v>
      </c>
      <c r="C329" s="13" t="s">
        <v>21</v>
      </c>
      <c r="D329" s="13">
        <v>4.4</v>
      </c>
      <c r="E329" s="13" t="s">
        <v>27</v>
      </c>
      <c r="F329" s="13">
        <v>2.0</v>
      </c>
      <c r="G329" s="13" t="s">
        <v>55</v>
      </c>
      <c r="H329" s="23">
        <v>7.8591</v>
      </c>
      <c r="I329" s="54">
        <f t="shared" ref="I329:P329" si="147">I113*1.05</f>
        <v>1.6485</v>
      </c>
      <c r="J329" s="54">
        <f t="shared" si="147"/>
        <v>0.05145</v>
      </c>
      <c r="K329" s="54">
        <f t="shared" si="147"/>
        <v>131.16915</v>
      </c>
      <c r="L329" s="54">
        <f t="shared" si="147"/>
        <v>22.90155</v>
      </c>
      <c r="M329" s="54">
        <f t="shared" si="147"/>
        <v>110.4747</v>
      </c>
      <c r="N329" s="54">
        <f t="shared" si="147"/>
        <v>25.6788</v>
      </c>
      <c r="O329" s="54">
        <f t="shared" si="147"/>
        <v>70.01715</v>
      </c>
      <c r="P329" s="54">
        <f t="shared" si="147"/>
        <v>25.6137</v>
      </c>
    </row>
    <row r="330">
      <c r="A330" s="13" t="s">
        <v>20</v>
      </c>
      <c r="B330" s="26">
        <v>45646.0</v>
      </c>
      <c r="C330" s="13" t="s">
        <v>21</v>
      </c>
      <c r="D330" s="13">
        <v>5.1</v>
      </c>
      <c r="E330" s="13" t="s">
        <v>27</v>
      </c>
      <c r="F330" s="13">
        <v>2.0</v>
      </c>
      <c r="G330" s="13" t="s">
        <v>55</v>
      </c>
      <c r="H330" s="23">
        <v>9.0137</v>
      </c>
      <c r="I330" s="54">
        <f t="shared" ref="I330:P330" si="148">I114*1.05</f>
        <v>3.255</v>
      </c>
      <c r="J330" s="54">
        <f t="shared" si="148"/>
        <v>0.0315</v>
      </c>
      <c r="K330" s="54">
        <f t="shared" si="148"/>
        <v>122.4867</v>
      </c>
      <c r="L330" s="54">
        <f t="shared" si="148"/>
        <v>40.0953</v>
      </c>
      <c r="M330" s="54">
        <f t="shared" si="148"/>
        <v>80.79225</v>
      </c>
      <c r="N330" s="54">
        <f t="shared" si="148"/>
        <v>36.12</v>
      </c>
      <c r="O330" s="54">
        <f t="shared" si="148"/>
        <v>41.58105</v>
      </c>
      <c r="P330" s="54">
        <f t="shared" si="148"/>
        <v>24.9564</v>
      </c>
    </row>
    <row r="331">
      <c r="A331" s="13" t="s">
        <v>20</v>
      </c>
      <c r="B331" s="26">
        <v>45646.0</v>
      </c>
      <c r="C331" s="13" t="s">
        <v>21</v>
      </c>
      <c r="D331" s="13">
        <v>5.2</v>
      </c>
      <c r="E331" s="13" t="s">
        <v>27</v>
      </c>
      <c r="F331" s="13">
        <v>2.0</v>
      </c>
      <c r="G331" s="13" t="s">
        <v>55</v>
      </c>
      <c r="H331" s="23">
        <v>9.5268</v>
      </c>
      <c r="I331" s="54">
        <f t="shared" ref="I331:P331" si="149">I115*1.05</f>
        <v>3.51015</v>
      </c>
      <c r="J331" s="54">
        <f t="shared" si="149"/>
        <v>0.0126</v>
      </c>
      <c r="K331" s="54">
        <f t="shared" si="149"/>
        <v>98.96775</v>
      </c>
      <c r="L331" s="54">
        <f t="shared" si="149"/>
        <v>36.79515</v>
      </c>
      <c r="M331" s="54">
        <f t="shared" si="149"/>
        <v>65.23125</v>
      </c>
      <c r="N331" s="54">
        <f t="shared" si="149"/>
        <v>33.5244</v>
      </c>
      <c r="O331" s="54">
        <f t="shared" si="149"/>
        <v>39.69</v>
      </c>
      <c r="P331" s="54">
        <f t="shared" si="149"/>
        <v>24.2046</v>
      </c>
    </row>
    <row r="332">
      <c r="A332" s="13" t="s">
        <v>20</v>
      </c>
      <c r="B332" s="26">
        <v>45646.0</v>
      </c>
      <c r="C332" s="13" t="s">
        <v>21</v>
      </c>
      <c r="D332" s="13">
        <v>5.3</v>
      </c>
      <c r="E332" s="13" t="s">
        <v>27</v>
      </c>
      <c r="F332" s="13">
        <v>2.0</v>
      </c>
      <c r="G332" s="13" t="s">
        <v>55</v>
      </c>
      <c r="H332" s="23">
        <v>9.9137</v>
      </c>
      <c r="I332" s="54">
        <f t="shared" ref="I332:P332" si="150">I116*1.05</f>
        <v>3.28755</v>
      </c>
      <c r="J332" s="54">
        <f t="shared" si="150"/>
        <v>0.0504</v>
      </c>
      <c r="K332" s="54">
        <f t="shared" si="150"/>
        <v>124.76415</v>
      </c>
      <c r="L332" s="54">
        <f t="shared" si="150"/>
        <v>36.7374</v>
      </c>
      <c r="M332" s="54">
        <f t="shared" si="150"/>
        <v>86.1378</v>
      </c>
      <c r="N332" s="54">
        <f t="shared" si="150"/>
        <v>35.7273</v>
      </c>
      <c r="O332" s="54">
        <f t="shared" si="150"/>
        <v>42.8967</v>
      </c>
      <c r="P332" s="54">
        <f t="shared" si="150"/>
        <v>24.9333</v>
      </c>
    </row>
    <row r="333">
      <c r="A333" s="13" t="s">
        <v>20</v>
      </c>
      <c r="B333" s="26">
        <v>45646.0</v>
      </c>
      <c r="C333" s="13" t="s">
        <v>21</v>
      </c>
      <c r="D333" s="13">
        <v>5.4</v>
      </c>
      <c r="E333" s="13" t="s">
        <v>27</v>
      </c>
      <c r="F333" s="13">
        <v>2.0</v>
      </c>
      <c r="G333" s="13" t="s">
        <v>55</v>
      </c>
      <c r="H333" s="23">
        <v>9.2648</v>
      </c>
      <c r="I333" s="54">
        <f t="shared" ref="I333:P333" si="151">I117*1.05</f>
        <v>2.25015</v>
      </c>
      <c r="J333" s="54">
        <f t="shared" si="151"/>
        <v>0.0504</v>
      </c>
      <c r="K333" s="54">
        <f t="shared" si="151"/>
        <v>107.7888</v>
      </c>
      <c r="L333" s="54">
        <f t="shared" si="151"/>
        <v>39.87375</v>
      </c>
      <c r="M333" s="54">
        <f t="shared" si="151"/>
        <v>85.60755</v>
      </c>
      <c r="N333" s="54">
        <f t="shared" si="151"/>
        <v>41.2482</v>
      </c>
      <c r="O333" s="54">
        <f t="shared" si="151"/>
        <v>64.1319</v>
      </c>
      <c r="P333" s="54">
        <f t="shared" si="151"/>
        <v>37.67925</v>
      </c>
    </row>
    <row r="334">
      <c r="A334" s="13" t="s">
        <v>20</v>
      </c>
      <c r="B334" s="26">
        <v>45646.0</v>
      </c>
      <c r="C334" s="13" t="s">
        <v>21</v>
      </c>
      <c r="D334" s="13">
        <v>6.1</v>
      </c>
      <c r="E334" s="13" t="s">
        <v>27</v>
      </c>
      <c r="F334" s="13">
        <v>2.0</v>
      </c>
      <c r="G334" s="13" t="s">
        <v>55</v>
      </c>
      <c r="H334" s="23">
        <v>8.9033</v>
      </c>
      <c r="I334" s="54">
        <f t="shared" ref="I334:P334" si="152">I118*1.05</f>
        <v>2.74155</v>
      </c>
      <c r="J334" s="54">
        <f t="shared" si="152"/>
        <v>0.01995</v>
      </c>
      <c r="K334" s="54">
        <f t="shared" si="152"/>
        <v>127.8459</v>
      </c>
      <c r="L334" s="54">
        <f t="shared" si="152"/>
        <v>40.19925</v>
      </c>
      <c r="M334" s="54">
        <f t="shared" si="152"/>
        <v>91.73955</v>
      </c>
      <c r="N334" s="54">
        <f t="shared" si="152"/>
        <v>40.8009</v>
      </c>
      <c r="O334" s="54">
        <f t="shared" si="152"/>
        <v>45.73275</v>
      </c>
      <c r="P334" s="54">
        <f t="shared" si="152"/>
        <v>32.7999</v>
      </c>
    </row>
    <row r="335">
      <c r="A335" s="13" t="s">
        <v>20</v>
      </c>
      <c r="B335" s="26">
        <v>45646.0</v>
      </c>
      <c r="C335" s="13" t="s">
        <v>21</v>
      </c>
      <c r="D335" s="13">
        <v>6.2</v>
      </c>
      <c r="E335" s="13" t="s">
        <v>27</v>
      </c>
      <c r="F335" s="13">
        <v>2.0</v>
      </c>
      <c r="G335" s="13" t="s">
        <v>55</v>
      </c>
      <c r="H335" s="23">
        <v>8.0333</v>
      </c>
      <c r="I335" s="54">
        <f t="shared" ref="I335:P335" si="153">I119*1.05</f>
        <v>2.0454</v>
      </c>
      <c r="J335" s="54">
        <f t="shared" si="153"/>
        <v>0.01365</v>
      </c>
      <c r="K335" s="54">
        <f t="shared" si="153"/>
        <v>168.00945</v>
      </c>
      <c r="L335" s="54">
        <f t="shared" si="153"/>
        <v>26.8359</v>
      </c>
      <c r="M335" s="54">
        <f t="shared" si="153"/>
        <v>135.3765</v>
      </c>
      <c r="N335" s="54">
        <f t="shared" si="153"/>
        <v>29.40735</v>
      </c>
      <c r="O335" s="54">
        <f t="shared" si="153"/>
        <v>68.3361</v>
      </c>
      <c r="P335" s="54">
        <f t="shared" si="153"/>
        <v>30.5046</v>
      </c>
    </row>
    <row r="336">
      <c r="A336" s="13" t="s">
        <v>20</v>
      </c>
      <c r="B336" s="26">
        <v>45646.0</v>
      </c>
      <c r="C336" s="13" t="s">
        <v>21</v>
      </c>
      <c r="D336" s="13">
        <v>6.3</v>
      </c>
      <c r="E336" s="13" t="s">
        <v>27</v>
      </c>
      <c r="F336" s="13">
        <v>2.0</v>
      </c>
      <c r="G336" s="13" t="s">
        <v>55</v>
      </c>
      <c r="H336" s="23">
        <v>8.6567</v>
      </c>
      <c r="I336" s="54">
        <f t="shared" ref="I336:P336" si="154">I120*1.05</f>
        <v>2.23965</v>
      </c>
      <c r="J336" s="54">
        <f t="shared" si="154"/>
        <v>0.0294</v>
      </c>
      <c r="K336" s="54">
        <f t="shared" si="154"/>
        <v>134.92185</v>
      </c>
      <c r="L336" s="54">
        <f t="shared" si="154"/>
        <v>31.0254</v>
      </c>
      <c r="M336" s="54">
        <f t="shared" si="154"/>
        <v>101.34285</v>
      </c>
      <c r="N336" s="54">
        <f t="shared" si="154"/>
        <v>31.4034</v>
      </c>
      <c r="O336" s="54">
        <f t="shared" si="154"/>
        <v>50.48085</v>
      </c>
      <c r="P336" s="54">
        <f t="shared" si="154"/>
        <v>27.9363</v>
      </c>
    </row>
    <row r="337">
      <c r="A337" s="13" t="s">
        <v>20</v>
      </c>
      <c r="B337" s="26">
        <v>45646.0</v>
      </c>
      <c r="C337" s="13" t="s">
        <v>21</v>
      </c>
      <c r="D337" s="13">
        <v>6.4</v>
      </c>
      <c r="E337" s="13" t="s">
        <v>27</v>
      </c>
      <c r="F337" s="13">
        <v>2.0</v>
      </c>
      <c r="G337" s="13" t="s">
        <v>55</v>
      </c>
      <c r="H337" s="23">
        <v>8.0967</v>
      </c>
      <c r="I337" s="54">
        <f t="shared" ref="I337:P337" si="155">I121*1.05</f>
        <v>2.11365</v>
      </c>
      <c r="J337" s="54">
        <f t="shared" si="155"/>
        <v>0.0168</v>
      </c>
      <c r="K337" s="54">
        <f t="shared" si="155"/>
        <v>138.81735</v>
      </c>
      <c r="L337" s="54">
        <f t="shared" si="155"/>
        <v>31.00545</v>
      </c>
      <c r="M337" s="54">
        <f t="shared" si="155"/>
        <v>110.2185</v>
      </c>
      <c r="N337" s="54">
        <f t="shared" si="155"/>
        <v>32.66235</v>
      </c>
      <c r="O337" s="54">
        <f t="shared" si="155"/>
        <v>54.2199</v>
      </c>
      <c r="P337" s="54">
        <f t="shared" si="155"/>
        <v>30.19485</v>
      </c>
    </row>
    <row r="338">
      <c r="A338" s="13" t="s">
        <v>20</v>
      </c>
      <c r="B338" s="26">
        <v>45646.0</v>
      </c>
      <c r="C338" s="13" t="s">
        <v>24</v>
      </c>
      <c r="D338" s="13">
        <v>4.1</v>
      </c>
      <c r="E338" s="13" t="s">
        <v>27</v>
      </c>
      <c r="F338" s="13">
        <v>2.0</v>
      </c>
      <c r="G338" s="13" t="s">
        <v>55</v>
      </c>
      <c r="H338" s="23">
        <v>12.43</v>
      </c>
      <c r="I338" s="54">
        <f t="shared" ref="I338:P338" si="156">I122*1.05</f>
        <v>6.9069</v>
      </c>
      <c r="J338" s="54">
        <f t="shared" si="156"/>
        <v>0.08925</v>
      </c>
      <c r="K338" s="54">
        <f t="shared" si="156"/>
        <v>149.5074</v>
      </c>
      <c r="L338" s="54">
        <f t="shared" si="156"/>
        <v>12.34485</v>
      </c>
      <c r="M338" s="54">
        <f t="shared" si="156"/>
        <v>111.56145</v>
      </c>
      <c r="N338" s="54">
        <f t="shared" si="156"/>
        <v>15.5001</v>
      </c>
      <c r="O338" s="54">
        <f t="shared" si="156"/>
        <v>56.3829</v>
      </c>
      <c r="P338" s="54">
        <f t="shared" si="156"/>
        <v>16.1574</v>
      </c>
    </row>
    <row r="339">
      <c r="A339" s="13" t="s">
        <v>20</v>
      </c>
      <c r="B339" s="26">
        <v>45646.0</v>
      </c>
      <c r="C339" s="13" t="s">
        <v>24</v>
      </c>
      <c r="D339" s="13">
        <v>4.2</v>
      </c>
      <c r="E339" s="13" t="s">
        <v>27</v>
      </c>
      <c r="F339" s="13">
        <v>2.0</v>
      </c>
      <c r="G339" s="13" t="s">
        <v>55</v>
      </c>
      <c r="H339" s="23">
        <v>13.0076</v>
      </c>
      <c r="I339" s="54">
        <f t="shared" ref="I339:P339" si="157">I123*1.05</f>
        <v>6.1887</v>
      </c>
      <c r="J339" s="54">
        <f t="shared" si="157"/>
        <v>0.0924</v>
      </c>
      <c r="K339" s="54">
        <f t="shared" si="157"/>
        <v>172.65465</v>
      </c>
      <c r="L339" s="54">
        <f t="shared" si="157"/>
        <v>12.41835</v>
      </c>
      <c r="M339" s="54">
        <f t="shared" si="157"/>
        <v>138.39315</v>
      </c>
      <c r="N339" s="54">
        <f t="shared" si="157"/>
        <v>14.00385</v>
      </c>
      <c r="O339" s="54">
        <f t="shared" si="157"/>
        <v>82.9458</v>
      </c>
      <c r="P339" s="54">
        <f t="shared" si="157"/>
        <v>16.82415</v>
      </c>
    </row>
    <row r="340">
      <c r="A340" s="13" t="s">
        <v>20</v>
      </c>
      <c r="B340" s="26">
        <v>45646.0</v>
      </c>
      <c r="C340" s="13" t="s">
        <v>24</v>
      </c>
      <c r="D340" s="13">
        <v>4.3</v>
      </c>
      <c r="E340" s="13" t="s">
        <v>27</v>
      </c>
      <c r="F340" s="13">
        <v>2.0</v>
      </c>
      <c r="G340" s="13" t="s">
        <v>55</v>
      </c>
      <c r="H340" s="23">
        <v>13.5331</v>
      </c>
      <c r="I340" s="54">
        <f t="shared" ref="I340:P340" si="158">I124*1.05</f>
        <v>6.95415</v>
      </c>
      <c r="J340" s="54">
        <f t="shared" si="158"/>
        <v>0.04725</v>
      </c>
      <c r="K340" s="54">
        <f t="shared" si="158"/>
        <v>154.12845</v>
      </c>
      <c r="L340" s="54">
        <f t="shared" si="158"/>
        <v>9.07095</v>
      </c>
      <c r="M340" s="54">
        <f t="shared" si="158"/>
        <v>109.53495</v>
      </c>
      <c r="N340" s="54">
        <f t="shared" si="158"/>
        <v>11.44815</v>
      </c>
      <c r="O340" s="54">
        <f t="shared" si="158"/>
        <v>56.05425</v>
      </c>
      <c r="P340" s="54">
        <f t="shared" si="158"/>
        <v>12.27555</v>
      </c>
    </row>
    <row r="341">
      <c r="A341" s="13" t="s">
        <v>20</v>
      </c>
      <c r="B341" s="26">
        <v>45646.0</v>
      </c>
      <c r="C341" s="13" t="s">
        <v>24</v>
      </c>
      <c r="D341" s="13">
        <v>4.4</v>
      </c>
      <c r="E341" s="13" t="s">
        <v>27</v>
      </c>
      <c r="F341" s="13">
        <v>2.0</v>
      </c>
      <c r="G341" s="13" t="s">
        <v>55</v>
      </c>
      <c r="H341" s="23">
        <v>13.1203</v>
      </c>
      <c r="I341" s="54">
        <f t="shared" ref="I341:P341" si="159">I125*1.05</f>
        <v>6.97305</v>
      </c>
      <c r="J341" s="54">
        <f t="shared" si="159"/>
        <v>0.12915</v>
      </c>
      <c r="K341" s="54">
        <f t="shared" si="159"/>
        <v>140.7693</v>
      </c>
      <c r="L341" s="54">
        <f t="shared" si="159"/>
        <v>11.7978</v>
      </c>
      <c r="M341" s="54">
        <f t="shared" si="159"/>
        <v>110.48205</v>
      </c>
      <c r="N341" s="54">
        <f t="shared" si="159"/>
        <v>15.5085</v>
      </c>
      <c r="O341" s="54">
        <f t="shared" si="159"/>
        <v>63.77595</v>
      </c>
      <c r="P341" s="54">
        <f t="shared" si="159"/>
        <v>15.58515</v>
      </c>
    </row>
    <row r="342">
      <c r="A342" s="13" t="s">
        <v>20</v>
      </c>
      <c r="B342" s="26">
        <v>45646.0</v>
      </c>
      <c r="C342" s="13" t="s">
        <v>24</v>
      </c>
      <c r="D342" s="13">
        <v>5.1</v>
      </c>
      <c r="E342" s="13" t="s">
        <v>27</v>
      </c>
      <c r="F342" s="13">
        <v>2.0</v>
      </c>
      <c r="G342" s="13" t="s">
        <v>55</v>
      </c>
      <c r="H342" s="23">
        <v>10.0039</v>
      </c>
      <c r="I342" s="54">
        <f t="shared" ref="I342:P342" si="160">I126*1.05</f>
        <v>4.9371</v>
      </c>
      <c r="J342" s="54">
        <f t="shared" si="160"/>
        <v>0.063</v>
      </c>
      <c r="K342" s="54">
        <f t="shared" si="160"/>
        <v>160.3665</v>
      </c>
      <c r="L342" s="54">
        <f t="shared" si="160"/>
        <v>19.3032</v>
      </c>
      <c r="M342" s="54">
        <f t="shared" si="160"/>
        <v>134.86095</v>
      </c>
      <c r="N342" s="54">
        <f t="shared" si="160"/>
        <v>21.88725</v>
      </c>
      <c r="O342" s="54">
        <f t="shared" si="160"/>
        <v>87.108</v>
      </c>
      <c r="P342" s="54">
        <f t="shared" si="160"/>
        <v>26.1576</v>
      </c>
    </row>
    <row r="343">
      <c r="A343" s="13" t="s">
        <v>20</v>
      </c>
      <c r="B343" s="26">
        <v>45646.0</v>
      </c>
      <c r="C343" s="13" t="s">
        <v>24</v>
      </c>
      <c r="D343" s="13">
        <v>5.2</v>
      </c>
      <c r="E343" s="13" t="s">
        <v>27</v>
      </c>
      <c r="F343" s="13">
        <v>2.0</v>
      </c>
      <c r="G343" s="13" t="s">
        <v>55</v>
      </c>
      <c r="H343" s="23">
        <v>9.2831</v>
      </c>
      <c r="I343" s="54">
        <f t="shared" ref="I343:P343" si="161">I127*1.05</f>
        <v>3.48495</v>
      </c>
      <c r="J343" s="54">
        <f t="shared" si="161"/>
        <v>0.02205</v>
      </c>
      <c r="K343" s="54">
        <f t="shared" si="161"/>
        <v>140.82285</v>
      </c>
      <c r="L343" s="54">
        <f t="shared" si="161"/>
        <v>16.3044</v>
      </c>
      <c r="M343" s="54">
        <f t="shared" si="161"/>
        <v>117.4173</v>
      </c>
      <c r="N343" s="54">
        <f t="shared" si="161"/>
        <v>18.3099</v>
      </c>
      <c r="O343" s="54">
        <f t="shared" si="161"/>
        <v>66.0828</v>
      </c>
      <c r="P343" s="54">
        <f t="shared" si="161"/>
        <v>19.3053</v>
      </c>
    </row>
    <row r="344">
      <c r="A344" s="13" t="s">
        <v>20</v>
      </c>
      <c r="B344" s="26">
        <v>45646.0</v>
      </c>
      <c r="C344" s="13" t="s">
        <v>24</v>
      </c>
      <c r="D344" s="13">
        <v>5.3</v>
      </c>
      <c r="E344" s="13" t="s">
        <v>27</v>
      </c>
      <c r="F344" s="13">
        <v>2.0</v>
      </c>
      <c r="G344" s="13" t="s">
        <v>55</v>
      </c>
      <c r="H344" s="23">
        <v>9.7118</v>
      </c>
      <c r="I344" s="54">
        <f t="shared" ref="I344:P344" si="162">I128*1.05</f>
        <v>4.42785</v>
      </c>
      <c r="J344" s="54">
        <f t="shared" si="162"/>
        <v>0.0105</v>
      </c>
      <c r="K344" s="54">
        <f t="shared" si="162"/>
        <v>150.87345</v>
      </c>
      <c r="L344" s="54">
        <f t="shared" si="162"/>
        <v>20.67555</v>
      </c>
      <c r="M344" s="54">
        <f t="shared" si="162"/>
        <v>122.0919</v>
      </c>
      <c r="N344" s="54">
        <f t="shared" si="162"/>
        <v>21.70035</v>
      </c>
      <c r="O344" s="54">
        <f t="shared" si="162"/>
        <v>69.9552</v>
      </c>
      <c r="P344" s="54">
        <f t="shared" si="162"/>
        <v>23.8392</v>
      </c>
    </row>
    <row r="345">
      <c r="A345" s="13" t="s">
        <v>20</v>
      </c>
      <c r="B345" s="26">
        <v>45646.0</v>
      </c>
      <c r="C345" s="13" t="s">
        <v>24</v>
      </c>
      <c r="D345" s="13">
        <v>5.4</v>
      </c>
      <c r="E345" s="13" t="s">
        <v>27</v>
      </c>
      <c r="F345" s="13">
        <v>2.0</v>
      </c>
      <c r="G345" s="13" t="s">
        <v>55</v>
      </c>
      <c r="H345" s="23">
        <v>10.1092</v>
      </c>
      <c r="I345" s="54">
        <f t="shared" ref="I345:P345" si="163">I129*1.05</f>
        <v>3.8934</v>
      </c>
      <c r="J345" s="54">
        <f t="shared" si="163"/>
        <v>0.03045</v>
      </c>
      <c r="K345" s="54">
        <f t="shared" si="163"/>
        <v>132.4953</v>
      </c>
      <c r="L345" s="54">
        <f t="shared" si="163"/>
        <v>12.12435</v>
      </c>
      <c r="M345" s="54">
        <f t="shared" si="163"/>
        <v>111.2664</v>
      </c>
      <c r="N345" s="54">
        <f t="shared" si="163"/>
        <v>14.84805</v>
      </c>
      <c r="O345" s="54">
        <f t="shared" si="163"/>
        <v>68.67315</v>
      </c>
      <c r="P345" s="54">
        <f t="shared" si="163"/>
        <v>20.0424</v>
      </c>
    </row>
    <row r="346">
      <c r="A346" s="13" t="s">
        <v>20</v>
      </c>
      <c r="B346" s="26">
        <v>45646.0</v>
      </c>
      <c r="C346" s="13" t="s">
        <v>24</v>
      </c>
      <c r="D346" s="13">
        <v>6.1</v>
      </c>
      <c r="E346" s="13" t="s">
        <v>27</v>
      </c>
      <c r="F346" s="13">
        <v>2.0</v>
      </c>
      <c r="G346" s="13" t="s">
        <v>55</v>
      </c>
      <c r="H346" s="23">
        <v>12.5892</v>
      </c>
      <c r="I346" s="54">
        <f t="shared" ref="I346:P346" si="164">I130*1.05</f>
        <v>5.2332</v>
      </c>
      <c r="J346" s="54">
        <f t="shared" si="164"/>
        <v>0.0189</v>
      </c>
      <c r="K346" s="54">
        <f t="shared" si="164"/>
        <v>158.36205</v>
      </c>
      <c r="L346" s="54">
        <f t="shared" si="164"/>
        <v>18.87585</v>
      </c>
      <c r="M346" s="54">
        <f t="shared" si="164"/>
        <v>128.17455</v>
      </c>
      <c r="N346" s="54">
        <f t="shared" si="164"/>
        <v>20.9412</v>
      </c>
      <c r="O346" s="54">
        <f t="shared" si="164"/>
        <v>75.3921</v>
      </c>
      <c r="P346" s="54">
        <f t="shared" si="164"/>
        <v>27.8103</v>
      </c>
    </row>
    <row r="347">
      <c r="A347" s="13" t="s">
        <v>20</v>
      </c>
      <c r="B347" s="26">
        <v>45646.0</v>
      </c>
      <c r="C347" s="13" t="s">
        <v>24</v>
      </c>
      <c r="D347" s="13">
        <v>6.2</v>
      </c>
      <c r="E347" s="13" t="s">
        <v>27</v>
      </c>
      <c r="F347" s="13">
        <v>2.0</v>
      </c>
      <c r="G347" s="13" t="s">
        <v>55</v>
      </c>
      <c r="H347" s="23">
        <v>12.2507</v>
      </c>
      <c r="I347" s="54">
        <f t="shared" ref="I347:P347" si="165">I131*1.05</f>
        <v>5.6721</v>
      </c>
      <c r="J347" s="54">
        <f t="shared" si="165"/>
        <v>0.0084</v>
      </c>
      <c r="K347" s="54">
        <f t="shared" si="165"/>
        <v>151.7145</v>
      </c>
      <c r="L347" s="54">
        <f t="shared" si="165"/>
        <v>15.2397</v>
      </c>
      <c r="M347" s="54">
        <f t="shared" si="165"/>
        <v>126.6846</v>
      </c>
      <c r="N347" s="54">
        <f t="shared" si="165"/>
        <v>16.5711</v>
      </c>
      <c r="O347" s="54">
        <f t="shared" si="165"/>
        <v>81.51675</v>
      </c>
      <c r="P347" s="54">
        <f t="shared" si="165"/>
        <v>21.75495</v>
      </c>
    </row>
    <row r="348">
      <c r="A348" s="13" t="s">
        <v>20</v>
      </c>
      <c r="B348" s="26">
        <v>45646.0</v>
      </c>
      <c r="C348" s="13" t="s">
        <v>24</v>
      </c>
      <c r="D348" s="13">
        <v>6.3</v>
      </c>
      <c r="E348" s="13" t="s">
        <v>27</v>
      </c>
      <c r="F348" s="13">
        <v>2.0</v>
      </c>
      <c r="G348" s="13" t="s">
        <v>55</v>
      </c>
      <c r="H348" s="23">
        <v>12.028</v>
      </c>
      <c r="I348" s="54">
        <f t="shared" ref="I348:P348" si="166">I132*1.05</f>
        <v>5.6007</v>
      </c>
      <c r="J348" s="54">
        <f t="shared" si="166"/>
        <v>0.0294</v>
      </c>
      <c r="K348" s="54">
        <f t="shared" si="166"/>
        <v>179.9154</v>
      </c>
      <c r="L348" s="54">
        <f t="shared" si="166"/>
        <v>17.67465</v>
      </c>
      <c r="M348" s="54">
        <f t="shared" si="166"/>
        <v>146.9118</v>
      </c>
      <c r="N348" s="54">
        <f t="shared" si="166"/>
        <v>18.6564</v>
      </c>
      <c r="O348" s="54">
        <f t="shared" si="166"/>
        <v>87.3432</v>
      </c>
      <c r="P348" s="54">
        <f t="shared" si="166"/>
        <v>24.55635</v>
      </c>
    </row>
    <row r="349">
      <c r="A349" s="13" t="s">
        <v>20</v>
      </c>
      <c r="B349" s="26">
        <v>45646.0</v>
      </c>
      <c r="C349" s="13" t="s">
        <v>24</v>
      </c>
      <c r="D349" s="13">
        <v>6.4</v>
      </c>
      <c r="E349" s="13" t="s">
        <v>27</v>
      </c>
      <c r="F349" s="13">
        <v>2.0</v>
      </c>
      <c r="G349" s="13" t="s">
        <v>55</v>
      </c>
      <c r="H349" s="23">
        <v>11.5166</v>
      </c>
      <c r="I349" s="54">
        <f t="shared" ref="I349:P349" si="167">I133*1.05</f>
        <v>4.5759</v>
      </c>
      <c r="J349" s="54">
        <f t="shared" si="167"/>
        <v>0.02625</v>
      </c>
      <c r="K349" s="54">
        <f t="shared" si="167"/>
        <v>147.1155</v>
      </c>
      <c r="L349" s="54">
        <f t="shared" si="167"/>
        <v>18.65325</v>
      </c>
      <c r="M349" s="54">
        <f t="shared" si="167"/>
        <v>121.296</v>
      </c>
      <c r="N349" s="54">
        <f t="shared" si="167"/>
        <v>18.4296</v>
      </c>
      <c r="O349" s="54">
        <f t="shared" si="167"/>
        <v>78.5547</v>
      </c>
      <c r="P349" s="54">
        <f t="shared" si="167"/>
        <v>25.5423</v>
      </c>
    </row>
    <row r="350">
      <c r="A350" s="13" t="s">
        <v>20</v>
      </c>
      <c r="B350" s="26">
        <v>45646.0</v>
      </c>
      <c r="C350" s="13" t="s">
        <v>25</v>
      </c>
      <c r="D350" s="13">
        <v>4.1</v>
      </c>
      <c r="E350" s="13" t="s">
        <v>27</v>
      </c>
      <c r="F350" s="13">
        <v>2.0</v>
      </c>
      <c r="G350" s="13" t="s">
        <v>55</v>
      </c>
      <c r="H350" s="23">
        <v>11.9857</v>
      </c>
      <c r="I350" s="54">
        <f t="shared" ref="I350:P350" si="168">I134*1.05</f>
        <v>5.53665</v>
      </c>
      <c r="J350" s="54">
        <f t="shared" si="168"/>
        <v>0.0756</v>
      </c>
      <c r="K350" s="54">
        <f t="shared" si="168"/>
        <v>127.96035</v>
      </c>
      <c r="L350" s="54">
        <f t="shared" si="168"/>
        <v>32.54895</v>
      </c>
      <c r="M350" s="54">
        <f t="shared" si="168"/>
        <v>108.2382</v>
      </c>
      <c r="N350" s="54">
        <f t="shared" si="168"/>
        <v>34.1901</v>
      </c>
      <c r="O350" s="54">
        <f t="shared" si="168"/>
        <v>58.6215</v>
      </c>
      <c r="P350" s="54">
        <f t="shared" si="168"/>
        <v>31.51365</v>
      </c>
    </row>
    <row r="351">
      <c r="A351" s="13" t="s">
        <v>20</v>
      </c>
      <c r="B351" s="26">
        <v>45646.0</v>
      </c>
      <c r="C351" s="13" t="s">
        <v>25</v>
      </c>
      <c r="D351" s="13">
        <v>4.2</v>
      </c>
      <c r="E351" s="13" t="s">
        <v>27</v>
      </c>
      <c r="F351" s="13">
        <v>2.0</v>
      </c>
      <c r="G351" s="13" t="s">
        <v>55</v>
      </c>
      <c r="H351" s="23">
        <v>10.3514</v>
      </c>
      <c r="I351" s="54">
        <f t="shared" ref="I351:P351" si="169">I135*1.05</f>
        <v>4.32075</v>
      </c>
      <c r="J351" s="54">
        <f t="shared" si="169"/>
        <v>0.03045</v>
      </c>
      <c r="K351" s="54">
        <f t="shared" si="169"/>
        <v>129.89655</v>
      </c>
      <c r="L351" s="54">
        <f t="shared" si="169"/>
        <v>31.836</v>
      </c>
      <c r="M351" s="54">
        <f t="shared" si="169"/>
        <v>111.98565</v>
      </c>
      <c r="N351" s="54">
        <f t="shared" si="169"/>
        <v>44.8455</v>
      </c>
      <c r="O351" s="54">
        <f t="shared" si="169"/>
        <v>65.0895</v>
      </c>
      <c r="P351" s="54">
        <f t="shared" si="169"/>
        <v>42.54075</v>
      </c>
    </row>
    <row r="352">
      <c r="A352" s="13" t="s">
        <v>20</v>
      </c>
      <c r="B352" s="26">
        <v>45646.0</v>
      </c>
      <c r="C352" s="13" t="s">
        <v>25</v>
      </c>
      <c r="D352" s="13">
        <v>4.3</v>
      </c>
      <c r="E352" s="13" t="s">
        <v>27</v>
      </c>
      <c r="F352" s="13">
        <v>2.0</v>
      </c>
      <c r="G352" s="13" t="s">
        <v>55</v>
      </c>
      <c r="H352" s="23">
        <v>12.4193</v>
      </c>
      <c r="I352" s="54">
        <f t="shared" ref="I352:P352" si="170">I136*1.05</f>
        <v>6.237</v>
      </c>
      <c r="J352" s="54">
        <f t="shared" si="170"/>
        <v>0.03255</v>
      </c>
      <c r="K352" s="54">
        <f t="shared" si="170"/>
        <v>146.5275</v>
      </c>
      <c r="L352" s="54">
        <f t="shared" si="170"/>
        <v>38.46885</v>
      </c>
      <c r="M352" s="54">
        <f t="shared" si="170"/>
        <v>124.6308</v>
      </c>
      <c r="N352" s="54">
        <f t="shared" si="170"/>
        <v>41.0403</v>
      </c>
      <c r="O352" s="54">
        <f t="shared" si="170"/>
        <v>75.2031</v>
      </c>
      <c r="P352" s="54">
        <f t="shared" si="170"/>
        <v>38.9424</v>
      </c>
    </row>
    <row r="353">
      <c r="A353" s="13" t="s">
        <v>20</v>
      </c>
      <c r="B353" s="26">
        <v>45646.0</v>
      </c>
      <c r="C353" s="13" t="s">
        <v>25</v>
      </c>
      <c r="D353" s="13">
        <v>4.4</v>
      </c>
      <c r="E353" s="13" t="s">
        <v>27</v>
      </c>
      <c r="F353" s="13">
        <v>2.0</v>
      </c>
      <c r="G353" s="13" t="s">
        <v>55</v>
      </c>
      <c r="H353" s="23">
        <v>11.4013</v>
      </c>
      <c r="I353" s="54">
        <f t="shared" ref="I353:P353" si="171">I137*1.05</f>
        <v>5.68365</v>
      </c>
      <c r="J353" s="54">
        <f t="shared" si="171"/>
        <v>0.05355</v>
      </c>
      <c r="K353" s="54">
        <f t="shared" si="171"/>
        <v>154.83825</v>
      </c>
      <c r="L353" s="54">
        <f t="shared" si="171"/>
        <v>32.9616</v>
      </c>
      <c r="M353" s="54">
        <f t="shared" si="171"/>
        <v>137.66655</v>
      </c>
      <c r="N353" s="54">
        <f t="shared" si="171"/>
        <v>33.34065</v>
      </c>
      <c r="O353" s="54">
        <f t="shared" si="171"/>
        <v>90.657</v>
      </c>
      <c r="P353" s="54">
        <f t="shared" si="171"/>
        <v>30.18645</v>
      </c>
    </row>
    <row r="354">
      <c r="A354" s="13" t="s">
        <v>20</v>
      </c>
      <c r="B354" s="26">
        <v>45646.0</v>
      </c>
      <c r="C354" s="13" t="s">
        <v>25</v>
      </c>
      <c r="D354" s="13">
        <v>5.1</v>
      </c>
      <c r="E354" s="13" t="s">
        <v>27</v>
      </c>
      <c r="F354" s="13">
        <v>2.0</v>
      </c>
      <c r="G354" s="13" t="s">
        <v>55</v>
      </c>
      <c r="H354" s="23">
        <v>9.8238</v>
      </c>
      <c r="I354" s="54">
        <f t="shared" ref="I354:P354" si="172">I138*1.05</f>
        <v>3.9879</v>
      </c>
      <c r="J354" s="54">
        <f t="shared" si="172"/>
        <v>0.0273</v>
      </c>
      <c r="K354" s="54">
        <f t="shared" si="172"/>
        <v>124.36305</v>
      </c>
      <c r="L354" s="54">
        <f t="shared" si="172"/>
        <v>33.5643</v>
      </c>
      <c r="M354" s="54">
        <f t="shared" si="172"/>
        <v>97.57545</v>
      </c>
      <c r="N354" s="54">
        <f t="shared" si="172"/>
        <v>35.0637</v>
      </c>
      <c r="O354" s="54">
        <f t="shared" si="172"/>
        <v>42.7014</v>
      </c>
      <c r="P354" s="54">
        <f t="shared" si="172"/>
        <v>25.88775</v>
      </c>
    </row>
    <row r="355">
      <c r="A355" s="13" t="s">
        <v>20</v>
      </c>
      <c r="B355" s="26">
        <v>45646.0</v>
      </c>
      <c r="C355" s="13" t="s">
        <v>25</v>
      </c>
      <c r="D355" s="13">
        <v>5.2</v>
      </c>
      <c r="E355" s="13" t="s">
        <v>27</v>
      </c>
      <c r="F355" s="13">
        <v>2.0</v>
      </c>
      <c r="G355" s="13" t="s">
        <v>55</v>
      </c>
      <c r="H355" s="23">
        <v>9.4432</v>
      </c>
      <c r="I355" s="54">
        <f t="shared" ref="I355:P355" si="173">I139*1.05</f>
        <v>3.31695</v>
      </c>
      <c r="J355" s="54">
        <f t="shared" si="173"/>
        <v>0.0672</v>
      </c>
      <c r="K355" s="54">
        <f t="shared" si="173"/>
        <v>136.54935</v>
      </c>
      <c r="L355" s="54">
        <f t="shared" si="173"/>
        <v>39.039</v>
      </c>
      <c r="M355" s="54">
        <f t="shared" si="173"/>
        <v>115.6092</v>
      </c>
      <c r="N355" s="54">
        <f t="shared" si="173"/>
        <v>40.84605</v>
      </c>
      <c r="O355" s="54">
        <f t="shared" si="173"/>
        <v>59.8626</v>
      </c>
      <c r="P355" s="54">
        <f t="shared" si="173"/>
        <v>36.0255</v>
      </c>
    </row>
    <row r="356">
      <c r="A356" s="13" t="s">
        <v>20</v>
      </c>
      <c r="B356" s="26">
        <v>45646.0</v>
      </c>
      <c r="C356" s="13" t="s">
        <v>25</v>
      </c>
      <c r="D356" s="13">
        <v>5.3</v>
      </c>
      <c r="E356" s="13" t="s">
        <v>27</v>
      </c>
      <c r="F356" s="13">
        <v>2.0</v>
      </c>
      <c r="G356" s="13" t="s">
        <v>55</v>
      </c>
      <c r="H356" s="23">
        <v>9.9382</v>
      </c>
      <c r="I356" s="54">
        <f t="shared" ref="I356:P356" si="174">I140*1.05</f>
        <v>3.68655</v>
      </c>
      <c r="J356" s="54">
        <f t="shared" si="174"/>
        <v>0.021</v>
      </c>
      <c r="K356" s="54">
        <f t="shared" si="174"/>
        <v>108.46815</v>
      </c>
      <c r="L356" s="54">
        <f t="shared" si="174"/>
        <v>32.21295</v>
      </c>
      <c r="M356" s="54">
        <f t="shared" si="174"/>
        <v>88.8258</v>
      </c>
      <c r="N356" s="54">
        <f t="shared" si="174"/>
        <v>35.2758</v>
      </c>
      <c r="O356" s="54">
        <f t="shared" si="174"/>
        <v>55.7886</v>
      </c>
      <c r="P356" s="54">
        <f t="shared" si="174"/>
        <v>33.50655</v>
      </c>
    </row>
    <row r="357">
      <c r="A357" s="13" t="s">
        <v>20</v>
      </c>
      <c r="B357" s="26">
        <v>45646.0</v>
      </c>
      <c r="C357" s="13" t="s">
        <v>25</v>
      </c>
      <c r="D357" s="13">
        <v>5.4</v>
      </c>
      <c r="E357" s="13" t="s">
        <v>27</v>
      </c>
      <c r="F357" s="13">
        <v>2.0</v>
      </c>
      <c r="G357" s="13" t="s">
        <v>55</v>
      </c>
      <c r="H357" s="23">
        <v>11.0911</v>
      </c>
      <c r="I357" s="54">
        <f t="shared" ref="I357:P357" si="175">I141*1.05</f>
        <v>3.64245</v>
      </c>
      <c r="J357" s="54">
        <f t="shared" si="175"/>
        <v>0.0588</v>
      </c>
      <c r="K357" s="54">
        <f t="shared" si="175"/>
        <v>145.29165</v>
      </c>
      <c r="L357" s="54">
        <f t="shared" si="175"/>
        <v>38.52345</v>
      </c>
      <c r="M357" s="54">
        <f t="shared" si="175"/>
        <v>124.46385</v>
      </c>
      <c r="N357" s="54">
        <f t="shared" si="175"/>
        <v>39.753</v>
      </c>
      <c r="O357" s="54">
        <f t="shared" si="175"/>
        <v>76.79385</v>
      </c>
      <c r="P357" s="54">
        <f t="shared" si="175"/>
        <v>33.3375</v>
      </c>
    </row>
    <row r="358">
      <c r="A358" s="13" t="s">
        <v>20</v>
      </c>
      <c r="B358" s="26">
        <v>45646.0</v>
      </c>
      <c r="C358" s="13" t="s">
        <v>25</v>
      </c>
      <c r="D358" s="13">
        <v>6.1</v>
      </c>
      <c r="E358" s="13" t="s">
        <v>27</v>
      </c>
      <c r="F358" s="13">
        <v>2.0</v>
      </c>
      <c r="G358" s="13" t="s">
        <v>55</v>
      </c>
      <c r="H358" s="23">
        <v>10.4179</v>
      </c>
      <c r="I358" s="54">
        <f t="shared" ref="I358:P358" si="176">I142*1.05</f>
        <v>4.8762</v>
      </c>
      <c r="J358" s="54">
        <f t="shared" si="176"/>
        <v>0.05355</v>
      </c>
      <c r="K358" s="54">
        <f t="shared" si="176"/>
        <v>150.40725</v>
      </c>
      <c r="L358" s="54">
        <f t="shared" si="176"/>
        <v>39.68685</v>
      </c>
      <c r="M358" s="54">
        <f t="shared" si="176"/>
        <v>125.9874</v>
      </c>
      <c r="N358" s="54">
        <f t="shared" si="176"/>
        <v>43.16655</v>
      </c>
      <c r="O358" s="54">
        <f t="shared" si="176"/>
        <v>72.3282</v>
      </c>
      <c r="P358" s="54">
        <f t="shared" si="176"/>
        <v>41.73645</v>
      </c>
    </row>
    <row r="359">
      <c r="A359" s="13" t="s">
        <v>20</v>
      </c>
      <c r="B359" s="26">
        <v>45646.0</v>
      </c>
      <c r="C359" s="13" t="s">
        <v>25</v>
      </c>
      <c r="D359" s="13">
        <v>6.2</v>
      </c>
      <c r="E359" s="13" t="s">
        <v>27</v>
      </c>
      <c r="F359" s="13">
        <v>2.0</v>
      </c>
      <c r="G359" s="13" t="s">
        <v>55</v>
      </c>
      <c r="H359" s="23">
        <v>14.3858</v>
      </c>
      <c r="I359" s="54">
        <f t="shared" ref="I359:P359" si="177">I143*1.05</f>
        <v>6.8166</v>
      </c>
      <c r="J359" s="54">
        <f t="shared" si="177"/>
        <v>0.05565</v>
      </c>
      <c r="K359" s="54">
        <f t="shared" si="177"/>
        <v>131.63535</v>
      </c>
      <c r="L359" s="54">
        <f t="shared" si="177"/>
        <v>35.5908</v>
      </c>
      <c r="M359" s="54">
        <f t="shared" si="177"/>
        <v>107.3877</v>
      </c>
      <c r="N359" s="54">
        <f t="shared" si="177"/>
        <v>38.1633</v>
      </c>
      <c r="O359" s="54">
        <f t="shared" si="177"/>
        <v>49.6062</v>
      </c>
      <c r="P359" s="54">
        <f t="shared" si="177"/>
        <v>34.68045</v>
      </c>
    </row>
    <row r="360">
      <c r="A360" s="13" t="s">
        <v>20</v>
      </c>
      <c r="B360" s="26">
        <v>45646.0</v>
      </c>
      <c r="C360" s="13" t="s">
        <v>25</v>
      </c>
      <c r="D360" s="13">
        <v>6.3</v>
      </c>
      <c r="E360" s="13" t="s">
        <v>27</v>
      </c>
      <c r="F360" s="13">
        <v>2.0</v>
      </c>
      <c r="G360" s="13" t="s">
        <v>55</v>
      </c>
      <c r="H360" s="23">
        <v>12.5703</v>
      </c>
      <c r="I360" s="54">
        <f t="shared" ref="I360:P360" si="178">I144*1.05</f>
        <v>5.2395</v>
      </c>
      <c r="J360" s="54">
        <f t="shared" si="178"/>
        <v>0.0504</v>
      </c>
      <c r="K360" s="54">
        <f t="shared" si="178"/>
        <v>150.0597</v>
      </c>
      <c r="L360" s="54">
        <f t="shared" si="178"/>
        <v>39.0831</v>
      </c>
      <c r="M360" s="54">
        <f t="shared" si="178"/>
        <v>124.2948</v>
      </c>
      <c r="N360" s="54">
        <f t="shared" si="178"/>
        <v>42.8379</v>
      </c>
      <c r="O360" s="54">
        <f t="shared" si="178"/>
        <v>71.6415</v>
      </c>
      <c r="P360" s="54">
        <f t="shared" si="178"/>
        <v>43.42695</v>
      </c>
    </row>
    <row r="361">
      <c r="A361" s="13" t="s">
        <v>20</v>
      </c>
      <c r="B361" s="26">
        <v>45646.0</v>
      </c>
      <c r="C361" s="13" t="s">
        <v>25</v>
      </c>
      <c r="D361" s="13">
        <v>6.4</v>
      </c>
      <c r="E361" s="13" t="s">
        <v>27</v>
      </c>
      <c r="F361" s="13">
        <v>2.0</v>
      </c>
      <c r="G361" s="13" t="s">
        <v>55</v>
      </c>
      <c r="H361" s="23">
        <v>14.4081</v>
      </c>
      <c r="I361" s="54">
        <f t="shared" ref="I361:P361" si="179">I145*1.05</f>
        <v>6.35565</v>
      </c>
      <c r="J361" s="54">
        <f t="shared" si="179"/>
        <v>0.10185</v>
      </c>
      <c r="K361" s="54">
        <f t="shared" si="179"/>
        <v>150.75795</v>
      </c>
      <c r="L361" s="54">
        <f t="shared" si="179"/>
        <v>32.67915</v>
      </c>
      <c r="M361" s="54">
        <f t="shared" si="179"/>
        <v>132.8145</v>
      </c>
      <c r="N361" s="54">
        <f t="shared" si="179"/>
        <v>33.8373</v>
      </c>
      <c r="O361" s="54">
        <f t="shared" si="179"/>
        <v>83.5905</v>
      </c>
      <c r="P361" s="54">
        <f t="shared" si="179"/>
        <v>33.7113</v>
      </c>
    </row>
    <row r="362">
      <c r="A362" s="13" t="s">
        <v>20</v>
      </c>
      <c r="B362" s="26">
        <v>45646.0</v>
      </c>
      <c r="C362" s="13" t="s">
        <v>21</v>
      </c>
      <c r="D362" s="13">
        <v>7.1</v>
      </c>
      <c r="E362" s="13" t="s">
        <v>22</v>
      </c>
      <c r="F362" s="13">
        <v>4.0</v>
      </c>
      <c r="G362" s="13" t="s">
        <v>54</v>
      </c>
      <c r="H362" s="23">
        <v>10.6967</v>
      </c>
      <c r="I362" s="54">
        <f t="shared" ref="I362:P362" si="180">I2*1.5</f>
        <v>8.5335</v>
      </c>
      <c r="J362" s="54">
        <f t="shared" si="180"/>
        <v>0.066</v>
      </c>
      <c r="K362" s="54">
        <f t="shared" si="180"/>
        <v>233.574</v>
      </c>
      <c r="L362" s="54">
        <f t="shared" si="180"/>
        <v>36.7515</v>
      </c>
      <c r="M362" s="54">
        <f t="shared" si="180"/>
        <v>196.608</v>
      </c>
      <c r="N362" s="54">
        <f t="shared" si="180"/>
        <v>39.3105</v>
      </c>
      <c r="O362" s="54">
        <f t="shared" si="180"/>
        <v>130.209</v>
      </c>
      <c r="P362" s="54">
        <f t="shared" si="180"/>
        <v>45.2205</v>
      </c>
    </row>
    <row r="363">
      <c r="A363" s="13" t="s">
        <v>20</v>
      </c>
      <c r="B363" s="26">
        <v>45646.0</v>
      </c>
      <c r="C363" s="13" t="s">
        <v>21</v>
      </c>
      <c r="D363" s="13">
        <v>7.2</v>
      </c>
      <c r="E363" s="13" t="s">
        <v>22</v>
      </c>
      <c r="F363" s="13">
        <v>4.0</v>
      </c>
      <c r="G363" s="13" t="s">
        <v>54</v>
      </c>
      <c r="H363" s="23">
        <v>11.4534</v>
      </c>
      <c r="I363" s="54">
        <f t="shared" ref="I363:P363" si="181">I3*1.5</f>
        <v>8.8155</v>
      </c>
      <c r="J363" s="54">
        <f t="shared" si="181"/>
        <v>0.1545</v>
      </c>
      <c r="K363" s="54">
        <f t="shared" si="181"/>
        <v>225.825</v>
      </c>
      <c r="L363" s="54">
        <f t="shared" si="181"/>
        <v>40.923</v>
      </c>
      <c r="M363" s="54">
        <f t="shared" si="181"/>
        <v>201.3915</v>
      </c>
      <c r="N363" s="54">
        <f t="shared" si="181"/>
        <v>43.5285</v>
      </c>
      <c r="O363" s="54">
        <f t="shared" si="181"/>
        <v>130.1415</v>
      </c>
      <c r="P363" s="54">
        <f t="shared" si="181"/>
        <v>49.563</v>
      </c>
    </row>
    <row r="364">
      <c r="A364" s="13" t="s">
        <v>20</v>
      </c>
      <c r="B364" s="26">
        <v>45646.0</v>
      </c>
      <c r="C364" s="13" t="s">
        <v>21</v>
      </c>
      <c r="D364" s="13">
        <v>7.3</v>
      </c>
      <c r="E364" s="13" t="s">
        <v>22</v>
      </c>
      <c r="F364" s="13">
        <v>4.0</v>
      </c>
      <c r="G364" s="13" t="s">
        <v>54</v>
      </c>
      <c r="H364" s="23">
        <v>13.2208</v>
      </c>
      <c r="I364" s="54">
        <f t="shared" ref="I364:P364" si="182">I4*1.5</f>
        <v>9.672</v>
      </c>
      <c r="J364" s="54">
        <f t="shared" si="182"/>
        <v>0.099</v>
      </c>
      <c r="K364" s="54">
        <f t="shared" si="182"/>
        <v>230.2185</v>
      </c>
      <c r="L364" s="54">
        <f t="shared" si="182"/>
        <v>34.413</v>
      </c>
      <c r="M364" s="54">
        <f t="shared" si="182"/>
        <v>202.4625</v>
      </c>
      <c r="N364" s="54">
        <f t="shared" si="182"/>
        <v>35.1675</v>
      </c>
      <c r="O364" s="54">
        <f t="shared" si="182"/>
        <v>140.5905</v>
      </c>
      <c r="P364" s="54">
        <f t="shared" si="182"/>
        <v>45.0405</v>
      </c>
    </row>
    <row r="365">
      <c r="A365" s="13" t="s">
        <v>20</v>
      </c>
      <c r="B365" s="26">
        <v>45646.0</v>
      </c>
      <c r="C365" s="13" t="s">
        <v>21</v>
      </c>
      <c r="D365" s="13">
        <v>7.4</v>
      </c>
      <c r="E365" s="13" t="s">
        <v>22</v>
      </c>
      <c r="F365" s="13">
        <v>4.0</v>
      </c>
      <c r="G365" s="13" t="s">
        <v>54</v>
      </c>
      <c r="H365" s="23">
        <v>11.5709</v>
      </c>
      <c r="I365" s="54">
        <f t="shared" ref="I365:P365" si="183">I5*1.5</f>
        <v>9.3765</v>
      </c>
      <c r="J365" s="54">
        <f t="shared" si="183"/>
        <v>0.0615</v>
      </c>
      <c r="K365" s="54">
        <f t="shared" si="183"/>
        <v>222.7005</v>
      </c>
      <c r="L365" s="54">
        <f t="shared" si="183"/>
        <v>37.5255</v>
      </c>
      <c r="M365" s="54">
        <f t="shared" si="183"/>
        <v>183.705</v>
      </c>
      <c r="N365" s="54">
        <f t="shared" si="183"/>
        <v>41.898</v>
      </c>
      <c r="O365" s="54">
        <f t="shared" si="183"/>
        <v>108.2055</v>
      </c>
      <c r="P365" s="54">
        <f t="shared" si="183"/>
        <v>44.9745</v>
      </c>
    </row>
    <row r="366">
      <c r="A366" s="13" t="s">
        <v>20</v>
      </c>
      <c r="B366" s="26">
        <v>45646.0</v>
      </c>
      <c r="C366" s="13" t="s">
        <v>21</v>
      </c>
      <c r="D366" s="13">
        <v>8.1</v>
      </c>
      <c r="E366" s="13" t="s">
        <v>22</v>
      </c>
      <c r="F366" s="13">
        <v>4.0</v>
      </c>
      <c r="G366" s="13" t="s">
        <v>54</v>
      </c>
      <c r="H366" s="23">
        <v>12.5262</v>
      </c>
      <c r="I366" s="54">
        <f t="shared" ref="I366:P366" si="184">I6*1.5</f>
        <v>4.413</v>
      </c>
      <c r="J366" s="54">
        <f t="shared" si="184"/>
        <v>0.0315</v>
      </c>
      <c r="K366" s="54">
        <f t="shared" si="184"/>
        <v>369.1785</v>
      </c>
      <c r="L366" s="54">
        <f t="shared" si="184"/>
        <v>36.981</v>
      </c>
      <c r="M366" s="54">
        <f t="shared" si="184"/>
        <v>181.08</v>
      </c>
      <c r="N366" s="54">
        <f t="shared" si="184"/>
        <v>39.9585</v>
      </c>
      <c r="O366" s="54">
        <f t="shared" si="184"/>
        <v>119.412</v>
      </c>
      <c r="P366" s="54">
        <f t="shared" si="184"/>
        <v>41.487</v>
      </c>
    </row>
    <row r="367">
      <c r="A367" s="13" t="s">
        <v>20</v>
      </c>
      <c r="B367" s="26">
        <v>45646.0</v>
      </c>
      <c r="C367" s="13" t="s">
        <v>21</v>
      </c>
      <c r="D367" s="13">
        <v>8.2</v>
      </c>
      <c r="E367" s="13" t="s">
        <v>22</v>
      </c>
      <c r="F367" s="13">
        <v>4.0</v>
      </c>
      <c r="G367" s="13" t="s">
        <v>54</v>
      </c>
      <c r="H367" s="23">
        <v>11.5376</v>
      </c>
      <c r="I367" s="54">
        <f t="shared" ref="I367:P367" si="185">I7*1.5</f>
        <v>5.937</v>
      </c>
      <c r="J367" s="54">
        <f t="shared" si="185"/>
        <v>0.0225</v>
      </c>
      <c r="K367" s="54">
        <f t="shared" si="185"/>
        <v>237.9375</v>
      </c>
      <c r="L367" s="54">
        <f t="shared" si="185"/>
        <v>31.8705</v>
      </c>
      <c r="M367" s="54">
        <f t="shared" si="185"/>
        <v>197.148</v>
      </c>
      <c r="N367" s="54">
        <f t="shared" si="185"/>
        <v>38.7135</v>
      </c>
      <c r="O367" s="54">
        <f t="shared" si="185"/>
        <v>120.7785</v>
      </c>
      <c r="P367" s="54">
        <f t="shared" si="185"/>
        <v>44.3985</v>
      </c>
    </row>
    <row r="368">
      <c r="A368" s="13" t="s">
        <v>20</v>
      </c>
      <c r="B368" s="26">
        <v>45646.0</v>
      </c>
      <c r="C368" s="13" t="s">
        <v>21</v>
      </c>
      <c r="D368" s="13">
        <v>8.3</v>
      </c>
      <c r="E368" s="13" t="s">
        <v>22</v>
      </c>
      <c r="F368" s="13">
        <v>4.0</v>
      </c>
      <c r="G368" s="13" t="s">
        <v>54</v>
      </c>
      <c r="H368" s="23">
        <v>11.7271</v>
      </c>
      <c r="I368" s="54">
        <f t="shared" ref="I368:P368" si="186">I8*1.5</f>
        <v>5.073</v>
      </c>
      <c r="J368" s="54">
        <f t="shared" si="186"/>
        <v>0.0165</v>
      </c>
      <c r="K368" s="54">
        <f t="shared" si="186"/>
        <v>226.23</v>
      </c>
      <c r="L368" s="54">
        <f t="shared" si="186"/>
        <v>36.846</v>
      </c>
      <c r="M368" s="54">
        <f t="shared" si="186"/>
        <v>186.756</v>
      </c>
      <c r="N368" s="54">
        <f t="shared" si="186"/>
        <v>41.961</v>
      </c>
      <c r="O368" s="54">
        <f t="shared" si="186"/>
        <v>113.802</v>
      </c>
      <c r="P368" s="54">
        <f t="shared" si="186"/>
        <v>39.786</v>
      </c>
    </row>
    <row r="369">
      <c r="A369" s="13" t="s">
        <v>20</v>
      </c>
      <c r="B369" s="26">
        <v>45646.0</v>
      </c>
      <c r="C369" s="13" t="s">
        <v>21</v>
      </c>
      <c r="D369" s="13">
        <v>8.4</v>
      </c>
      <c r="E369" s="13" t="s">
        <v>22</v>
      </c>
      <c r="F369" s="13">
        <v>4.0</v>
      </c>
      <c r="G369" s="13" t="s">
        <v>54</v>
      </c>
      <c r="H369" s="23">
        <v>10.2713</v>
      </c>
      <c r="I369" s="54">
        <f t="shared" ref="I369:P369" si="187">I9*1.5</f>
        <v>5.1915</v>
      </c>
      <c r="J369" s="54">
        <f t="shared" si="187"/>
        <v>0.0165</v>
      </c>
      <c r="K369" s="54">
        <f t="shared" si="187"/>
        <v>234.5205</v>
      </c>
      <c r="L369" s="54">
        <f t="shared" si="187"/>
        <v>31.779</v>
      </c>
      <c r="M369" s="54">
        <f t="shared" si="187"/>
        <v>196.017</v>
      </c>
      <c r="N369" s="54">
        <f t="shared" si="187"/>
        <v>35.3865</v>
      </c>
      <c r="O369" s="54">
        <f t="shared" si="187"/>
        <v>116.676</v>
      </c>
      <c r="P369" s="54">
        <f t="shared" si="187"/>
        <v>38.2365</v>
      </c>
    </row>
    <row r="370">
      <c r="A370" s="13" t="s">
        <v>20</v>
      </c>
      <c r="B370" s="26">
        <v>45646.0</v>
      </c>
      <c r="C370" s="13" t="s">
        <v>21</v>
      </c>
      <c r="D370" s="13">
        <v>9.1</v>
      </c>
      <c r="E370" s="13" t="s">
        <v>22</v>
      </c>
      <c r="F370" s="13">
        <v>4.0</v>
      </c>
      <c r="G370" s="13" t="s">
        <v>54</v>
      </c>
      <c r="H370" s="23">
        <v>11.132</v>
      </c>
      <c r="I370" s="54">
        <f t="shared" ref="I370:P370" si="188">I10*1.5</f>
        <v>6.816</v>
      </c>
      <c r="J370" s="54">
        <f t="shared" si="188"/>
        <v>0.0645</v>
      </c>
      <c r="K370" s="54">
        <f t="shared" si="188"/>
        <v>202.575</v>
      </c>
      <c r="L370" s="54">
        <f t="shared" si="188"/>
        <v>51.6975</v>
      </c>
      <c r="M370" s="54">
        <f t="shared" si="188"/>
        <v>250.377</v>
      </c>
      <c r="N370" s="54">
        <f t="shared" si="188"/>
        <v>52.527</v>
      </c>
      <c r="O370" s="54">
        <f t="shared" si="188"/>
        <v>116.1405</v>
      </c>
      <c r="P370" s="54">
        <f t="shared" si="188"/>
        <v>53.586</v>
      </c>
    </row>
    <row r="371">
      <c r="A371" s="13" t="s">
        <v>20</v>
      </c>
      <c r="B371" s="26">
        <v>45646.0</v>
      </c>
      <c r="C371" s="13" t="s">
        <v>21</v>
      </c>
      <c r="D371" s="13">
        <v>9.2</v>
      </c>
      <c r="E371" s="13" t="s">
        <v>22</v>
      </c>
      <c r="F371" s="13">
        <v>4.0</v>
      </c>
      <c r="G371" s="13" t="s">
        <v>54</v>
      </c>
      <c r="H371" s="23">
        <v>9.6877</v>
      </c>
      <c r="I371" s="54">
        <f t="shared" ref="I371:P371" si="189">I11*1.5</f>
        <v>6.135</v>
      </c>
      <c r="J371" s="54">
        <f t="shared" si="189"/>
        <v>0.0345</v>
      </c>
      <c r="K371" s="54">
        <f t="shared" si="189"/>
        <v>198.84</v>
      </c>
      <c r="L371" s="54">
        <f t="shared" si="189"/>
        <v>44.9745</v>
      </c>
      <c r="M371" s="54">
        <f t="shared" si="189"/>
        <v>173.3115</v>
      </c>
      <c r="N371" s="54">
        <f t="shared" si="189"/>
        <v>47.0019</v>
      </c>
      <c r="O371" s="54">
        <f t="shared" si="189"/>
        <v>103.956</v>
      </c>
      <c r="P371" s="54">
        <f t="shared" si="189"/>
        <v>47.52</v>
      </c>
    </row>
    <row r="372">
      <c r="A372" s="13" t="s">
        <v>20</v>
      </c>
      <c r="B372" s="26">
        <v>45646.0</v>
      </c>
      <c r="C372" s="13" t="s">
        <v>21</v>
      </c>
      <c r="D372" s="13">
        <v>9.3</v>
      </c>
      <c r="E372" s="13" t="s">
        <v>22</v>
      </c>
      <c r="F372" s="13">
        <v>4.0</v>
      </c>
      <c r="G372" s="13" t="s">
        <v>54</v>
      </c>
      <c r="H372" s="23">
        <v>11.5845</v>
      </c>
      <c r="I372" s="54">
        <f t="shared" ref="I372:P372" si="190">I12*1.5</f>
        <v>5.0055</v>
      </c>
      <c r="J372" s="54">
        <f t="shared" si="190"/>
        <v>0.033</v>
      </c>
      <c r="K372" s="54">
        <f t="shared" si="190"/>
        <v>204.753</v>
      </c>
      <c r="L372" s="54">
        <f t="shared" si="190"/>
        <v>47.253</v>
      </c>
      <c r="M372" s="54">
        <f t="shared" si="190"/>
        <v>172.419</v>
      </c>
      <c r="N372" s="54">
        <f t="shared" si="190"/>
        <v>49.038</v>
      </c>
      <c r="O372" s="54">
        <f t="shared" si="190"/>
        <v>105.087</v>
      </c>
      <c r="P372" s="54">
        <f t="shared" si="190"/>
        <v>48.369</v>
      </c>
    </row>
    <row r="373">
      <c r="A373" s="13" t="s">
        <v>20</v>
      </c>
      <c r="B373" s="26">
        <v>45646.0</v>
      </c>
      <c r="C373" s="13" t="s">
        <v>21</v>
      </c>
      <c r="D373" s="13">
        <v>9.4</v>
      </c>
      <c r="E373" s="13" t="s">
        <v>22</v>
      </c>
      <c r="F373" s="13">
        <v>4.0</v>
      </c>
      <c r="G373" s="13" t="s">
        <v>54</v>
      </c>
      <c r="H373" s="23">
        <v>10.8392</v>
      </c>
      <c r="I373" s="54">
        <f t="shared" ref="I373:P373" si="191">I13*1.5</f>
        <v>6.3015</v>
      </c>
      <c r="J373" s="54">
        <f t="shared" si="191"/>
        <v>0.225</v>
      </c>
      <c r="K373" s="54">
        <f t="shared" si="191"/>
        <v>209.343</v>
      </c>
      <c r="L373" s="54">
        <f t="shared" si="191"/>
        <v>43.386</v>
      </c>
      <c r="M373" s="54">
        <f t="shared" si="191"/>
        <v>185.7075</v>
      </c>
      <c r="N373" s="54">
        <f t="shared" si="191"/>
        <v>44.814</v>
      </c>
      <c r="O373" s="54">
        <f t="shared" si="191"/>
        <v>107.9415</v>
      </c>
      <c r="P373" s="54">
        <f t="shared" si="191"/>
        <v>50.481</v>
      </c>
    </row>
    <row r="374">
      <c r="A374" s="13" t="s">
        <v>20</v>
      </c>
      <c r="B374" s="26">
        <v>45646.0</v>
      </c>
      <c r="C374" s="13" t="s">
        <v>24</v>
      </c>
      <c r="D374" s="13">
        <v>7.1</v>
      </c>
      <c r="E374" s="13" t="s">
        <v>22</v>
      </c>
      <c r="F374" s="13">
        <v>4.0</v>
      </c>
      <c r="G374" s="13" t="s">
        <v>54</v>
      </c>
      <c r="H374" s="23">
        <v>11.1814</v>
      </c>
      <c r="I374" s="54">
        <f t="shared" ref="I374:P374" si="192">I14*1.5</f>
        <v>9.516</v>
      </c>
      <c r="J374" s="54">
        <f t="shared" si="192"/>
        <v>0.063</v>
      </c>
      <c r="K374" s="54">
        <f t="shared" si="192"/>
        <v>216.5325</v>
      </c>
      <c r="L374" s="54">
        <f t="shared" si="192"/>
        <v>28.2525</v>
      </c>
      <c r="M374" s="54">
        <f t="shared" si="192"/>
        <v>166.92</v>
      </c>
      <c r="N374" s="54">
        <f t="shared" si="192"/>
        <v>29.5485</v>
      </c>
      <c r="O374" s="54">
        <f t="shared" si="192"/>
        <v>91.8855</v>
      </c>
      <c r="P374" s="54">
        <f t="shared" si="192"/>
        <v>32.43</v>
      </c>
    </row>
    <row r="375">
      <c r="A375" s="13" t="s">
        <v>20</v>
      </c>
      <c r="B375" s="26">
        <v>45646.0</v>
      </c>
      <c r="C375" s="13" t="s">
        <v>24</v>
      </c>
      <c r="D375" s="13">
        <v>7.2</v>
      </c>
      <c r="E375" s="13" t="s">
        <v>22</v>
      </c>
      <c r="F375" s="13">
        <v>4.0</v>
      </c>
      <c r="G375" s="13" t="s">
        <v>54</v>
      </c>
      <c r="H375" s="23">
        <v>11.5039</v>
      </c>
      <c r="I375" s="54">
        <f t="shared" ref="I375:P375" si="193">I15*1.5</f>
        <v>7.785</v>
      </c>
      <c r="J375" s="54">
        <f t="shared" si="193"/>
        <v>0.06</v>
      </c>
      <c r="K375" s="54">
        <f t="shared" si="193"/>
        <v>222.924</v>
      </c>
      <c r="L375" s="54">
        <f t="shared" si="193"/>
        <v>28.911</v>
      </c>
      <c r="M375" s="54">
        <f t="shared" si="193"/>
        <v>185.3505</v>
      </c>
      <c r="N375" s="54">
        <f t="shared" si="193"/>
        <v>26.6655</v>
      </c>
      <c r="O375" s="54">
        <f t="shared" si="193"/>
        <v>119.109</v>
      </c>
      <c r="P375" s="54">
        <f t="shared" si="193"/>
        <v>33.8805</v>
      </c>
    </row>
    <row r="376">
      <c r="A376" s="13" t="s">
        <v>20</v>
      </c>
      <c r="B376" s="26">
        <v>45646.0</v>
      </c>
      <c r="C376" s="13" t="s">
        <v>24</v>
      </c>
      <c r="D376" s="13">
        <v>7.3</v>
      </c>
      <c r="E376" s="13" t="s">
        <v>22</v>
      </c>
      <c r="F376" s="13">
        <v>4.0</v>
      </c>
      <c r="G376" s="13" t="s">
        <v>54</v>
      </c>
      <c r="H376" s="23">
        <v>12.8811</v>
      </c>
      <c r="I376" s="54">
        <f t="shared" ref="I376:P376" si="194">I16*1.5</f>
        <v>7.3755</v>
      </c>
      <c r="J376" s="54">
        <f t="shared" si="194"/>
        <v>0.0945</v>
      </c>
      <c r="K376" s="54">
        <f t="shared" si="194"/>
        <v>215.367</v>
      </c>
      <c r="L376" s="54">
        <f t="shared" si="194"/>
        <v>20.6055</v>
      </c>
      <c r="M376" s="54">
        <f t="shared" si="194"/>
        <v>184.0485</v>
      </c>
      <c r="N376" s="54">
        <f t="shared" si="194"/>
        <v>23.9625</v>
      </c>
      <c r="O376" s="54">
        <f t="shared" si="194"/>
        <v>114.717</v>
      </c>
      <c r="P376" s="54">
        <f t="shared" si="194"/>
        <v>33.603</v>
      </c>
    </row>
    <row r="377">
      <c r="A377" s="13" t="s">
        <v>20</v>
      </c>
      <c r="B377" s="26">
        <v>45646.0</v>
      </c>
      <c r="C377" s="13" t="s">
        <v>24</v>
      </c>
      <c r="D377" s="13">
        <v>7.4</v>
      </c>
      <c r="E377" s="13" t="s">
        <v>22</v>
      </c>
      <c r="F377" s="13">
        <v>4.0</v>
      </c>
      <c r="G377" s="13" t="s">
        <v>54</v>
      </c>
      <c r="H377" s="23">
        <v>11.1805</v>
      </c>
      <c r="I377" s="54">
        <f t="shared" ref="I377:P377" si="195">I17*1.5</f>
        <v>5.6145</v>
      </c>
      <c r="J377" s="54">
        <f t="shared" si="195"/>
        <v>0.027</v>
      </c>
      <c r="K377" s="54">
        <f t="shared" si="195"/>
        <v>226.2975</v>
      </c>
      <c r="L377" s="54">
        <f t="shared" si="195"/>
        <v>20.2215</v>
      </c>
      <c r="M377" s="54">
        <f t="shared" si="195"/>
        <v>190.3125</v>
      </c>
      <c r="N377" s="54">
        <f t="shared" si="195"/>
        <v>22.413</v>
      </c>
      <c r="O377" s="54">
        <f t="shared" si="195"/>
        <v>114.1695</v>
      </c>
      <c r="P377" s="54">
        <f t="shared" si="195"/>
        <v>29.9295</v>
      </c>
    </row>
    <row r="378">
      <c r="A378" s="13" t="s">
        <v>20</v>
      </c>
      <c r="B378" s="26">
        <v>45646.0</v>
      </c>
      <c r="C378" s="13" t="s">
        <v>24</v>
      </c>
      <c r="D378" s="13">
        <v>8.1</v>
      </c>
      <c r="E378" s="13" t="s">
        <v>22</v>
      </c>
      <c r="F378" s="13">
        <v>4.0</v>
      </c>
      <c r="G378" s="13" t="s">
        <v>54</v>
      </c>
      <c r="H378" s="23">
        <v>10.2042</v>
      </c>
      <c r="I378" s="54">
        <f t="shared" ref="I378:P378" si="196">I18*1.5</f>
        <v>4.242</v>
      </c>
      <c r="J378" s="54">
        <f t="shared" si="196"/>
        <v>0.0765</v>
      </c>
      <c r="K378" s="54">
        <f t="shared" si="196"/>
        <v>185.805</v>
      </c>
      <c r="L378" s="54">
        <f t="shared" si="196"/>
        <v>27.399</v>
      </c>
      <c r="M378" s="54">
        <f t="shared" si="196"/>
        <v>141.2775</v>
      </c>
      <c r="N378" s="54">
        <f t="shared" si="196"/>
        <v>29.6115</v>
      </c>
      <c r="O378" s="54">
        <f t="shared" si="196"/>
        <v>78.8145</v>
      </c>
      <c r="P378" s="54">
        <f t="shared" si="196"/>
        <v>31.1745</v>
      </c>
    </row>
    <row r="379">
      <c r="A379" s="13" t="s">
        <v>20</v>
      </c>
      <c r="B379" s="26">
        <v>45646.0</v>
      </c>
      <c r="C379" s="13" t="s">
        <v>24</v>
      </c>
      <c r="D379" s="13">
        <v>8.2</v>
      </c>
      <c r="E379" s="13" t="s">
        <v>22</v>
      </c>
      <c r="F379" s="13">
        <v>4.0</v>
      </c>
      <c r="G379" s="13" t="s">
        <v>54</v>
      </c>
      <c r="H379" s="23">
        <v>11.462</v>
      </c>
      <c r="I379" s="54">
        <f t="shared" ref="I379:P379" si="197">I19*1.5</f>
        <v>4.14</v>
      </c>
      <c r="J379" s="54">
        <f t="shared" si="197"/>
        <v>0.1185</v>
      </c>
      <c r="K379" s="54">
        <f t="shared" si="197"/>
        <v>176.6895</v>
      </c>
      <c r="L379" s="54">
        <f t="shared" si="197"/>
        <v>23.157</v>
      </c>
      <c r="M379" s="54">
        <f t="shared" si="197"/>
        <v>128.994</v>
      </c>
      <c r="N379" s="54">
        <f t="shared" si="197"/>
        <v>25.095</v>
      </c>
      <c r="O379" s="54">
        <f t="shared" si="197"/>
        <v>61.3725</v>
      </c>
      <c r="P379" s="54">
        <f t="shared" si="197"/>
        <v>26.2185</v>
      </c>
    </row>
    <row r="380">
      <c r="A380" s="13" t="s">
        <v>20</v>
      </c>
      <c r="B380" s="26">
        <v>45646.0</v>
      </c>
      <c r="C380" s="13" t="s">
        <v>24</v>
      </c>
      <c r="D380" s="13">
        <v>8.3</v>
      </c>
      <c r="E380" s="13" t="s">
        <v>22</v>
      </c>
      <c r="F380" s="13">
        <v>4.0</v>
      </c>
      <c r="G380" s="13" t="s">
        <v>54</v>
      </c>
      <c r="H380" s="23">
        <v>10.6318</v>
      </c>
      <c r="I380" s="54">
        <f t="shared" ref="I380:P380" si="198">I20*1.5</f>
        <v>4.635</v>
      </c>
      <c r="J380" s="54">
        <f t="shared" si="198"/>
        <v>0.036</v>
      </c>
      <c r="K380" s="54">
        <f t="shared" si="198"/>
        <v>166.209</v>
      </c>
      <c r="L380" s="54">
        <f t="shared" si="198"/>
        <v>25.2615</v>
      </c>
      <c r="M380" s="54">
        <f t="shared" si="198"/>
        <v>119.235</v>
      </c>
      <c r="N380" s="54">
        <f t="shared" si="198"/>
        <v>24.2175</v>
      </c>
      <c r="O380" s="54">
        <f t="shared" si="198"/>
        <v>63.2295</v>
      </c>
      <c r="P380" s="54">
        <f t="shared" si="198"/>
        <v>20.736</v>
      </c>
    </row>
    <row r="381">
      <c r="A381" s="13" t="s">
        <v>20</v>
      </c>
      <c r="B381" s="26">
        <v>45646.0</v>
      </c>
      <c r="C381" s="13" t="s">
        <v>24</v>
      </c>
      <c r="D381" s="13">
        <v>8.4</v>
      </c>
      <c r="E381" s="13" t="s">
        <v>22</v>
      </c>
      <c r="F381" s="13">
        <v>4.0</v>
      </c>
      <c r="G381" s="13" t="s">
        <v>54</v>
      </c>
      <c r="H381" s="23">
        <v>11.8937</v>
      </c>
      <c r="I381" s="54">
        <f t="shared" ref="I381:P381" si="199">I21*1.5</f>
        <v>3.9225</v>
      </c>
      <c r="J381" s="54">
        <f t="shared" si="199"/>
        <v>0.0345</v>
      </c>
      <c r="K381" s="54">
        <f t="shared" si="199"/>
        <v>172.8615</v>
      </c>
      <c r="L381" s="54">
        <f t="shared" si="199"/>
        <v>27.4155</v>
      </c>
      <c r="M381" s="54">
        <f t="shared" si="199"/>
        <v>126.513</v>
      </c>
      <c r="N381" s="54">
        <f t="shared" si="199"/>
        <v>30.306</v>
      </c>
      <c r="O381" s="54">
        <f t="shared" si="199"/>
        <v>72.4605</v>
      </c>
      <c r="P381" s="54">
        <f t="shared" si="199"/>
        <v>33.3405</v>
      </c>
    </row>
    <row r="382">
      <c r="A382" s="13" t="s">
        <v>20</v>
      </c>
      <c r="B382" s="26">
        <v>45646.0</v>
      </c>
      <c r="C382" s="13" t="s">
        <v>24</v>
      </c>
      <c r="D382" s="13">
        <v>9.1</v>
      </c>
      <c r="E382" s="13" t="s">
        <v>22</v>
      </c>
      <c r="F382" s="13">
        <v>4.0</v>
      </c>
      <c r="G382" s="13" t="s">
        <v>54</v>
      </c>
      <c r="H382" s="23">
        <v>10.5609</v>
      </c>
      <c r="I382" s="54">
        <f t="shared" ref="I382:P382" si="200">I22*1.5</f>
        <v>6.1875</v>
      </c>
      <c r="J382" s="54">
        <f t="shared" si="200"/>
        <v>0.0315</v>
      </c>
      <c r="K382" s="54">
        <f t="shared" si="200"/>
        <v>217.845</v>
      </c>
      <c r="L382" s="54">
        <f t="shared" si="200"/>
        <v>23.8995</v>
      </c>
      <c r="M382" s="54">
        <f t="shared" si="200"/>
        <v>170.856</v>
      </c>
      <c r="N382" s="54">
        <f t="shared" si="200"/>
        <v>28.5525</v>
      </c>
      <c r="O382" s="54">
        <f t="shared" si="200"/>
        <v>98.3595</v>
      </c>
      <c r="P382" s="54">
        <f t="shared" si="200"/>
        <v>34.254</v>
      </c>
    </row>
    <row r="383">
      <c r="A383" s="13" t="s">
        <v>20</v>
      </c>
      <c r="B383" s="26">
        <v>45646.0</v>
      </c>
      <c r="C383" s="13" t="s">
        <v>24</v>
      </c>
      <c r="D383" s="13">
        <v>9.2</v>
      </c>
      <c r="E383" s="13" t="s">
        <v>22</v>
      </c>
      <c r="F383" s="13">
        <v>4.0</v>
      </c>
      <c r="G383" s="13" t="s">
        <v>54</v>
      </c>
      <c r="H383" s="23">
        <v>10.6761</v>
      </c>
      <c r="I383" s="54">
        <f t="shared" ref="I383:P383" si="201">I23*1.5</f>
        <v>6.4395</v>
      </c>
      <c r="J383" s="54">
        <f t="shared" si="201"/>
        <v>0.117</v>
      </c>
      <c r="K383" s="54">
        <f t="shared" si="201"/>
        <v>209.571</v>
      </c>
      <c r="L383" s="54">
        <f t="shared" si="201"/>
        <v>17.1885</v>
      </c>
      <c r="M383" s="54">
        <f t="shared" si="201"/>
        <v>158.418</v>
      </c>
      <c r="N383" s="54">
        <f t="shared" si="201"/>
        <v>20.352</v>
      </c>
      <c r="O383" s="54">
        <f t="shared" si="201"/>
        <v>77.2845</v>
      </c>
      <c r="P383" s="54">
        <f t="shared" si="201"/>
        <v>19.7805</v>
      </c>
    </row>
    <row r="384">
      <c r="A384" s="13" t="s">
        <v>20</v>
      </c>
      <c r="B384" s="26">
        <v>45646.0</v>
      </c>
      <c r="C384" s="13" t="s">
        <v>24</v>
      </c>
      <c r="D384" s="13">
        <v>9.3</v>
      </c>
      <c r="E384" s="13" t="s">
        <v>22</v>
      </c>
      <c r="F384" s="13">
        <v>4.0</v>
      </c>
      <c r="G384" s="13" t="s">
        <v>54</v>
      </c>
      <c r="H384" s="23">
        <v>10.2448</v>
      </c>
      <c r="I384" s="54">
        <f t="shared" ref="I384:P384" si="202">I24*1.5</f>
        <v>6.855</v>
      </c>
      <c r="J384" s="54">
        <f t="shared" si="202"/>
        <v>0.0735</v>
      </c>
      <c r="K384" s="54">
        <f t="shared" si="202"/>
        <v>209.0475</v>
      </c>
      <c r="L384" s="54">
        <f t="shared" si="202"/>
        <v>17.2935</v>
      </c>
      <c r="M384" s="54">
        <f t="shared" si="202"/>
        <v>164.7585</v>
      </c>
      <c r="N384" s="54">
        <f t="shared" si="202"/>
        <v>20.8005</v>
      </c>
      <c r="O384" s="54">
        <f t="shared" si="202"/>
        <v>95.6895</v>
      </c>
      <c r="P384" s="54">
        <f t="shared" si="202"/>
        <v>21.18</v>
      </c>
    </row>
    <row r="385">
      <c r="A385" s="13" t="s">
        <v>20</v>
      </c>
      <c r="B385" s="26">
        <v>45646.0</v>
      </c>
      <c r="C385" s="13" t="s">
        <v>24</v>
      </c>
      <c r="D385" s="13">
        <v>9.4</v>
      </c>
      <c r="E385" s="13" t="s">
        <v>22</v>
      </c>
      <c r="F385" s="13">
        <v>4.0</v>
      </c>
      <c r="G385" s="13" t="s">
        <v>54</v>
      </c>
      <c r="H385" s="23">
        <v>10.2054</v>
      </c>
      <c r="I385" s="54">
        <f t="shared" ref="I385:P385" si="203">I25*1.5</f>
        <v>8.9385</v>
      </c>
      <c r="J385" s="54">
        <f t="shared" si="203"/>
        <v>0.0615</v>
      </c>
      <c r="K385" s="54">
        <f t="shared" si="203"/>
        <v>222.069</v>
      </c>
      <c r="L385" s="54">
        <f t="shared" si="203"/>
        <v>14.409</v>
      </c>
      <c r="M385" s="54">
        <f t="shared" si="203"/>
        <v>169.122</v>
      </c>
      <c r="N385" s="54">
        <f t="shared" si="203"/>
        <v>17.568</v>
      </c>
      <c r="O385" s="54">
        <f t="shared" si="203"/>
        <v>85.848</v>
      </c>
      <c r="P385" s="54">
        <f t="shared" si="203"/>
        <v>16.095</v>
      </c>
    </row>
    <row r="386">
      <c r="A386" s="13" t="s">
        <v>20</v>
      </c>
      <c r="B386" s="26">
        <v>45646.0</v>
      </c>
      <c r="C386" s="13" t="s">
        <v>25</v>
      </c>
      <c r="D386" s="13">
        <v>7.1</v>
      </c>
      <c r="E386" s="13" t="s">
        <v>22</v>
      </c>
      <c r="F386" s="13">
        <v>4.0</v>
      </c>
      <c r="G386" s="13" t="s">
        <v>54</v>
      </c>
      <c r="H386" s="23">
        <v>14.0569</v>
      </c>
      <c r="I386" s="54">
        <f t="shared" ref="I386:P386" si="204">I26*1.5</f>
        <v>6.3735</v>
      </c>
      <c r="J386" s="54">
        <f t="shared" si="204"/>
        <v>0.078</v>
      </c>
      <c r="K386" s="54">
        <f t="shared" si="204"/>
        <v>195.705</v>
      </c>
      <c r="L386" s="54">
        <f t="shared" si="204"/>
        <v>35.7195</v>
      </c>
      <c r="M386" s="54">
        <f t="shared" si="204"/>
        <v>176.748</v>
      </c>
      <c r="N386" s="54">
        <f t="shared" si="204"/>
        <v>37.5405</v>
      </c>
      <c r="O386" s="54">
        <f t="shared" si="204"/>
        <v>102.441</v>
      </c>
      <c r="P386" s="54">
        <f t="shared" si="204"/>
        <v>35.7195</v>
      </c>
    </row>
    <row r="387">
      <c r="A387" s="13" t="s">
        <v>20</v>
      </c>
      <c r="B387" s="26">
        <v>45646.0</v>
      </c>
      <c r="C387" s="13" t="s">
        <v>25</v>
      </c>
      <c r="D387" s="13">
        <v>7.2</v>
      </c>
      <c r="E387" s="13" t="s">
        <v>22</v>
      </c>
      <c r="F387" s="13">
        <v>4.0</v>
      </c>
      <c r="G387" s="13" t="s">
        <v>54</v>
      </c>
      <c r="H387" s="23">
        <v>10.6711</v>
      </c>
      <c r="I387" s="54">
        <f t="shared" ref="I387:P387" si="205">I27*1.5</f>
        <v>5.931</v>
      </c>
      <c r="J387" s="54">
        <f t="shared" si="205"/>
        <v>0.0435</v>
      </c>
      <c r="K387" s="54">
        <f t="shared" si="205"/>
        <v>202.3095</v>
      </c>
      <c r="L387" s="54">
        <f t="shared" si="205"/>
        <v>33.8775</v>
      </c>
      <c r="M387" s="54">
        <f t="shared" si="205"/>
        <v>186.177</v>
      </c>
      <c r="N387" s="54">
        <f t="shared" si="205"/>
        <v>35.199</v>
      </c>
      <c r="O387" s="54">
        <f t="shared" si="205"/>
        <v>125.07</v>
      </c>
      <c r="P387" s="54">
        <f t="shared" si="205"/>
        <v>34.899</v>
      </c>
    </row>
    <row r="388">
      <c r="A388" s="13" t="s">
        <v>20</v>
      </c>
      <c r="B388" s="26">
        <v>45646.0</v>
      </c>
      <c r="C388" s="13" t="s">
        <v>25</v>
      </c>
      <c r="D388" s="13">
        <v>7.3</v>
      </c>
      <c r="E388" s="13" t="s">
        <v>22</v>
      </c>
      <c r="F388" s="13">
        <v>4.0</v>
      </c>
      <c r="G388" s="13" t="s">
        <v>54</v>
      </c>
      <c r="H388" s="23">
        <v>11.3701</v>
      </c>
      <c r="I388" s="54">
        <f t="shared" ref="I388:P388" si="206">I28*1.5</f>
        <v>5.88</v>
      </c>
      <c r="J388" s="54">
        <f t="shared" si="206"/>
        <v>0.1005</v>
      </c>
      <c r="K388" s="54">
        <f t="shared" si="206"/>
        <v>204.459</v>
      </c>
      <c r="L388" s="54">
        <f t="shared" si="206"/>
        <v>33.639</v>
      </c>
      <c r="M388" s="54">
        <f t="shared" si="206"/>
        <v>188.8425</v>
      </c>
      <c r="N388" s="54">
        <f t="shared" si="206"/>
        <v>35.547</v>
      </c>
      <c r="O388" s="54">
        <f t="shared" si="206"/>
        <v>122.073</v>
      </c>
      <c r="P388" s="54">
        <f t="shared" si="206"/>
        <v>41.307</v>
      </c>
    </row>
    <row r="389">
      <c r="A389" s="13" t="s">
        <v>20</v>
      </c>
      <c r="B389" s="26">
        <v>45646.0</v>
      </c>
      <c r="C389" s="13" t="s">
        <v>25</v>
      </c>
      <c r="D389" s="13">
        <v>7.4</v>
      </c>
      <c r="E389" s="13" t="s">
        <v>22</v>
      </c>
      <c r="F389" s="13">
        <v>4.0</v>
      </c>
      <c r="G389" s="13" t="s">
        <v>54</v>
      </c>
      <c r="H389" s="23">
        <v>12.3335</v>
      </c>
      <c r="I389" s="54">
        <f t="shared" ref="I389:P389" si="207">I29*1.5</f>
        <v>7.2465</v>
      </c>
      <c r="J389" s="54">
        <f t="shared" si="207"/>
        <v>0.1245</v>
      </c>
      <c r="K389" s="54">
        <f t="shared" si="207"/>
        <v>200.646</v>
      </c>
      <c r="L389" s="54">
        <f t="shared" si="207"/>
        <v>33.1965</v>
      </c>
      <c r="M389" s="54">
        <f t="shared" si="207"/>
        <v>318.36</v>
      </c>
      <c r="N389" s="54">
        <f t="shared" si="207"/>
        <v>35.586</v>
      </c>
      <c r="O389" s="54">
        <f t="shared" si="207"/>
        <v>113.0505</v>
      </c>
      <c r="P389" s="54">
        <f t="shared" si="207"/>
        <v>34.9635</v>
      </c>
    </row>
    <row r="390">
      <c r="A390" s="13" t="s">
        <v>20</v>
      </c>
      <c r="B390" s="26">
        <v>45646.0</v>
      </c>
      <c r="C390" s="13" t="s">
        <v>25</v>
      </c>
      <c r="D390" s="13">
        <v>8.1</v>
      </c>
      <c r="E390" s="13" t="s">
        <v>22</v>
      </c>
      <c r="F390" s="13">
        <v>4.0</v>
      </c>
      <c r="G390" s="13" t="s">
        <v>54</v>
      </c>
      <c r="H390" s="23">
        <v>12.4086</v>
      </c>
      <c r="I390" s="54">
        <f t="shared" ref="I390:P390" si="208">I30*1.5</f>
        <v>7.488</v>
      </c>
      <c r="J390" s="54">
        <f t="shared" si="208"/>
        <v>0.057</v>
      </c>
      <c r="K390" s="54">
        <f t="shared" si="208"/>
        <v>214.242</v>
      </c>
      <c r="L390" s="54">
        <f t="shared" si="208"/>
        <v>31.1685</v>
      </c>
      <c r="M390" s="54">
        <f t="shared" si="208"/>
        <v>189.414</v>
      </c>
      <c r="N390" s="54">
        <f t="shared" si="208"/>
        <v>35.7405</v>
      </c>
      <c r="O390" s="54">
        <f t="shared" si="208"/>
        <v>126.1275</v>
      </c>
      <c r="P390" s="54">
        <f t="shared" si="208"/>
        <v>38.118</v>
      </c>
    </row>
    <row r="391">
      <c r="A391" s="13" t="s">
        <v>20</v>
      </c>
      <c r="B391" s="26">
        <v>45646.0</v>
      </c>
      <c r="C391" s="13" t="s">
        <v>25</v>
      </c>
      <c r="D391" s="13">
        <v>8.2</v>
      </c>
      <c r="E391" s="13" t="s">
        <v>22</v>
      </c>
      <c r="F391" s="13">
        <v>4.0</v>
      </c>
      <c r="G391" s="13" t="s">
        <v>54</v>
      </c>
      <c r="H391" s="23">
        <v>12.7645</v>
      </c>
      <c r="I391" s="54">
        <f t="shared" ref="I391:P391" si="209">I31*1.5</f>
        <v>9.57</v>
      </c>
      <c r="J391" s="54">
        <f t="shared" si="209"/>
        <v>0.0675</v>
      </c>
      <c r="K391" s="54">
        <f t="shared" si="209"/>
        <v>220.293</v>
      </c>
      <c r="L391" s="54">
        <f t="shared" si="209"/>
        <v>34.053</v>
      </c>
      <c r="M391" s="54">
        <f t="shared" si="209"/>
        <v>197.34</v>
      </c>
      <c r="N391" s="54">
        <f t="shared" si="209"/>
        <v>36.951</v>
      </c>
      <c r="O391" s="54">
        <f t="shared" si="209"/>
        <v>139.845</v>
      </c>
      <c r="P391" s="54">
        <f t="shared" si="209"/>
        <v>38.274</v>
      </c>
    </row>
    <row r="392">
      <c r="A392" s="13" t="s">
        <v>20</v>
      </c>
      <c r="B392" s="26">
        <v>45646.0</v>
      </c>
      <c r="C392" s="13" t="s">
        <v>25</v>
      </c>
      <c r="D392" s="13">
        <v>8.3</v>
      </c>
      <c r="E392" s="13" t="s">
        <v>22</v>
      </c>
      <c r="F392" s="13">
        <v>4.0</v>
      </c>
      <c r="G392" s="13" t="s">
        <v>54</v>
      </c>
      <c r="H392" s="23">
        <v>10.0796</v>
      </c>
      <c r="I392" s="54">
        <f t="shared" ref="I392:P392" si="210">I32*1.5</f>
        <v>8.526</v>
      </c>
      <c r="J392" s="54">
        <f t="shared" si="210"/>
        <v>0.0345</v>
      </c>
      <c r="K392" s="54">
        <f t="shared" si="210"/>
        <v>207.3675</v>
      </c>
      <c r="L392" s="54">
        <f t="shared" si="210"/>
        <v>31.9005</v>
      </c>
      <c r="M392" s="54">
        <f t="shared" si="210"/>
        <v>186.9165</v>
      </c>
      <c r="N392" s="54">
        <f t="shared" si="210"/>
        <v>33.8895</v>
      </c>
      <c r="O392" s="54">
        <f t="shared" si="210"/>
        <v>122.6955</v>
      </c>
      <c r="P392" s="54">
        <f t="shared" si="210"/>
        <v>34.3365</v>
      </c>
    </row>
    <row r="393">
      <c r="A393" s="13" t="s">
        <v>20</v>
      </c>
      <c r="B393" s="26">
        <v>45646.0</v>
      </c>
      <c r="C393" s="13" t="s">
        <v>25</v>
      </c>
      <c r="D393" s="13">
        <v>8.4</v>
      </c>
      <c r="E393" s="13" t="s">
        <v>22</v>
      </c>
      <c r="F393" s="13">
        <v>4.0</v>
      </c>
      <c r="G393" s="13" t="s">
        <v>54</v>
      </c>
      <c r="H393" s="23">
        <v>13.0072</v>
      </c>
      <c r="I393" s="54">
        <f t="shared" ref="I393:P393" si="211">I33*1.5</f>
        <v>5.277</v>
      </c>
      <c r="J393" s="54">
        <f t="shared" si="211"/>
        <v>0.0945</v>
      </c>
      <c r="K393" s="54">
        <f t="shared" si="211"/>
        <v>216.993</v>
      </c>
      <c r="L393" s="54">
        <f t="shared" si="211"/>
        <v>27.513</v>
      </c>
      <c r="M393" s="54">
        <f t="shared" si="211"/>
        <v>195.8595</v>
      </c>
      <c r="N393" s="54">
        <f t="shared" si="211"/>
        <v>31.68</v>
      </c>
      <c r="O393" s="54">
        <f t="shared" si="211"/>
        <v>131.478</v>
      </c>
      <c r="P393" s="54">
        <f t="shared" si="211"/>
        <v>37.6065</v>
      </c>
    </row>
    <row r="394">
      <c r="A394" s="13" t="s">
        <v>20</v>
      </c>
      <c r="B394" s="26">
        <v>45646.0</v>
      </c>
      <c r="C394" s="13" t="s">
        <v>25</v>
      </c>
      <c r="D394" s="13">
        <v>9.1</v>
      </c>
      <c r="E394" s="13" t="s">
        <v>22</v>
      </c>
      <c r="F394" s="13">
        <v>4.0</v>
      </c>
      <c r="G394" s="13" t="s">
        <v>54</v>
      </c>
      <c r="H394" s="23">
        <v>11.9999</v>
      </c>
      <c r="I394" s="54">
        <f t="shared" ref="I394:P394" si="212">I34*1.5</f>
        <v>5.4405</v>
      </c>
      <c r="J394" s="54">
        <f t="shared" si="212"/>
        <v>0.0255</v>
      </c>
      <c r="K394" s="54">
        <f t="shared" si="212"/>
        <v>213.408</v>
      </c>
      <c r="L394" s="54">
        <f t="shared" si="212"/>
        <v>30.9555</v>
      </c>
      <c r="M394" s="54">
        <f t="shared" si="212"/>
        <v>190.35</v>
      </c>
      <c r="N394" s="54">
        <f t="shared" si="212"/>
        <v>34.2855</v>
      </c>
      <c r="O394" s="54">
        <f t="shared" si="212"/>
        <v>125.0535</v>
      </c>
      <c r="P394" s="54">
        <f t="shared" si="212"/>
        <v>39.12</v>
      </c>
    </row>
    <row r="395">
      <c r="A395" s="13" t="s">
        <v>20</v>
      </c>
      <c r="B395" s="26">
        <v>45646.0</v>
      </c>
      <c r="C395" s="13" t="s">
        <v>25</v>
      </c>
      <c r="D395" s="13">
        <v>9.2</v>
      </c>
      <c r="E395" s="13" t="s">
        <v>22</v>
      </c>
      <c r="F395" s="13">
        <v>4.0</v>
      </c>
      <c r="G395" s="13" t="s">
        <v>54</v>
      </c>
      <c r="H395" s="23">
        <v>10.3365</v>
      </c>
      <c r="I395" s="54">
        <f t="shared" ref="I395:P395" si="213">I35*1.5</f>
        <v>5.757</v>
      </c>
      <c r="J395" s="54">
        <f t="shared" si="213"/>
        <v>0.093</v>
      </c>
      <c r="K395" s="54">
        <f t="shared" si="213"/>
        <v>215.07</v>
      </c>
      <c r="L395" s="54">
        <f t="shared" si="213"/>
        <v>32.82</v>
      </c>
      <c r="M395" s="54">
        <f t="shared" si="213"/>
        <v>194.8365</v>
      </c>
      <c r="N395" s="54">
        <f t="shared" si="213"/>
        <v>37.9695</v>
      </c>
      <c r="O395" s="54">
        <f t="shared" si="213"/>
        <v>131.6115</v>
      </c>
      <c r="P395" s="54">
        <f t="shared" si="213"/>
        <v>43.773</v>
      </c>
    </row>
    <row r="396">
      <c r="A396" s="13" t="s">
        <v>20</v>
      </c>
      <c r="B396" s="26">
        <v>45646.0</v>
      </c>
      <c r="C396" s="13" t="s">
        <v>25</v>
      </c>
      <c r="D396" s="13">
        <v>9.3</v>
      </c>
      <c r="E396" s="13" t="s">
        <v>22</v>
      </c>
      <c r="F396" s="13">
        <v>4.0</v>
      </c>
      <c r="G396" s="13" t="s">
        <v>54</v>
      </c>
      <c r="H396" s="23">
        <v>10.4242</v>
      </c>
      <c r="I396" s="54">
        <f t="shared" ref="I396:P396" si="214">I36*1.5</f>
        <v>6.0855</v>
      </c>
      <c r="J396" s="54">
        <f t="shared" si="214"/>
        <v>0.054</v>
      </c>
      <c r="K396" s="54">
        <f t="shared" si="214"/>
        <v>215.4525</v>
      </c>
      <c r="L396" s="54">
        <f t="shared" si="214"/>
        <v>33.42</v>
      </c>
      <c r="M396" s="54">
        <f t="shared" si="214"/>
        <v>193.326</v>
      </c>
      <c r="N396" s="54">
        <f t="shared" si="214"/>
        <v>35.3355</v>
      </c>
      <c r="O396" s="54">
        <f t="shared" si="214"/>
        <v>131.457</v>
      </c>
      <c r="P396" s="54">
        <f t="shared" si="214"/>
        <v>35.742</v>
      </c>
    </row>
    <row r="397">
      <c r="A397" s="13" t="s">
        <v>20</v>
      </c>
      <c r="B397" s="26">
        <v>45646.0</v>
      </c>
      <c r="C397" s="13" t="s">
        <v>25</v>
      </c>
      <c r="D397" s="13">
        <v>9.4</v>
      </c>
      <c r="E397" s="13" t="s">
        <v>22</v>
      </c>
      <c r="F397" s="13">
        <v>4.0</v>
      </c>
      <c r="G397" s="13" t="s">
        <v>54</v>
      </c>
      <c r="H397" s="23">
        <v>10.5578</v>
      </c>
      <c r="I397" s="54">
        <f t="shared" ref="I397:P397" si="215">I37*1.5</f>
        <v>6.996</v>
      </c>
      <c r="J397" s="54">
        <f t="shared" si="215"/>
        <v>0.18</v>
      </c>
      <c r="K397" s="54">
        <f t="shared" si="215"/>
        <v>216.264</v>
      </c>
      <c r="L397" s="54">
        <f t="shared" si="215"/>
        <v>29.472</v>
      </c>
      <c r="M397" s="54">
        <f t="shared" si="215"/>
        <v>193.0815</v>
      </c>
      <c r="N397" s="54">
        <f t="shared" si="215"/>
        <v>32.7285</v>
      </c>
      <c r="O397" s="54">
        <f t="shared" si="215"/>
        <v>129.711</v>
      </c>
      <c r="P397" s="54">
        <f t="shared" si="215"/>
        <v>35.589</v>
      </c>
    </row>
    <row r="398">
      <c r="A398" s="13" t="s">
        <v>20</v>
      </c>
      <c r="B398" s="26">
        <v>45702.0</v>
      </c>
      <c r="C398" s="13" t="s">
        <v>21</v>
      </c>
      <c r="D398" s="13">
        <v>7.1</v>
      </c>
      <c r="E398" s="13" t="s">
        <v>22</v>
      </c>
      <c r="F398" s="13">
        <v>4.0</v>
      </c>
      <c r="G398" s="13" t="s">
        <v>55</v>
      </c>
      <c r="H398" s="16">
        <v>14.1714</v>
      </c>
      <c r="I398" s="54">
        <f t="shared" ref="I398:P398" si="216">I362*1.02</f>
        <v>8.70417</v>
      </c>
      <c r="J398" s="54">
        <f t="shared" si="216"/>
        <v>0.06732</v>
      </c>
      <c r="K398" s="54">
        <f t="shared" si="216"/>
        <v>238.24548</v>
      </c>
      <c r="L398" s="54">
        <f t="shared" si="216"/>
        <v>37.48653</v>
      </c>
      <c r="M398" s="54">
        <f t="shared" si="216"/>
        <v>200.54016</v>
      </c>
      <c r="N398" s="54">
        <f t="shared" si="216"/>
        <v>40.09671</v>
      </c>
      <c r="O398" s="54">
        <f t="shared" si="216"/>
        <v>132.81318</v>
      </c>
      <c r="P398" s="54">
        <f t="shared" si="216"/>
        <v>46.12491</v>
      </c>
    </row>
    <row r="399">
      <c r="A399" s="13" t="s">
        <v>20</v>
      </c>
      <c r="B399" s="26">
        <v>45702.0</v>
      </c>
      <c r="C399" s="13" t="s">
        <v>21</v>
      </c>
      <c r="D399" s="13">
        <v>7.2</v>
      </c>
      <c r="E399" s="13" t="s">
        <v>22</v>
      </c>
      <c r="F399" s="13">
        <v>4.0</v>
      </c>
      <c r="G399" s="13" t="s">
        <v>55</v>
      </c>
      <c r="H399" s="55">
        <v>10.7535</v>
      </c>
      <c r="I399" s="54">
        <f t="shared" ref="I399:P399" si="217">I363*1.02</f>
        <v>8.99181</v>
      </c>
      <c r="J399" s="54">
        <f t="shared" si="217"/>
        <v>0.15759</v>
      </c>
      <c r="K399" s="54">
        <f t="shared" si="217"/>
        <v>230.3415</v>
      </c>
      <c r="L399" s="54">
        <f t="shared" si="217"/>
        <v>41.74146</v>
      </c>
      <c r="M399" s="54">
        <f t="shared" si="217"/>
        <v>205.41933</v>
      </c>
      <c r="N399" s="54">
        <f t="shared" si="217"/>
        <v>44.39907</v>
      </c>
      <c r="O399" s="54">
        <f t="shared" si="217"/>
        <v>132.74433</v>
      </c>
      <c r="P399" s="54">
        <f t="shared" si="217"/>
        <v>50.55426</v>
      </c>
    </row>
    <row r="400">
      <c r="A400" s="13" t="s">
        <v>20</v>
      </c>
      <c r="B400" s="26">
        <v>45702.0</v>
      </c>
      <c r="C400" s="13" t="s">
        <v>21</v>
      </c>
      <c r="D400" s="13">
        <v>7.3</v>
      </c>
      <c r="E400" s="13" t="s">
        <v>22</v>
      </c>
      <c r="F400" s="13">
        <v>4.0</v>
      </c>
      <c r="G400" s="13" t="s">
        <v>55</v>
      </c>
      <c r="H400" s="55">
        <v>11.4944</v>
      </c>
      <c r="I400" s="54">
        <f t="shared" ref="I400:P400" si="218">I364*1.02</f>
        <v>9.86544</v>
      </c>
      <c r="J400" s="54">
        <f t="shared" si="218"/>
        <v>0.10098</v>
      </c>
      <c r="K400" s="54">
        <f t="shared" si="218"/>
        <v>234.82287</v>
      </c>
      <c r="L400" s="54">
        <f t="shared" si="218"/>
        <v>35.10126</v>
      </c>
      <c r="M400" s="54">
        <f t="shared" si="218"/>
        <v>206.51175</v>
      </c>
      <c r="N400" s="54">
        <f t="shared" si="218"/>
        <v>35.87085</v>
      </c>
      <c r="O400" s="54">
        <f t="shared" si="218"/>
        <v>143.40231</v>
      </c>
      <c r="P400" s="54">
        <f t="shared" si="218"/>
        <v>45.94131</v>
      </c>
    </row>
    <row r="401">
      <c r="A401" s="13" t="s">
        <v>20</v>
      </c>
      <c r="B401" s="26">
        <v>45702.0</v>
      </c>
      <c r="C401" s="13" t="s">
        <v>21</v>
      </c>
      <c r="D401" s="13">
        <v>7.4</v>
      </c>
      <c r="E401" s="13" t="s">
        <v>22</v>
      </c>
      <c r="F401" s="13">
        <v>4.0</v>
      </c>
      <c r="G401" s="13" t="s">
        <v>55</v>
      </c>
      <c r="H401" s="55">
        <v>12.6968</v>
      </c>
      <c r="I401" s="54">
        <f t="shared" ref="I401:P401" si="219">I365*1.02</f>
        <v>9.56403</v>
      </c>
      <c r="J401" s="54">
        <f t="shared" si="219"/>
        <v>0.06273</v>
      </c>
      <c r="K401" s="54">
        <f t="shared" si="219"/>
        <v>227.15451</v>
      </c>
      <c r="L401" s="54">
        <f t="shared" si="219"/>
        <v>38.27601</v>
      </c>
      <c r="M401" s="54">
        <f t="shared" si="219"/>
        <v>187.3791</v>
      </c>
      <c r="N401" s="54">
        <f t="shared" si="219"/>
        <v>42.73596</v>
      </c>
      <c r="O401" s="54">
        <f t="shared" si="219"/>
        <v>110.36961</v>
      </c>
      <c r="P401" s="54">
        <f t="shared" si="219"/>
        <v>45.87399</v>
      </c>
    </row>
    <row r="402">
      <c r="A402" s="13" t="s">
        <v>20</v>
      </c>
      <c r="B402" s="26">
        <v>45702.0</v>
      </c>
      <c r="C402" s="13" t="s">
        <v>21</v>
      </c>
      <c r="D402" s="13">
        <v>8.1</v>
      </c>
      <c r="E402" s="13" t="s">
        <v>22</v>
      </c>
      <c r="F402" s="13">
        <v>4.0</v>
      </c>
      <c r="G402" s="13" t="s">
        <v>55</v>
      </c>
      <c r="H402" s="55">
        <v>12.7356</v>
      </c>
      <c r="I402" s="54">
        <f t="shared" ref="I402:P402" si="220">I366*1.02</f>
        <v>4.50126</v>
      </c>
      <c r="J402" s="54">
        <f t="shared" si="220"/>
        <v>0.03213</v>
      </c>
      <c r="K402" s="54">
        <f t="shared" si="220"/>
        <v>376.56207</v>
      </c>
      <c r="L402" s="54">
        <f t="shared" si="220"/>
        <v>37.72062</v>
      </c>
      <c r="M402" s="54">
        <f t="shared" si="220"/>
        <v>184.7016</v>
      </c>
      <c r="N402" s="54">
        <f t="shared" si="220"/>
        <v>40.75767</v>
      </c>
      <c r="O402" s="54">
        <f t="shared" si="220"/>
        <v>121.80024</v>
      </c>
      <c r="P402" s="54">
        <f t="shared" si="220"/>
        <v>42.31674</v>
      </c>
    </row>
    <row r="403">
      <c r="A403" s="13" t="s">
        <v>20</v>
      </c>
      <c r="B403" s="26">
        <v>45702.0</v>
      </c>
      <c r="C403" s="13" t="s">
        <v>21</v>
      </c>
      <c r="D403" s="13">
        <v>8.2</v>
      </c>
      <c r="E403" s="13" t="s">
        <v>22</v>
      </c>
      <c r="F403" s="13">
        <v>4.0</v>
      </c>
      <c r="G403" s="13" t="s">
        <v>55</v>
      </c>
      <c r="H403" s="55">
        <v>13.2382</v>
      </c>
      <c r="I403" s="54">
        <f t="shared" ref="I403:P403" si="221">I367*1.02</f>
        <v>6.05574</v>
      </c>
      <c r="J403" s="54">
        <f t="shared" si="221"/>
        <v>0.02295</v>
      </c>
      <c r="K403" s="54">
        <f t="shared" si="221"/>
        <v>242.69625</v>
      </c>
      <c r="L403" s="54">
        <f t="shared" si="221"/>
        <v>32.50791</v>
      </c>
      <c r="M403" s="54">
        <f t="shared" si="221"/>
        <v>201.09096</v>
      </c>
      <c r="N403" s="54">
        <f t="shared" si="221"/>
        <v>39.48777</v>
      </c>
      <c r="O403" s="54">
        <f t="shared" si="221"/>
        <v>123.19407</v>
      </c>
      <c r="P403" s="54">
        <f t="shared" si="221"/>
        <v>45.28647</v>
      </c>
    </row>
    <row r="404">
      <c r="A404" s="13" t="s">
        <v>20</v>
      </c>
      <c r="B404" s="26">
        <v>45702.0</v>
      </c>
      <c r="C404" s="13" t="s">
        <v>21</v>
      </c>
      <c r="D404" s="13">
        <v>8.3</v>
      </c>
      <c r="E404" s="13" t="s">
        <v>22</v>
      </c>
      <c r="F404" s="13">
        <v>4.0</v>
      </c>
      <c r="G404" s="13" t="s">
        <v>55</v>
      </c>
      <c r="H404" s="55">
        <v>10.3421</v>
      </c>
      <c r="I404" s="54">
        <f t="shared" ref="I404:P404" si="222">I368*1.02</f>
        <v>5.17446</v>
      </c>
      <c r="J404" s="54">
        <f t="shared" si="222"/>
        <v>0.01683</v>
      </c>
      <c r="K404" s="54">
        <f t="shared" si="222"/>
        <v>230.7546</v>
      </c>
      <c r="L404" s="54">
        <f t="shared" si="222"/>
        <v>37.58292</v>
      </c>
      <c r="M404" s="54">
        <f t="shared" si="222"/>
        <v>190.49112</v>
      </c>
      <c r="N404" s="54">
        <f t="shared" si="222"/>
        <v>42.80022</v>
      </c>
      <c r="O404" s="54">
        <f t="shared" si="222"/>
        <v>116.07804</v>
      </c>
      <c r="P404" s="54">
        <f t="shared" si="222"/>
        <v>40.58172</v>
      </c>
    </row>
    <row r="405">
      <c r="A405" s="13" t="s">
        <v>20</v>
      </c>
      <c r="B405" s="26">
        <v>45702.0</v>
      </c>
      <c r="C405" s="13" t="s">
        <v>21</v>
      </c>
      <c r="D405" s="13">
        <v>8.4</v>
      </c>
      <c r="E405" s="13" t="s">
        <v>22</v>
      </c>
      <c r="F405" s="13">
        <v>4.0</v>
      </c>
      <c r="G405" s="13" t="s">
        <v>55</v>
      </c>
      <c r="H405" s="55">
        <v>13.5296</v>
      </c>
      <c r="I405" s="54">
        <f t="shared" ref="I405:P405" si="223">I369*1.02</f>
        <v>5.29533</v>
      </c>
      <c r="J405" s="54">
        <f t="shared" si="223"/>
        <v>0.01683</v>
      </c>
      <c r="K405" s="54">
        <f t="shared" si="223"/>
        <v>239.21091</v>
      </c>
      <c r="L405" s="54">
        <f t="shared" si="223"/>
        <v>32.41458</v>
      </c>
      <c r="M405" s="54">
        <f t="shared" si="223"/>
        <v>199.93734</v>
      </c>
      <c r="N405" s="54">
        <f t="shared" si="223"/>
        <v>36.09423</v>
      </c>
      <c r="O405" s="54">
        <f t="shared" si="223"/>
        <v>119.00952</v>
      </c>
      <c r="P405" s="54">
        <f t="shared" si="223"/>
        <v>39.00123</v>
      </c>
    </row>
    <row r="406">
      <c r="A406" s="13" t="s">
        <v>20</v>
      </c>
      <c r="B406" s="26">
        <v>45702.0</v>
      </c>
      <c r="C406" s="13" t="s">
        <v>21</v>
      </c>
      <c r="D406" s="13">
        <v>9.1</v>
      </c>
      <c r="E406" s="13" t="s">
        <v>22</v>
      </c>
      <c r="F406" s="13">
        <v>4.0</v>
      </c>
      <c r="G406" s="13" t="s">
        <v>55</v>
      </c>
      <c r="H406" s="55">
        <v>12.0685</v>
      </c>
      <c r="I406" s="54">
        <f t="shared" ref="I406:P406" si="224">I370*1.02</f>
        <v>6.95232</v>
      </c>
      <c r="J406" s="54">
        <f t="shared" si="224"/>
        <v>0.06579</v>
      </c>
      <c r="K406" s="54">
        <f t="shared" si="224"/>
        <v>206.6265</v>
      </c>
      <c r="L406" s="54">
        <f t="shared" si="224"/>
        <v>52.73145</v>
      </c>
      <c r="M406" s="54">
        <f t="shared" si="224"/>
        <v>255.38454</v>
      </c>
      <c r="N406" s="54">
        <f t="shared" si="224"/>
        <v>53.57754</v>
      </c>
      <c r="O406" s="54">
        <f t="shared" si="224"/>
        <v>118.46331</v>
      </c>
      <c r="P406" s="54">
        <f t="shared" si="224"/>
        <v>54.65772</v>
      </c>
    </row>
    <row r="407">
      <c r="A407" s="13" t="s">
        <v>20</v>
      </c>
      <c r="B407" s="26">
        <v>45702.0</v>
      </c>
      <c r="C407" s="13" t="s">
        <v>21</v>
      </c>
      <c r="D407" s="13">
        <v>9.2</v>
      </c>
      <c r="E407" s="13" t="s">
        <v>22</v>
      </c>
      <c r="F407" s="13">
        <v>4.0</v>
      </c>
      <c r="G407" s="13" t="s">
        <v>55</v>
      </c>
      <c r="H407" s="55">
        <v>10.7099</v>
      </c>
      <c r="I407" s="54">
        <f t="shared" ref="I407:P407" si="225">I371*1.02</f>
        <v>6.2577</v>
      </c>
      <c r="J407" s="54">
        <f t="shared" si="225"/>
        <v>0.03519</v>
      </c>
      <c r="K407" s="54">
        <f t="shared" si="225"/>
        <v>202.8168</v>
      </c>
      <c r="L407" s="54">
        <f t="shared" si="225"/>
        <v>45.87399</v>
      </c>
      <c r="M407" s="54">
        <f t="shared" si="225"/>
        <v>176.77773</v>
      </c>
      <c r="N407" s="54">
        <f t="shared" si="225"/>
        <v>47.941938</v>
      </c>
      <c r="O407" s="54">
        <f t="shared" si="225"/>
        <v>106.03512</v>
      </c>
      <c r="P407" s="54">
        <f t="shared" si="225"/>
        <v>48.4704</v>
      </c>
    </row>
    <row r="408">
      <c r="A408" s="13" t="s">
        <v>20</v>
      </c>
      <c r="B408" s="26">
        <v>45702.0</v>
      </c>
      <c r="C408" s="13" t="s">
        <v>21</v>
      </c>
      <c r="D408" s="13">
        <v>9.3</v>
      </c>
      <c r="E408" s="13" t="s">
        <v>22</v>
      </c>
      <c r="F408" s="13">
        <v>4.0</v>
      </c>
      <c r="G408" s="13" t="s">
        <v>55</v>
      </c>
      <c r="H408" s="55">
        <v>10.7319</v>
      </c>
      <c r="I408" s="54">
        <f t="shared" ref="I408:P408" si="226">I372*1.02</f>
        <v>5.10561</v>
      </c>
      <c r="J408" s="54">
        <f t="shared" si="226"/>
        <v>0.03366</v>
      </c>
      <c r="K408" s="54">
        <f t="shared" si="226"/>
        <v>208.84806</v>
      </c>
      <c r="L408" s="54">
        <f t="shared" si="226"/>
        <v>48.19806</v>
      </c>
      <c r="M408" s="54">
        <f t="shared" si="226"/>
        <v>175.86738</v>
      </c>
      <c r="N408" s="54">
        <f t="shared" si="226"/>
        <v>50.01876</v>
      </c>
      <c r="O408" s="54">
        <f t="shared" si="226"/>
        <v>107.18874</v>
      </c>
      <c r="P408" s="54">
        <f t="shared" si="226"/>
        <v>49.33638</v>
      </c>
    </row>
    <row r="409">
      <c r="A409" s="13" t="s">
        <v>20</v>
      </c>
      <c r="B409" s="26">
        <v>45702.0</v>
      </c>
      <c r="C409" s="13" t="s">
        <v>21</v>
      </c>
      <c r="D409" s="13">
        <v>9.4</v>
      </c>
      <c r="E409" s="13" t="s">
        <v>22</v>
      </c>
      <c r="F409" s="13">
        <v>4.0</v>
      </c>
      <c r="G409" s="13" t="s">
        <v>55</v>
      </c>
      <c r="H409" s="55">
        <v>10.7223</v>
      </c>
      <c r="I409" s="54">
        <f t="shared" ref="I409:P409" si="227">I373*1.02</f>
        <v>6.42753</v>
      </c>
      <c r="J409" s="54">
        <f t="shared" si="227"/>
        <v>0.2295</v>
      </c>
      <c r="K409" s="54">
        <f t="shared" si="227"/>
        <v>213.52986</v>
      </c>
      <c r="L409" s="54">
        <f t="shared" si="227"/>
        <v>44.25372</v>
      </c>
      <c r="M409" s="54">
        <f t="shared" si="227"/>
        <v>189.42165</v>
      </c>
      <c r="N409" s="54">
        <f t="shared" si="227"/>
        <v>45.71028</v>
      </c>
      <c r="O409" s="54">
        <f t="shared" si="227"/>
        <v>110.10033</v>
      </c>
      <c r="P409" s="54">
        <f t="shared" si="227"/>
        <v>51.49062</v>
      </c>
    </row>
    <row r="410">
      <c r="A410" s="13" t="s">
        <v>20</v>
      </c>
      <c r="B410" s="26">
        <v>45702.0</v>
      </c>
      <c r="C410" s="13" t="s">
        <v>24</v>
      </c>
      <c r="D410" s="13">
        <v>7.1</v>
      </c>
      <c r="E410" s="13" t="s">
        <v>22</v>
      </c>
      <c r="F410" s="13">
        <v>4.0</v>
      </c>
      <c r="G410" s="13" t="s">
        <v>55</v>
      </c>
      <c r="H410" s="55">
        <v>10.801</v>
      </c>
      <c r="I410" s="54">
        <f t="shared" ref="I410:P410" si="228">I374*1.02</f>
        <v>9.70632</v>
      </c>
      <c r="J410" s="54">
        <f t="shared" si="228"/>
        <v>0.06426</v>
      </c>
      <c r="K410" s="54">
        <f t="shared" si="228"/>
        <v>220.86315</v>
      </c>
      <c r="L410" s="54">
        <f t="shared" si="228"/>
        <v>28.81755</v>
      </c>
      <c r="M410" s="54">
        <f t="shared" si="228"/>
        <v>170.2584</v>
      </c>
      <c r="N410" s="54">
        <f t="shared" si="228"/>
        <v>30.13947</v>
      </c>
      <c r="O410" s="54">
        <f t="shared" si="228"/>
        <v>93.72321</v>
      </c>
      <c r="P410" s="54">
        <f t="shared" si="228"/>
        <v>33.0786</v>
      </c>
    </row>
    <row r="411">
      <c r="A411" s="13" t="s">
        <v>20</v>
      </c>
      <c r="B411" s="26">
        <v>45702.0</v>
      </c>
      <c r="C411" s="13" t="s">
        <v>24</v>
      </c>
      <c r="D411" s="13">
        <v>7.2</v>
      </c>
      <c r="E411" s="13" t="s">
        <v>22</v>
      </c>
      <c r="F411" s="13">
        <v>4.0</v>
      </c>
      <c r="G411" s="13" t="s">
        <v>55</v>
      </c>
      <c r="H411" s="55">
        <v>11.5334</v>
      </c>
      <c r="I411" s="54">
        <f t="shared" ref="I411:P411" si="229">I375*1.02</f>
        <v>7.9407</v>
      </c>
      <c r="J411" s="54">
        <f t="shared" si="229"/>
        <v>0.0612</v>
      </c>
      <c r="K411" s="54">
        <f t="shared" si="229"/>
        <v>227.38248</v>
      </c>
      <c r="L411" s="54">
        <f t="shared" si="229"/>
        <v>29.48922</v>
      </c>
      <c r="M411" s="54">
        <f t="shared" si="229"/>
        <v>189.05751</v>
      </c>
      <c r="N411" s="54">
        <f t="shared" si="229"/>
        <v>27.19881</v>
      </c>
      <c r="O411" s="54">
        <f t="shared" si="229"/>
        <v>121.49118</v>
      </c>
      <c r="P411" s="54">
        <f t="shared" si="229"/>
        <v>34.55811</v>
      </c>
    </row>
    <row r="412">
      <c r="A412" s="13" t="s">
        <v>20</v>
      </c>
      <c r="B412" s="26">
        <v>45702.0</v>
      </c>
      <c r="C412" s="13" t="s">
        <v>24</v>
      </c>
      <c r="D412" s="13">
        <v>7.3</v>
      </c>
      <c r="E412" s="13" t="s">
        <v>22</v>
      </c>
      <c r="F412" s="13">
        <v>4.0</v>
      </c>
      <c r="G412" s="13" t="s">
        <v>55</v>
      </c>
      <c r="H412" s="55">
        <v>13.561</v>
      </c>
      <c r="I412" s="54">
        <f t="shared" ref="I412:P412" si="230">I376*1.02</f>
        <v>7.52301</v>
      </c>
      <c r="J412" s="54">
        <f t="shared" si="230"/>
        <v>0.09639</v>
      </c>
      <c r="K412" s="54">
        <f t="shared" si="230"/>
        <v>219.67434</v>
      </c>
      <c r="L412" s="54">
        <f t="shared" si="230"/>
        <v>21.01761</v>
      </c>
      <c r="M412" s="54">
        <f t="shared" si="230"/>
        <v>187.72947</v>
      </c>
      <c r="N412" s="54">
        <f t="shared" si="230"/>
        <v>24.44175</v>
      </c>
      <c r="O412" s="54">
        <f t="shared" si="230"/>
        <v>117.01134</v>
      </c>
      <c r="P412" s="54">
        <f t="shared" si="230"/>
        <v>34.27506</v>
      </c>
    </row>
    <row r="413">
      <c r="A413" s="13" t="s">
        <v>20</v>
      </c>
      <c r="B413" s="26">
        <v>45702.0</v>
      </c>
      <c r="C413" s="13" t="s">
        <v>24</v>
      </c>
      <c r="D413" s="13">
        <v>7.4</v>
      </c>
      <c r="E413" s="13" t="s">
        <v>22</v>
      </c>
      <c r="F413" s="13">
        <v>4.0</v>
      </c>
      <c r="G413" s="13" t="s">
        <v>55</v>
      </c>
      <c r="H413" s="55">
        <v>11.9272</v>
      </c>
      <c r="I413" s="54">
        <f t="shared" ref="I413:P413" si="231">I377*1.02</f>
        <v>5.72679</v>
      </c>
      <c r="J413" s="54">
        <f t="shared" si="231"/>
        <v>0.02754</v>
      </c>
      <c r="K413" s="54">
        <f t="shared" si="231"/>
        <v>230.82345</v>
      </c>
      <c r="L413" s="54">
        <f t="shared" si="231"/>
        <v>20.62593</v>
      </c>
      <c r="M413" s="54">
        <f t="shared" si="231"/>
        <v>194.11875</v>
      </c>
      <c r="N413" s="54">
        <f t="shared" si="231"/>
        <v>22.86126</v>
      </c>
      <c r="O413" s="54">
        <f t="shared" si="231"/>
        <v>116.45289</v>
      </c>
      <c r="P413" s="54">
        <f t="shared" si="231"/>
        <v>30.52809</v>
      </c>
    </row>
    <row r="414">
      <c r="A414" s="13" t="s">
        <v>20</v>
      </c>
      <c r="B414" s="26">
        <v>45702.0</v>
      </c>
      <c r="C414" s="13" t="s">
        <v>24</v>
      </c>
      <c r="D414" s="13">
        <v>8.1</v>
      </c>
      <c r="E414" s="13" t="s">
        <v>22</v>
      </c>
      <c r="F414" s="13">
        <v>4.0</v>
      </c>
      <c r="G414" s="13" t="s">
        <v>55</v>
      </c>
      <c r="H414" s="55">
        <v>12.8026</v>
      </c>
      <c r="I414" s="54">
        <f t="shared" ref="I414:P414" si="232">I378*1.02</f>
        <v>4.32684</v>
      </c>
      <c r="J414" s="54">
        <f t="shared" si="232"/>
        <v>0.07803</v>
      </c>
      <c r="K414" s="54">
        <f t="shared" si="232"/>
        <v>189.5211</v>
      </c>
      <c r="L414" s="54">
        <f t="shared" si="232"/>
        <v>27.94698</v>
      </c>
      <c r="M414" s="54">
        <f t="shared" si="232"/>
        <v>144.10305</v>
      </c>
      <c r="N414" s="54">
        <f t="shared" si="232"/>
        <v>30.20373</v>
      </c>
      <c r="O414" s="54">
        <f t="shared" si="232"/>
        <v>80.39079</v>
      </c>
      <c r="P414" s="54">
        <f t="shared" si="232"/>
        <v>31.79799</v>
      </c>
    </row>
    <row r="415">
      <c r="A415" s="13" t="s">
        <v>20</v>
      </c>
      <c r="B415" s="26">
        <v>45702.0</v>
      </c>
      <c r="C415" s="13" t="s">
        <v>24</v>
      </c>
      <c r="D415" s="13">
        <v>8.2</v>
      </c>
      <c r="E415" s="13" t="s">
        <v>22</v>
      </c>
      <c r="F415" s="13">
        <v>4.0</v>
      </c>
      <c r="G415" s="13" t="s">
        <v>55</v>
      </c>
      <c r="H415" s="55">
        <v>11.6746</v>
      </c>
      <c r="I415" s="54">
        <f t="shared" ref="I415:P415" si="233">I379*1.02</f>
        <v>4.2228</v>
      </c>
      <c r="J415" s="54">
        <f t="shared" si="233"/>
        <v>0.12087</v>
      </c>
      <c r="K415" s="54">
        <f t="shared" si="233"/>
        <v>180.22329</v>
      </c>
      <c r="L415" s="54">
        <f t="shared" si="233"/>
        <v>23.62014</v>
      </c>
      <c r="M415" s="54">
        <f t="shared" si="233"/>
        <v>131.57388</v>
      </c>
      <c r="N415" s="54">
        <f t="shared" si="233"/>
        <v>25.5969</v>
      </c>
      <c r="O415" s="54">
        <f t="shared" si="233"/>
        <v>62.59995</v>
      </c>
      <c r="P415" s="54">
        <f t="shared" si="233"/>
        <v>26.74287</v>
      </c>
    </row>
    <row r="416">
      <c r="A416" s="13" t="s">
        <v>20</v>
      </c>
      <c r="B416" s="26">
        <v>45702.0</v>
      </c>
      <c r="C416" s="13" t="s">
        <v>24</v>
      </c>
      <c r="D416" s="13">
        <v>8.3</v>
      </c>
      <c r="E416" s="13" t="s">
        <v>22</v>
      </c>
      <c r="F416" s="13">
        <v>4.0</v>
      </c>
      <c r="G416" s="13" t="s">
        <v>55</v>
      </c>
      <c r="H416" s="55">
        <v>11.9464</v>
      </c>
      <c r="I416" s="54">
        <f t="shared" ref="I416:P416" si="234">I380*1.02</f>
        <v>4.7277</v>
      </c>
      <c r="J416" s="54">
        <f t="shared" si="234"/>
        <v>0.03672</v>
      </c>
      <c r="K416" s="54">
        <f t="shared" si="234"/>
        <v>169.53318</v>
      </c>
      <c r="L416" s="54">
        <f t="shared" si="234"/>
        <v>25.76673</v>
      </c>
      <c r="M416" s="54">
        <f t="shared" si="234"/>
        <v>121.6197</v>
      </c>
      <c r="N416" s="54">
        <f t="shared" si="234"/>
        <v>24.70185</v>
      </c>
      <c r="O416" s="54">
        <f t="shared" si="234"/>
        <v>64.49409</v>
      </c>
      <c r="P416" s="54">
        <f t="shared" si="234"/>
        <v>21.15072</v>
      </c>
    </row>
    <row r="417">
      <c r="A417" s="13" t="s">
        <v>20</v>
      </c>
      <c r="B417" s="26">
        <v>45702.0</v>
      </c>
      <c r="C417" s="13" t="s">
        <v>24</v>
      </c>
      <c r="D417" s="13">
        <v>8.4</v>
      </c>
      <c r="E417" s="13" t="s">
        <v>22</v>
      </c>
      <c r="F417" s="13">
        <v>4.0</v>
      </c>
      <c r="G417" s="13" t="s">
        <v>55</v>
      </c>
      <c r="H417" s="55">
        <v>10.4982</v>
      </c>
      <c r="I417" s="54">
        <f t="shared" ref="I417:P417" si="235">I381*1.02</f>
        <v>4.00095</v>
      </c>
      <c r="J417" s="54">
        <f t="shared" si="235"/>
        <v>0.03519</v>
      </c>
      <c r="K417" s="54">
        <f t="shared" si="235"/>
        <v>176.31873</v>
      </c>
      <c r="L417" s="54">
        <f t="shared" si="235"/>
        <v>27.96381</v>
      </c>
      <c r="M417" s="54">
        <f t="shared" si="235"/>
        <v>129.04326</v>
      </c>
      <c r="N417" s="54">
        <f t="shared" si="235"/>
        <v>30.91212</v>
      </c>
      <c r="O417" s="54">
        <f t="shared" si="235"/>
        <v>73.90971</v>
      </c>
      <c r="P417" s="54">
        <f t="shared" si="235"/>
        <v>34.00731</v>
      </c>
    </row>
    <row r="418">
      <c r="A418" s="13" t="s">
        <v>20</v>
      </c>
      <c r="B418" s="26">
        <v>45702.0</v>
      </c>
      <c r="C418" s="13" t="s">
        <v>24</v>
      </c>
      <c r="D418" s="13">
        <v>9.1</v>
      </c>
      <c r="E418" s="13" t="s">
        <v>22</v>
      </c>
      <c r="F418" s="13">
        <v>4.0</v>
      </c>
      <c r="G418" s="13" t="s">
        <v>55</v>
      </c>
      <c r="H418" s="55">
        <v>11.1874</v>
      </c>
      <c r="I418" s="54">
        <f t="shared" ref="I418:P418" si="236">I382*1.02</f>
        <v>6.31125</v>
      </c>
      <c r="J418" s="54">
        <f t="shared" si="236"/>
        <v>0.03213</v>
      </c>
      <c r="K418" s="54">
        <f t="shared" si="236"/>
        <v>222.2019</v>
      </c>
      <c r="L418" s="54">
        <f t="shared" si="236"/>
        <v>24.37749</v>
      </c>
      <c r="M418" s="54">
        <f t="shared" si="236"/>
        <v>174.27312</v>
      </c>
      <c r="N418" s="54">
        <f t="shared" si="236"/>
        <v>29.12355</v>
      </c>
      <c r="O418" s="54">
        <f t="shared" si="236"/>
        <v>100.32669</v>
      </c>
      <c r="P418" s="54">
        <f t="shared" si="236"/>
        <v>34.93908</v>
      </c>
    </row>
    <row r="419">
      <c r="A419" s="13" t="s">
        <v>20</v>
      </c>
      <c r="B419" s="26">
        <v>45702.0</v>
      </c>
      <c r="C419" s="13" t="s">
        <v>24</v>
      </c>
      <c r="D419" s="13">
        <v>9.2</v>
      </c>
      <c r="E419" s="13" t="s">
        <v>22</v>
      </c>
      <c r="F419" s="13">
        <v>4.0</v>
      </c>
      <c r="G419" s="13" t="s">
        <v>55</v>
      </c>
      <c r="H419" s="55">
        <v>10.0842</v>
      </c>
      <c r="I419" s="54">
        <f t="shared" ref="I419:P419" si="237">I383*1.02</f>
        <v>6.56829</v>
      </c>
      <c r="J419" s="54">
        <f t="shared" si="237"/>
        <v>0.11934</v>
      </c>
      <c r="K419" s="54">
        <f t="shared" si="237"/>
        <v>213.76242</v>
      </c>
      <c r="L419" s="54">
        <f t="shared" si="237"/>
        <v>17.53227</v>
      </c>
      <c r="M419" s="54">
        <f t="shared" si="237"/>
        <v>161.58636</v>
      </c>
      <c r="N419" s="54">
        <f t="shared" si="237"/>
        <v>20.75904</v>
      </c>
      <c r="O419" s="54">
        <f t="shared" si="237"/>
        <v>78.83019</v>
      </c>
      <c r="P419" s="54">
        <f t="shared" si="237"/>
        <v>20.17611</v>
      </c>
    </row>
    <row r="420">
      <c r="A420" s="13" t="s">
        <v>20</v>
      </c>
      <c r="B420" s="26">
        <v>45702.0</v>
      </c>
      <c r="C420" s="13" t="s">
        <v>24</v>
      </c>
      <c r="D420" s="13">
        <v>9.3</v>
      </c>
      <c r="E420" s="13" t="s">
        <v>22</v>
      </c>
      <c r="F420" s="13">
        <v>4.0</v>
      </c>
      <c r="G420" s="13" t="s">
        <v>55</v>
      </c>
      <c r="H420" s="55">
        <v>11.7155</v>
      </c>
      <c r="I420" s="54">
        <f t="shared" ref="I420:P420" si="238">I384*1.02</f>
        <v>6.9921</v>
      </c>
      <c r="J420" s="54">
        <f t="shared" si="238"/>
        <v>0.07497</v>
      </c>
      <c r="K420" s="54">
        <f t="shared" si="238"/>
        <v>213.22845</v>
      </c>
      <c r="L420" s="54">
        <f t="shared" si="238"/>
        <v>17.63937</v>
      </c>
      <c r="M420" s="54">
        <f t="shared" si="238"/>
        <v>168.05367</v>
      </c>
      <c r="N420" s="54">
        <f t="shared" si="238"/>
        <v>21.21651</v>
      </c>
      <c r="O420" s="54">
        <f t="shared" si="238"/>
        <v>97.60329</v>
      </c>
      <c r="P420" s="54">
        <f t="shared" si="238"/>
        <v>21.6036</v>
      </c>
    </row>
    <row r="421">
      <c r="A421" s="13" t="s">
        <v>20</v>
      </c>
      <c r="B421" s="26">
        <v>45702.0</v>
      </c>
      <c r="C421" s="13" t="s">
        <v>24</v>
      </c>
      <c r="D421" s="13">
        <v>9.4</v>
      </c>
      <c r="E421" s="13" t="s">
        <v>22</v>
      </c>
      <c r="F421" s="13">
        <v>4.0</v>
      </c>
      <c r="G421" s="13" t="s">
        <v>55</v>
      </c>
      <c r="H421" s="55">
        <v>11.2649</v>
      </c>
      <c r="I421" s="54">
        <f t="shared" ref="I421:P421" si="239">I385*1.02</f>
        <v>9.11727</v>
      </c>
      <c r="J421" s="54">
        <f t="shared" si="239"/>
        <v>0.06273</v>
      </c>
      <c r="K421" s="54">
        <f t="shared" si="239"/>
        <v>226.51038</v>
      </c>
      <c r="L421" s="54">
        <f t="shared" si="239"/>
        <v>14.69718</v>
      </c>
      <c r="M421" s="54">
        <f t="shared" si="239"/>
        <v>172.50444</v>
      </c>
      <c r="N421" s="54">
        <f t="shared" si="239"/>
        <v>17.91936</v>
      </c>
      <c r="O421" s="54">
        <f t="shared" si="239"/>
        <v>87.56496</v>
      </c>
      <c r="P421" s="54">
        <f t="shared" si="239"/>
        <v>16.4169</v>
      </c>
    </row>
    <row r="422">
      <c r="A422" s="13" t="s">
        <v>20</v>
      </c>
      <c r="B422" s="26">
        <v>45702.0</v>
      </c>
      <c r="C422" s="13" t="s">
        <v>25</v>
      </c>
      <c r="D422" s="13">
        <v>7.1</v>
      </c>
      <c r="E422" s="13" t="s">
        <v>22</v>
      </c>
      <c r="F422" s="13">
        <v>4.0</v>
      </c>
      <c r="G422" s="13" t="s">
        <v>55</v>
      </c>
      <c r="H422" s="55">
        <v>11.4759</v>
      </c>
      <c r="I422" s="54">
        <f t="shared" ref="I422:P422" si="240">I386*1.02</f>
        <v>6.50097</v>
      </c>
      <c r="J422" s="54">
        <f t="shared" si="240"/>
        <v>0.07956</v>
      </c>
      <c r="K422" s="54">
        <f t="shared" si="240"/>
        <v>199.6191</v>
      </c>
      <c r="L422" s="54">
        <f t="shared" si="240"/>
        <v>36.43389</v>
      </c>
      <c r="M422" s="54">
        <f t="shared" si="240"/>
        <v>180.28296</v>
      </c>
      <c r="N422" s="54">
        <f t="shared" si="240"/>
        <v>38.29131</v>
      </c>
      <c r="O422" s="54">
        <f t="shared" si="240"/>
        <v>104.48982</v>
      </c>
      <c r="P422" s="54">
        <f t="shared" si="240"/>
        <v>36.43389</v>
      </c>
    </row>
    <row r="423">
      <c r="A423" s="13" t="s">
        <v>20</v>
      </c>
      <c r="B423" s="26">
        <v>45702.0</v>
      </c>
      <c r="C423" s="13" t="s">
        <v>25</v>
      </c>
      <c r="D423" s="13">
        <v>7.2</v>
      </c>
      <c r="E423" s="13" t="s">
        <v>22</v>
      </c>
      <c r="F423" s="13">
        <v>4.0</v>
      </c>
      <c r="G423" s="13" t="s">
        <v>55</v>
      </c>
      <c r="H423" s="55">
        <v>11.695</v>
      </c>
      <c r="I423" s="54">
        <f t="shared" ref="I423:P423" si="241">I387*1.02</f>
        <v>6.04962</v>
      </c>
      <c r="J423" s="54">
        <f t="shared" si="241"/>
        <v>0.04437</v>
      </c>
      <c r="K423" s="54">
        <f t="shared" si="241"/>
        <v>206.35569</v>
      </c>
      <c r="L423" s="54">
        <f t="shared" si="241"/>
        <v>34.55505</v>
      </c>
      <c r="M423" s="54">
        <f t="shared" si="241"/>
        <v>189.90054</v>
      </c>
      <c r="N423" s="54">
        <f t="shared" si="241"/>
        <v>35.90298</v>
      </c>
      <c r="O423" s="54">
        <f t="shared" si="241"/>
        <v>127.5714</v>
      </c>
      <c r="P423" s="54">
        <f t="shared" si="241"/>
        <v>35.59698</v>
      </c>
    </row>
    <row r="424">
      <c r="A424" s="13" t="s">
        <v>20</v>
      </c>
      <c r="B424" s="26">
        <v>45702.0</v>
      </c>
      <c r="C424" s="13" t="s">
        <v>25</v>
      </c>
      <c r="D424" s="13">
        <v>7.3</v>
      </c>
      <c r="E424" s="13" t="s">
        <v>22</v>
      </c>
      <c r="F424" s="13">
        <v>4.0</v>
      </c>
      <c r="G424" s="13" t="s">
        <v>55</v>
      </c>
      <c r="H424" s="55">
        <v>12.9366</v>
      </c>
      <c r="I424" s="54">
        <f t="shared" ref="I424:P424" si="242">I388*1.02</f>
        <v>5.9976</v>
      </c>
      <c r="J424" s="54">
        <f t="shared" si="242"/>
        <v>0.10251</v>
      </c>
      <c r="K424" s="54">
        <f t="shared" si="242"/>
        <v>208.54818</v>
      </c>
      <c r="L424" s="54">
        <f t="shared" si="242"/>
        <v>34.31178</v>
      </c>
      <c r="M424" s="54">
        <f t="shared" si="242"/>
        <v>192.61935</v>
      </c>
      <c r="N424" s="54">
        <f t="shared" si="242"/>
        <v>36.25794</v>
      </c>
      <c r="O424" s="54">
        <f t="shared" si="242"/>
        <v>124.51446</v>
      </c>
      <c r="P424" s="54">
        <f t="shared" si="242"/>
        <v>42.13314</v>
      </c>
    </row>
    <row r="425">
      <c r="A425" s="13" t="s">
        <v>20</v>
      </c>
      <c r="B425" s="26">
        <v>45702.0</v>
      </c>
      <c r="C425" s="13" t="s">
        <v>25</v>
      </c>
      <c r="D425" s="13">
        <v>7.4</v>
      </c>
      <c r="E425" s="13" t="s">
        <v>22</v>
      </c>
      <c r="F425" s="13">
        <v>4.0</v>
      </c>
      <c r="G425" s="13" t="s">
        <v>55</v>
      </c>
      <c r="H425" s="55">
        <v>11.4302</v>
      </c>
      <c r="I425" s="54">
        <f t="shared" ref="I425:P425" si="243">I389*1.02</f>
        <v>7.39143</v>
      </c>
      <c r="J425" s="54">
        <f t="shared" si="243"/>
        <v>0.12699</v>
      </c>
      <c r="K425" s="54">
        <f t="shared" si="243"/>
        <v>204.65892</v>
      </c>
      <c r="L425" s="54">
        <f t="shared" si="243"/>
        <v>33.86043</v>
      </c>
      <c r="M425" s="54">
        <f t="shared" si="243"/>
        <v>324.7272</v>
      </c>
      <c r="N425" s="54">
        <f t="shared" si="243"/>
        <v>36.29772</v>
      </c>
      <c r="O425" s="54">
        <f t="shared" si="243"/>
        <v>115.31151</v>
      </c>
      <c r="P425" s="54">
        <f t="shared" si="243"/>
        <v>35.66277</v>
      </c>
    </row>
    <row r="426">
      <c r="A426" s="13" t="s">
        <v>20</v>
      </c>
      <c r="B426" s="26">
        <v>45702.0</v>
      </c>
      <c r="C426" s="13" t="s">
        <v>25</v>
      </c>
      <c r="D426" s="13">
        <v>8.1</v>
      </c>
      <c r="E426" s="13" t="s">
        <v>22</v>
      </c>
      <c r="F426" s="13">
        <v>4.0</v>
      </c>
      <c r="G426" s="13" t="s">
        <v>55</v>
      </c>
      <c r="H426" s="55">
        <v>10.2368</v>
      </c>
      <c r="I426" s="54">
        <f t="shared" ref="I426:P426" si="244">I390*1.02</f>
        <v>7.63776</v>
      </c>
      <c r="J426" s="54">
        <f t="shared" si="244"/>
        <v>0.05814</v>
      </c>
      <c r="K426" s="54">
        <f t="shared" si="244"/>
        <v>218.52684</v>
      </c>
      <c r="L426" s="54">
        <f t="shared" si="244"/>
        <v>31.79187</v>
      </c>
      <c r="M426" s="54">
        <f t="shared" si="244"/>
        <v>193.20228</v>
      </c>
      <c r="N426" s="54">
        <f t="shared" si="244"/>
        <v>36.45531</v>
      </c>
      <c r="O426" s="54">
        <f t="shared" si="244"/>
        <v>128.65005</v>
      </c>
      <c r="P426" s="54">
        <f t="shared" si="244"/>
        <v>38.88036</v>
      </c>
    </row>
    <row r="427">
      <c r="A427" s="13" t="s">
        <v>20</v>
      </c>
      <c r="B427" s="26">
        <v>45702.0</v>
      </c>
      <c r="C427" s="13" t="s">
        <v>25</v>
      </c>
      <c r="D427" s="13">
        <v>8.2</v>
      </c>
      <c r="E427" s="13" t="s">
        <v>22</v>
      </c>
      <c r="F427" s="13">
        <v>4.0</v>
      </c>
      <c r="G427" s="13" t="s">
        <v>55</v>
      </c>
      <c r="H427" s="55">
        <v>11.7226</v>
      </c>
      <c r="I427" s="54">
        <f t="shared" ref="I427:P427" si="245">I391*1.02</f>
        <v>9.7614</v>
      </c>
      <c r="J427" s="54">
        <f t="shared" si="245"/>
        <v>0.06885</v>
      </c>
      <c r="K427" s="54">
        <f t="shared" si="245"/>
        <v>224.69886</v>
      </c>
      <c r="L427" s="54">
        <f t="shared" si="245"/>
        <v>34.73406</v>
      </c>
      <c r="M427" s="54">
        <f t="shared" si="245"/>
        <v>201.2868</v>
      </c>
      <c r="N427" s="54">
        <f t="shared" si="245"/>
        <v>37.69002</v>
      </c>
      <c r="O427" s="54">
        <f t="shared" si="245"/>
        <v>142.6419</v>
      </c>
      <c r="P427" s="54">
        <f t="shared" si="245"/>
        <v>39.03948</v>
      </c>
    </row>
    <row r="428">
      <c r="A428" s="13" t="s">
        <v>20</v>
      </c>
      <c r="B428" s="26">
        <v>45702.0</v>
      </c>
      <c r="C428" s="13" t="s">
        <v>25</v>
      </c>
      <c r="D428" s="13">
        <v>8.3</v>
      </c>
      <c r="E428" s="13" t="s">
        <v>22</v>
      </c>
      <c r="F428" s="13">
        <v>4.0</v>
      </c>
      <c r="G428" s="13" t="s">
        <v>55</v>
      </c>
      <c r="H428" s="55">
        <v>10.9647</v>
      </c>
      <c r="I428" s="54">
        <f t="shared" ref="I428:P428" si="246">I392*1.02</f>
        <v>8.69652</v>
      </c>
      <c r="J428" s="54">
        <f t="shared" si="246"/>
        <v>0.03519</v>
      </c>
      <c r="K428" s="54">
        <f t="shared" si="246"/>
        <v>211.51485</v>
      </c>
      <c r="L428" s="54">
        <f t="shared" si="246"/>
        <v>32.53851</v>
      </c>
      <c r="M428" s="54">
        <f t="shared" si="246"/>
        <v>190.65483</v>
      </c>
      <c r="N428" s="54">
        <f t="shared" si="246"/>
        <v>34.56729</v>
      </c>
      <c r="O428" s="54">
        <f t="shared" si="246"/>
        <v>125.14941</v>
      </c>
      <c r="P428" s="54">
        <f t="shared" si="246"/>
        <v>35.02323</v>
      </c>
    </row>
    <row r="429">
      <c r="A429" s="13" t="s">
        <v>20</v>
      </c>
      <c r="B429" s="26">
        <v>45702.0</v>
      </c>
      <c r="C429" s="13" t="s">
        <v>25</v>
      </c>
      <c r="D429" s="13">
        <v>8.4</v>
      </c>
      <c r="E429" s="13" t="s">
        <v>22</v>
      </c>
      <c r="F429" s="13">
        <v>4.0</v>
      </c>
      <c r="G429" s="13" t="s">
        <v>55</v>
      </c>
      <c r="H429" s="55">
        <v>12.4347</v>
      </c>
      <c r="I429" s="54">
        <f t="shared" ref="I429:P429" si="247">I393*1.02</f>
        <v>5.38254</v>
      </c>
      <c r="J429" s="54">
        <f t="shared" si="247"/>
        <v>0.09639</v>
      </c>
      <c r="K429" s="54">
        <f t="shared" si="247"/>
        <v>221.33286</v>
      </c>
      <c r="L429" s="54">
        <f t="shared" si="247"/>
        <v>28.06326</v>
      </c>
      <c r="M429" s="54">
        <f t="shared" si="247"/>
        <v>199.77669</v>
      </c>
      <c r="N429" s="54">
        <f t="shared" si="247"/>
        <v>32.3136</v>
      </c>
      <c r="O429" s="54">
        <f t="shared" si="247"/>
        <v>134.10756</v>
      </c>
      <c r="P429" s="54">
        <f t="shared" si="247"/>
        <v>38.35863</v>
      </c>
    </row>
    <row r="430">
      <c r="A430" s="13" t="s">
        <v>20</v>
      </c>
      <c r="B430" s="26">
        <v>45702.0</v>
      </c>
      <c r="C430" s="13" t="s">
        <v>25</v>
      </c>
      <c r="D430" s="13">
        <v>9.1</v>
      </c>
      <c r="E430" s="13" t="s">
        <v>22</v>
      </c>
      <c r="F430" s="13">
        <v>4.0</v>
      </c>
      <c r="G430" s="13" t="s">
        <v>55</v>
      </c>
      <c r="H430" s="55">
        <v>10.7842</v>
      </c>
      <c r="I430" s="54">
        <f t="shared" ref="I430:P430" si="248">I394*1.02</f>
        <v>5.54931</v>
      </c>
      <c r="J430" s="54">
        <f t="shared" si="248"/>
        <v>0.02601</v>
      </c>
      <c r="K430" s="54">
        <f t="shared" si="248"/>
        <v>217.67616</v>
      </c>
      <c r="L430" s="54">
        <f t="shared" si="248"/>
        <v>31.57461</v>
      </c>
      <c r="M430" s="54">
        <f t="shared" si="248"/>
        <v>194.157</v>
      </c>
      <c r="N430" s="54">
        <f t="shared" si="248"/>
        <v>34.97121</v>
      </c>
      <c r="O430" s="54">
        <f t="shared" si="248"/>
        <v>127.55457</v>
      </c>
      <c r="P430" s="54">
        <f t="shared" si="248"/>
        <v>39.9024</v>
      </c>
    </row>
    <row r="431">
      <c r="A431" s="13" t="s">
        <v>20</v>
      </c>
      <c r="B431" s="26">
        <v>45702.0</v>
      </c>
      <c r="C431" s="13" t="s">
        <v>25</v>
      </c>
      <c r="D431" s="13">
        <v>9.2</v>
      </c>
      <c r="E431" s="13" t="s">
        <v>22</v>
      </c>
      <c r="F431" s="13">
        <v>4.0</v>
      </c>
      <c r="G431" s="13" t="s">
        <v>55</v>
      </c>
      <c r="H431" s="55">
        <v>11.1115</v>
      </c>
      <c r="I431" s="54">
        <f t="shared" ref="I431:P431" si="249">I395*1.02</f>
        <v>5.87214</v>
      </c>
      <c r="J431" s="54">
        <f t="shared" si="249"/>
        <v>0.09486</v>
      </c>
      <c r="K431" s="54">
        <f t="shared" si="249"/>
        <v>219.3714</v>
      </c>
      <c r="L431" s="54">
        <f t="shared" si="249"/>
        <v>33.4764</v>
      </c>
      <c r="M431" s="54">
        <f t="shared" si="249"/>
        <v>198.73323</v>
      </c>
      <c r="N431" s="54">
        <f t="shared" si="249"/>
        <v>38.72889</v>
      </c>
      <c r="O431" s="54">
        <f t="shared" si="249"/>
        <v>134.24373</v>
      </c>
      <c r="P431" s="54">
        <f t="shared" si="249"/>
        <v>44.64846</v>
      </c>
    </row>
    <row r="432">
      <c r="A432" s="13" t="s">
        <v>20</v>
      </c>
      <c r="B432" s="26">
        <v>45702.0</v>
      </c>
      <c r="C432" s="13" t="s">
        <v>25</v>
      </c>
      <c r="D432" s="13">
        <v>9.3</v>
      </c>
      <c r="E432" s="13" t="s">
        <v>22</v>
      </c>
      <c r="F432" s="13">
        <v>4.0</v>
      </c>
      <c r="G432" s="13" t="s">
        <v>55</v>
      </c>
      <c r="H432" s="55">
        <v>10.3614</v>
      </c>
      <c r="I432" s="54">
        <f t="shared" ref="I432:P432" si="250">I396*1.02</f>
        <v>6.20721</v>
      </c>
      <c r="J432" s="54">
        <f t="shared" si="250"/>
        <v>0.05508</v>
      </c>
      <c r="K432" s="54">
        <f t="shared" si="250"/>
        <v>219.76155</v>
      </c>
      <c r="L432" s="54">
        <f t="shared" si="250"/>
        <v>34.0884</v>
      </c>
      <c r="M432" s="54">
        <f t="shared" si="250"/>
        <v>197.19252</v>
      </c>
      <c r="N432" s="54">
        <f t="shared" si="250"/>
        <v>36.04221</v>
      </c>
      <c r="O432" s="54">
        <f t="shared" si="250"/>
        <v>134.08614</v>
      </c>
      <c r="P432" s="54">
        <f t="shared" si="250"/>
        <v>36.45684</v>
      </c>
    </row>
    <row r="433">
      <c r="A433" s="13" t="s">
        <v>20</v>
      </c>
      <c r="B433" s="26">
        <v>45702.0</v>
      </c>
      <c r="C433" s="13" t="s">
        <v>25</v>
      </c>
      <c r="D433" s="13">
        <v>9.4</v>
      </c>
      <c r="E433" s="13" t="s">
        <v>22</v>
      </c>
      <c r="F433" s="13">
        <v>4.0</v>
      </c>
      <c r="G433" s="13" t="s">
        <v>55</v>
      </c>
      <c r="H433" s="55">
        <v>10.5935</v>
      </c>
      <c r="I433" s="54">
        <f t="shared" ref="I433:P433" si="251">I397*1.02</f>
        <v>7.13592</v>
      </c>
      <c r="J433" s="54">
        <f t="shared" si="251"/>
        <v>0.1836</v>
      </c>
      <c r="K433" s="54">
        <f t="shared" si="251"/>
        <v>220.58928</v>
      </c>
      <c r="L433" s="54">
        <f t="shared" si="251"/>
        <v>30.06144</v>
      </c>
      <c r="M433" s="54">
        <f t="shared" si="251"/>
        <v>196.94313</v>
      </c>
      <c r="N433" s="54">
        <f t="shared" si="251"/>
        <v>33.38307</v>
      </c>
      <c r="O433" s="54">
        <f t="shared" si="251"/>
        <v>132.30522</v>
      </c>
      <c r="P433" s="54">
        <f t="shared" si="251"/>
        <v>36.30078</v>
      </c>
    </row>
    <row r="434">
      <c r="A434" s="13" t="s">
        <v>20</v>
      </c>
      <c r="B434" s="26">
        <v>45702.0</v>
      </c>
      <c r="C434" s="13" t="s">
        <v>21</v>
      </c>
      <c r="D434" s="13">
        <v>10.1</v>
      </c>
      <c r="E434" s="13" t="s">
        <v>27</v>
      </c>
      <c r="F434" s="13">
        <v>3.0</v>
      </c>
      <c r="G434" s="13" t="s">
        <v>54</v>
      </c>
      <c r="H434" s="25">
        <v>11.7725</v>
      </c>
      <c r="I434" s="54">
        <f t="shared" ref="I434:O434" si="252">I74*1.05</f>
        <v>2.0118</v>
      </c>
      <c r="J434" s="54">
        <f t="shared" si="252"/>
        <v>0.00525</v>
      </c>
      <c r="K434" s="54">
        <f t="shared" si="252"/>
        <v>137.38095</v>
      </c>
      <c r="L434" s="54">
        <f t="shared" si="252"/>
        <v>27.68325</v>
      </c>
      <c r="M434" s="54">
        <f t="shared" si="252"/>
        <v>119.52045</v>
      </c>
      <c r="N434" s="54">
        <f t="shared" si="252"/>
        <v>27.36405</v>
      </c>
      <c r="O434" s="54">
        <f t="shared" si="252"/>
        <v>84.86835</v>
      </c>
    </row>
    <row r="435">
      <c r="A435" s="13" t="s">
        <v>20</v>
      </c>
      <c r="B435" s="26">
        <v>45702.0</v>
      </c>
      <c r="C435" s="13" t="s">
        <v>21</v>
      </c>
      <c r="D435" s="13">
        <v>10.2</v>
      </c>
      <c r="E435" s="13" t="s">
        <v>27</v>
      </c>
      <c r="F435" s="13">
        <v>3.0</v>
      </c>
      <c r="G435" s="13" t="s">
        <v>54</v>
      </c>
      <c r="H435" s="25">
        <v>11.5487</v>
      </c>
      <c r="I435" s="54">
        <f t="shared" ref="I435:O435" si="253">I75*1.05</f>
        <v>2.15565</v>
      </c>
      <c r="J435" s="54">
        <f t="shared" si="253"/>
        <v>0.02835</v>
      </c>
      <c r="K435" s="54">
        <f t="shared" si="253"/>
        <v>131.89155</v>
      </c>
      <c r="L435" s="54">
        <f t="shared" si="253"/>
        <v>21.73605</v>
      </c>
      <c r="M435" s="54">
        <f t="shared" si="253"/>
        <v>113.3076</v>
      </c>
      <c r="N435" s="54">
        <f t="shared" si="253"/>
        <v>24.4944</v>
      </c>
      <c r="O435" s="54">
        <f t="shared" si="253"/>
        <v>82.99935</v>
      </c>
    </row>
    <row r="436">
      <c r="A436" s="13" t="s">
        <v>20</v>
      </c>
      <c r="B436" s="26">
        <v>45702.0</v>
      </c>
      <c r="C436" s="13" t="s">
        <v>21</v>
      </c>
      <c r="D436" s="13">
        <v>10.3</v>
      </c>
      <c r="E436" s="13" t="s">
        <v>27</v>
      </c>
      <c r="F436" s="13">
        <v>3.0</v>
      </c>
      <c r="G436" s="13" t="s">
        <v>54</v>
      </c>
      <c r="H436" s="25">
        <v>10.5973</v>
      </c>
      <c r="I436" s="54">
        <f t="shared" ref="I436:O436" si="254">I76*1.05</f>
        <v>1.71045</v>
      </c>
      <c r="J436" s="54">
        <f t="shared" si="254"/>
        <v>0.03885</v>
      </c>
      <c r="K436" s="54">
        <f t="shared" si="254"/>
        <v>132.46275</v>
      </c>
      <c r="L436" s="54">
        <f t="shared" si="254"/>
        <v>22.23585</v>
      </c>
      <c r="M436" s="54">
        <f t="shared" si="254"/>
        <v>119.71575</v>
      </c>
      <c r="N436" s="54">
        <f t="shared" si="254"/>
        <v>26.1828</v>
      </c>
      <c r="O436" s="54">
        <f t="shared" si="254"/>
        <v>92.74965</v>
      </c>
    </row>
    <row r="437">
      <c r="A437" s="13" t="s">
        <v>20</v>
      </c>
      <c r="B437" s="26">
        <v>45702.0</v>
      </c>
      <c r="C437" s="13" t="s">
        <v>21</v>
      </c>
      <c r="D437" s="13">
        <v>10.4</v>
      </c>
      <c r="E437" s="13" t="s">
        <v>27</v>
      </c>
      <c r="F437" s="13">
        <v>3.0</v>
      </c>
      <c r="G437" s="13" t="s">
        <v>54</v>
      </c>
      <c r="H437" s="25">
        <v>10.3868</v>
      </c>
      <c r="I437" s="54">
        <f t="shared" ref="I437:O437" si="255">I77*1.05</f>
        <v>2.21235</v>
      </c>
      <c r="J437" s="54">
        <f t="shared" si="255"/>
        <v>0.0231</v>
      </c>
      <c r="K437" s="54">
        <f t="shared" si="255"/>
        <v>140.4291</v>
      </c>
      <c r="L437" s="54">
        <f t="shared" si="255"/>
        <v>26.71935</v>
      </c>
      <c r="M437" s="54">
        <f t="shared" si="255"/>
        <v>122.16645</v>
      </c>
      <c r="N437" s="54">
        <f t="shared" si="255"/>
        <v>28.6629</v>
      </c>
      <c r="O437" s="54">
        <f t="shared" si="255"/>
        <v>93.10665</v>
      </c>
    </row>
    <row r="438">
      <c r="A438" s="13" t="s">
        <v>20</v>
      </c>
      <c r="B438" s="26">
        <v>45702.0</v>
      </c>
      <c r="C438" s="13" t="s">
        <v>21</v>
      </c>
      <c r="D438" s="13">
        <v>11.1</v>
      </c>
      <c r="E438" s="13" t="s">
        <v>27</v>
      </c>
      <c r="F438" s="13">
        <v>3.0</v>
      </c>
      <c r="G438" s="13" t="s">
        <v>54</v>
      </c>
      <c r="H438" s="25">
        <v>13.2242</v>
      </c>
      <c r="I438" s="54">
        <f t="shared" ref="I438:O438" si="256">I78*1.05</f>
        <v>2.24595</v>
      </c>
      <c r="J438" s="54">
        <f t="shared" si="256"/>
        <v>0.021</v>
      </c>
      <c r="K438" s="54">
        <f t="shared" si="256"/>
        <v>113.1942</v>
      </c>
      <c r="L438" s="54">
        <f t="shared" si="256"/>
        <v>44.63865</v>
      </c>
      <c r="M438" s="54">
        <f t="shared" si="256"/>
        <v>92.6667</v>
      </c>
      <c r="N438" s="54">
        <f t="shared" si="256"/>
        <v>57.25755</v>
      </c>
      <c r="O438" s="54">
        <f t="shared" si="256"/>
        <v>78.98625</v>
      </c>
    </row>
    <row r="439">
      <c r="A439" s="13" t="s">
        <v>20</v>
      </c>
      <c r="B439" s="26">
        <v>45702.0</v>
      </c>
      <c r="C439" s="13" t="s">
        <v>21</v>
      </c>
      <c r="D439" s="13">
        <v>11.2</v>
      </c>
      <c r="E439" s="13" t="s">
        <v>27</v>
      </c>
      <c r="F439" s="13">
        <v>3.0</v>
      </c>
      <c r="G439" s="13" t="s">
        <v>54</v>
      </c>
      <c r="H439" s="25">
        <v>11.3019</v>
      </c>
      <c r="I439" s="54">
        <f t="shared" ref="I439:O439" si="257">I79*1.05</f>
        <v>3.03345</v>
      </c>
      <c r="J439" s="54">
        <f t="shared" si="257"/>
        <v>0.0042</v>
      </c>
      <c r="K439" s="54">
        <f t="shared" si="257"/>
        <v>109.69035</v>
      </c>
      <c r="L439" s="54">
        <f t="shared" si="257"/>
        <v>33.16845</v>
      </c>
      <c r="M439" s="54">
        <f t="shared" si="257"/>
        <v>83.86455</v>
      </c>
      <c r="N439" s="54">
        <f t="shared" si="257"/>
        <v>35.3871</v>
      </c>
      <c r="O439" s="54">
        <f t="shared" si="257"/>
        <v>66.30225</v>
      </c>
    </row>
    <row r="440">
      <c r="A440" s="13" t="s">
        <v>20</v>
      </c>
      <c r="B440" s="26">
        <v>45702.0</v>
      </c>
      <c r="C440" s="13" t="s">
        <v>21</v>
      </c>
      <c r="D440" s="13">
        <v>11.3</v>
      </c>
      <c r="E440" s="13" t="s">
        <v>27</v>
      </c>
      <c r="F440" s="13">
        <v>3.0</v>
      </c>
      <c r="G440" s="13" t="s">
        <v>54</v>
      </c>
      <c r="H440" s="25">
        <v>11.2708</v>
      </c>
      <c r="I440" s="54">
        <f t="shared" ref="I440:O440" si="258">I80*1.05</f>
        <v>2.9169</v>
      </c>
      <c r="J440" s="54">
        <f t="shared" si="258"/>
        <v>0.0336</v>
      </c>
      <c r="K440" s="54">
        <f t="shared" si="258"/>
        <v>112.0938</v>
      </c>
      <c r="L440" s="54">
        <f t="shared" si="258"/>
        <v>41.034</v>
      </c>
      <c r="M440" s="54">
        <f t="shared" si="258"/>
        <v>87.5784</v>
      </c>
      <c r="N440" s="54">
        <f t="shared" si="258"/>
        <v>41.57895</v>
      </c>
      <c r="O440" s="54">
        <f t="shared" si="258"/>
        <v>62.11905</v>
      </c>
    </row>
    <row r="441">
      <c r="A441" s="13" t="s">
        <v>20</v>
      </c>
      <c r="B441" s="26">
        <v>45702.0</v>
      </c>
      <c r="C441" s="13" t="s">
        <v>21</v>
      </c>
      <c r="D441" s="13">
        <v>11.4</v>
      </c>
      <c r="E441" s="13" t="s">
        <v>27</v>
      </c>
      <c r="F441" s="13">
        <v>3.0</v>
      </c>
      <c r="G441" s="13" t="s">
        <v>54</v>
      </c>
      <c r="H441" s="25">
        <v>12.0648</v>
      </c>
      <c r="I441" s="54">
        <f t="shared" ref="I441:O441" si="259">I81*1.05</f>
        <v>2.6418</v>
      </c>
      <c r="J441" s="54">
        <f t="shared" si="259"/>
        <v>0.0462</v>
      </c>
      <c r="K441" s="54">
        <f t="shared" si="259"/>
        <v>68.55555</v>
      </c>
      <c r="L441" s="54">
        <f t="shared" si="259"/>
        <v>29.5995</v>
      </c>
      <c r="M441" s="54">
        <f t="shared" si="259"/>
        <v>51.85005</v>
      </c>
      <c r="N441" s="54">
        <f t="shared" si="259"/>
        <v>27.9636</v>
      </c>
      <c r="O441" s="54">
        <f t="shared" si="259"/>
        <v>44.53155</v>
      </c>
    </row>
    <row r="442">
      <c r="A442" s="13" t="s">
        <v>20</v>
      </c>
      <c r="B442" s="26">
        <v>45702.0</v>
      </c>
      <c r="C442" s="13" t="s">
        <v>21</v>
      </c>
      <c r="D442" s="13">
        <v>12.1</v>
      </c>
      <c r="E442" s="13" t="s">
        <v>27</v>
      </c>
      <c r="F442" s="13">
        <v>3.0</v>
      </c>
      <c r="G442" s="13" t="s">
        <v>54</v>
      </c>
      <c r="H442" s="25">
        <v>14.2207</v>
      </c>
      <c r="I442" s="54">
        <f t="shared" ref="I442:O442" si="260">I82*1.05</f>
        <v>3.56265</v>
      </c>
      <c r="J442" s="54">
        <f t="shared" si="260"/>
        <v>0.04515</v>
      </c>
      <c r="K442" s="54">
        <f t="shared" si="260"/>
        <v>123.2553</v>
      </c>
      <c r="L442" s="54">
        <f t="shared" si="260"/>
        <v>42.7434</v>
      </c>
      <c r="M442" s="54">
        <f t="shared" si="260"/>
        <v>96.65145</v>
      </c>
      <c r="N442" s="54">
        <f t="shared" si="260"/>
        <v>40.44915</v>
      </c>
      <c r="O442" s="54">
        <f t="shared" si="260"/>
        <v>64.2033</v>
      </c>
    </row>
    <row r="443">
      <c r="A443" s="13" t="s">
        <v>20</v>
      </c>
      <c r="B443" s="26">
        <v>45702.0</v>
      </c>
      <c r="C443" s="13" t="s">
        <v>21</v>
      </c>
      <c r="D443" s="13">
        <v>12.2</v>
      </c>
      <c r="E443" s="13" t="s">
        <v>27</v>
      </c>
      <c r="F443" s="13">
        <v>3.0</v>
      </c>
      <c r="G443" s="13" t="s">
        <v>54</v>
      </c>
      <c r="H443" s="25">
        <v>12.0054</v>
      </c>
      <c r="I443" s="54">
        <f t="shared" ref="I443:O443" si="261">I83*1.05</f>
        <v>2.23125</v>
      </c>
      <c r="J443" s="54">
        <f t="shared" si="261"/>
        <v>0.042</v>
      </c>
      <c r="K443" s="54">
        <f t="shared" si="261"/>
        <v>132.34305</v>
      </c>
      <c r="L443" s="54">
        <f t="shared" si="261"/>
        <v>32.865</v>
      </c>
      <c r="M443" s="54">
        <f t="shared" si="261"/>
        <v>109.42785</v>
      </c>
      <c r="N443" s="54">
        <f t="shared" si="261"/>
        <v>32.8272</v>
      </c>
      <c r="O443" s="54">
        <f t="shared" si="261"/>
        <v>67.3806</v>
      </c>
    </row>
    <row r="444">
      <c r="A444" s="13" t="s">
        <v>20</v>
      </c>
      <c r="B444" s="26">
        <v>45702.0</v>
      </c>
      <c r="C444" s="13" t="s">
        <v>21</v>
      </c>
      <c r="D444" s="13">
        <v>12.3</v>
      </c>
      <c r="E444" s="13" t="s">
        <v>27</v>
      </c>
      <c r="F444" s="13">
        <v>3.0</v>
      </c>
      <c r="G444" s="13" t="s">
        <v>54</v>
      </c>
      <c r="H444" s="25">
        <v>12.8213</v>
      </c>
      <c r="I444" s="54">
        <f t="shared" ref="I444:O444" si="262">I84*1.05</f>
        <v>2.2869</v>
      </c>
      <c r="J444" s="54">
        <f t="shared" si="262"/>
        <v>0.04515</v>
      </c>
      <c r="K444" s="54">
        <f t="shared" si="262"/>
        <v>135.55605</v>
      </c>
      <c r="L444" s="54">
        <f t="shared" si="262"/>
        <v>33.6168</v>
      </c>
      <c r="M444" s="54">
        <f t="shared" si="262"/>
        <v>113.32335</v>
      </c>
      <c r="N444" s="54">
        <f t="shared" si="262"/>
        <v>32.35155</v>
      </c>
      <c r="O444" s="54">
        <f t="shared" si="262"/>
        <v>76.5093</v>
      </c>
    </row>
    <row r="445">
      <c r="A445" s="13" t="s">
        <v>20</v>
      </c>
      <c r="B445" s="26">
        <v>45702.0</v>
      </c>
      <c r="C445" s="13" t="s">
        <v>21</v>
      </c>
      <c r="D445" s="13">
        <v>12.4</v>
      </c>
      <c r="E445" s="13" t="s">
        <v>27</v>
      </c>
      <c r="F445" s="13">
        <v>3.0</v>
      </c>
      <c r="G445" s="13" t="s">
        <v>54</v>
      </c>
      <c r="H445" s="25">
        <v>11.9378</v>
      </c>
      <c r="I445" s="54">
        <f t="shared" ref="I445:O445" si="263">I85*1.05</f>
        <v>2.36145</v>
      </c>
      <c r="J445" s="54">
        <f t="shared" si="263"/>
        <v>0.0567</v>
      </c>
      <c r="K445" s="54">
        <f t="shared" si="263"/>
        <v>112.70595</v>
      </c>
      <c r="L445" s="54">
        <f t="shared" si="263"/>
        <v>29.2908</v>
      </c>
      <c r="M445" s="54">
        <f t="shared" si="263"/>
        <v>93.2043</v>
      </c>
      <c r="N445" s="54">
        <f t="shared" si="263"/>
        <v>30.2736</v>
      </c>
      <c r="O445" s="54">
        <f t="shared" si="263"/>
        <v>55.7298</v>
      </c>
    </row>
    <row r="446">
      <c r="A446" s="13" t="s">
        <v>20</v>
      </c>
      <c r="B446" s="26">
        <v>45702.0</v>
      </c>
      <c r="C446" s="13" t="s">
        <v>24</v>
      </c>
      <c r="D446" s="13">
        <v>10.1</v>
      </c>
      <c r="E446" s="13" t="s">
        <v>27</v>
      </c>
      <c r="F446" s="13">
        <v>3.0</v>
      </c>
      <c r="G446" s="13" t="s">
        <v>54</v>
      </c>
      <c r="H446" s="25">
        <v>18.0029</v>
      </c>
      <c r="I446" s="54">
        <f t="shared" ref="I446:O446" si="264">I86*1.05</f>
        <v>5.40645</v>
      </c>
      <c r="J446" s="54">
        <f t="shared" si="264"/>
        <v>0.04305</v>
      </c>
      <c r="K446" s="54">
        <f t="shared" si="264"/>
        <v>155.295</v>
      </c>
      <c r="L446" s="54">
        <f t="shared" si="264"/>
        <v>12.77535</v>
      </c>
      <c r="M446" s="54">
        <f t="shared" si="264"/>
        <v>129.42195</v>
      </c>
      <c r="N446" s="54">
        <f t="shared" si="264"/>
        <v>14.889</v>
      </c>
      <c r="O446" s="54">
        <f t="shared" si="264"/>
        <v>92.0409</v>
      </c>
    </row>
    <row r="447">
      <c r="A447" s="13" t="s">
        <v>20</v>
      </c>
      <c r="B447" s="26">
        <v>45702.0</v>
      </c>
      <c r="C447" s="13" t="s">
        <v>24</v>
      </c>
      <c r="D447" s="13">
        <v>10.2</v>
      </c>
      <c r="E447" s="13" t="s">
        <v>27</v>
      </c>
      <c r="F447" s="13">
        <v>3.0</v>
      </c>
      <c r="G447" s="13" t="s">
        <v>54</v>
      </c>
      <c r="H447" s="25">
        <v>16.4246</v>
      </c>
      <c r="I447" s="54">
        <f t="shared" ref="I447:O447" si="265">I87*1.05</f>
        <v>6.0858</v>
      </c>
      <c r="J447" s="54">
        <f t="shared" si="265"/>
        <v>0.042</v>
      </c>
      <c r="K447" s="54">
        <f t="shared" si="265"/>
        <v>147.4872</v>
      </c>
      <c r="L447" s="54">
        <f t="shared" si="265"/>
        <v>11.3925</v>
      </c>
      <c r="M447" s="54">
        <f t="shared" si="265"/>
        <v>121.7601</v>
      </c>
      <c r="N447" s="54">
        <f t="shared" si="265"/>
        <v>13.47675</v>
      </c>
      <c r="O447" s="54">
        <f t="shared" si="265"/>
        <v>85.3692</v>
      </c>
    </row>
    <row r="448">
      <c r="A448" s="13" t="s">
        <v>20</v>
      </c>
      <c r="B448" s="26">
        <v>45702.0</v>
      </c>
      <c r="C448" s="13" t="s">
        <v>24</v>
      </c>
      <c r="D448" s="13">
        <v>10.3</v>
      </c>
      <c r="E448" s="13" t="s">
        <v>27</v>
      </c>
      <c r="F448" s="13">
        <v>3.0</v>
      </c>
      <c r="G448" s="13" t="s">
        <v>54</v>
      </c>
      <c r="H448" s="25">
        <v>16.4622</v>
      </c>
      <c r="I448" s="54">
        <f t="shared" ref="I448:O448" si="266">I88*1.05</f>
        <v>6.9216</v>
      </c>
      <c r="J448" s="54">
        <f t="shared" si="266"/>
        <v>0.03255</v>
      </c>
      <c r="K448" s="54">
        <f t="shared" si="266"/>
        <v>150.9942</v>
      </c>
      <c r="L448" s="54">
        <f t="shared" si="266"/>
        <v>11.1825</v>
      </c>
      <c r="M448" s="54">
        <f t="shared" si="266"/>
        <v>126.4662</v>
      </c>
      <c r="N448" s="54">
        <f t="shared" si="266"/>
        <v>13.94505</v>
      </c>
      <c r="O448" s="54">
        <f t="shared" si="266"/>
        <v>89.86215</v>
      </c>
    </row>
    <row r="449">
      <c r="A449" s="13" t="s">
        <v>20</v>
      </c>
      <c r="B449" s="26">
        <v>45702.0</v>
      </c>
      <c r="C449" s="13" t="s">
        <v>24</v>
      </c>
      <c r="D449" s="13">
        <v>10.4</v>
      </c>
      <c r="E449" s="13" t="s">
        <v>27</v>
      </c>
      <c r="F449" s="13">
        <v>3.0</v>
      </c>
      <c r="G449" s="13" t="s">
        <v>54</v>
      </c>
      <c r="H449" s="25">
        <v>19.4405</v>
      </c>
      <c r="I449" s="54">
        <f t="shared" ref="I449:O449" si="267">I89*1.05</f>
        <v>6.1761</v>
      </c>
      <c r="J449" s="54">
        <f t="shared" si="267"/>
        <v>0.04725</v>
      </c>
      <c r="K449" s="54">
        <f t="shared" si="267"/>
        <v>137.2539</v>
      </c>
      <c r="L449" s="54">
        <f t="shared" si="267"/>
        <v>11.53635</v>
      </c>
      <c r="M449" s="54">
        <f t="shared" si="267"/>
        <v>111.8964</v>
      </c>
      <c r="N449" s="54">
        <f t="shared" si="267"/>
        <v>13.1292</v>
      </c>
      <c r="O449" s="54">
        <f t="shared" si="267"/>
        <v>68.90835</v>
      </c>
    </row>
    <row r="450">
      <c r="A450" s="13" t="s">
        <v>20</v>
      </c>
      <c r="B450" s="26">
        <v>45702.0</v>
      </c>
      <c r="C450" s="13" t="s">
        <v>24</v>
      </c>
      <c r="D450" s="13">
        <v>11.1</v>
      </c>
      <c r="E450" s="13" t="s">
        <v>27</v>
      </c>
      <c r="F450" s="13">
        <v>3.0</v>
      </c>
      <c r="G450" s="13" t="s">
        <v>54</v>
      </c>
      <c r="H450" s="25">
        <v>17.885</v>
      </c>
      <c r="I450" s="54">
        <f t="shared" ref="I450:O450" si="268">I90*1.05</f>
        <v>4.66305</v>
      </c>
      <c r="J450" s="54">
        <f t="shared" si="268"/>
        <v>0.07455</v>
      </c>
      <c r="K450" s="54">
        <f t="shared" si="268"/>
        <v>138.3543</v>
      </c>
      <c r="L450" s="54">
        <f t="shared" si="268"/>
        <v>26.3172</v>
      </c>
      <c r="M450" s="54">
        <f t="shared" si="268"/>
        <v>134.18475</v>
      </c>
      <c r="N450" s="54">
        <f t="shared" si="268"/>
        <v>23.9925</v>
      </c>
      <c r="O450" s="54">
        <f t="shared" si="268"/>
        <v>90.8817</v>
      </c>
    </row>
    <row r="451">
      <c r="A451" s="13" t="s">
        <v>20</v>
      </c>
      <c r="B451" s="26">
        <v>45702.0</v>
      </c>
      <c r="C451" s="13" t="s">
        <v>24</v>
      </c>
      <c r="D451" s="13">
        <v>11.2</v>
      </c>
      <c r="E451" s="13" t="s">
        <v>27</v>
      </c>
      <c r="F451" s="13">
        <v>3.0</v>
      </c>
      <c r="G451" s="13" t="s">
        <v>54</v>
      </c>
      <c r="H451" s="25">
        <v>21.518</v>
      </c>
      <c r="I451" s="54">
        <f t="shared" ref="I451:O451" si="269">I91*1.05</f>
        <v>3.43245</v>
      </c>
      <c r="J451" s="54">
        <f t="shared" si="269"/>
        <v>0.0336</v>
      </c>
      <c r="K451" s="54">
        <f t="shared" si="269"/>
        <v>135.03</v>
      </c>
      <c r="L451" s="54">
        <f t="shared" si="269"/>
        <v>16.91025</v>
      </c>
      <c r="M451" s="54">
        <f t="shared" si="269"/>
        <v>127.95195</v>
      </c>
      <c r="N451" s="54">
        <f t="shared" si="269"/>
        <v>17.829</v>
      </c>
      <c r="O451" s="54">
        <f t="shared" si="269"/>
        <v>83.9748</v>
      </c>
    </row>
    <row r="452">
      <c r="A452" s="13" t="s">
        <v>20</v>
      </c>
      <c r="B452" s="26">
        <v>45702.0</v>
      </c>
      <c r="C452" s="13" t="s">
        <v>24</v>
      </c>
      <c r="D452" s="13">
        <v>11.3</v>
      </c>
      <c r="E452" s="13" t="s">
        <v>27</v>
      </c>
      <c r="F452" s="13">
        <v>3.0</v>
      </c>
      <c r="G452" s="13" t="s">
        <v>54</v>
      </c>
      <c r="H452" s="25">
        <v>20.0739</v>
      </c>
      <c r="I452" s="54">
        <f t="shared" ref="I452:O452" si="270">I92*1.05</f>
        <v>4.053</v>
      </c>
      <c r="J452" s="54">
        <f t="shared" si="270"/>
        <v>0.0378</v>
      </c>
      <c r="K452" s="54">
        <f t="shared" si="270"/>
        <v>145.15305</v>
      </c>
      <c r="L452" s="54">
        <f t="shared" si="270"/>
        <v>19.6896</v>
      </c>
      <c r="M452" s="54">
        <f t="shared" si="270"/>
        <v>138.29865</v>
      </c>
      <c r="N452" s="54">
        <f t="shared" si="270"/>
        <v>19.16145</v>
      </c>
      <c r="O452" s="54">
        <f t="shared" si="270"/>
        <v>88.095</v>
      </c>
    </row>
    <row r="453">
      <c r="A453" s="13" t="s">
        <v>20</v>
      </c>
      <c r="B453" s="26">
        <v>45702.0</v>
      </c>
      <c r="C453" s="13" t="s">
        <v>24</v>
      </c>
      <c r="D453" s="13">
        <v>11.4</v>
      </c>
      <c r="E453" s="13" t="s">
        <v>27</v>
      </c>
      <c r="F453" s="13">
        <v>3.0</v>
      </c>
      <c r="G453" s="13" t="s">
        <v>54</v>
      </c>
      <c r="H453" s="25">
        <v>17.1184</v>
      </c>
      <c r="I453" s="54">
        <f t="shared" ref="I453:O453" si="271">I93*1.05</f>
        <v>3.9984</v>
      </c>
      <c r="J453" s="54">
        <f t="shared" si="271"/>
        <v>0.01575</v>
      </c>
      <c r="K453" s="54">
        <f t="shared" si="271"/>
        <v>134.64465</v>
      </c>
      <c r="L453" s="54">
        <f t="shared" si="271"/>
        <v>13.6983</v>
      </c>
      <c r="M453" s="54">
        <f t="shared" si="271"/>
        <v>120.0297</v>
      </c>
      <c r="N453" s="54">
        <f t="shared" si="271"/>
        <v>16.75695</v>
      </c>
      <c r="O453" s="54">
        <f t="shared" si="271"/>
        <v>86.15355</v>
      </c>
    </row>
    <row r="454">
      <c r="A454" s="13" t="s">
        <v>20</v>
      </c>
      <c r="B454" s="26">
        <v>45702.0</v>
      </c>
      <c r="C454" s="13" t="s">
        <v>24</v>
      </c>
      <c r="D454" s="13">
        <v>12.1</v>
      </c>
      <c r="E454" s="13" t="s">
        <v>27</v>
      </c>
      <c r="F454" s="13">
        <v>3.0</v>
      </c>
      <c r="G454" s="13" t="s">
        <v>54</v>
      </c>
      <c r="H454" s="25">
        <v>17.2872</v>
      </c>
      <c r="I454" s="54">
        <f t="shared" ref="I454:O454" si="272">I94*1.05</f>
        <v>6.069</v>
      </c>
      <c r="J454" s="54">
        <f t="shared" si="272"/>
        <v>0.03675</v>
      </c>
      <c r="K454" s="54">
        <f t="shared" si="272"/>
        <v>148.87215</v>
      </c>
      <c r="L454" s="54">
        <f t="shared" si="272"/>
        <v>18.72255</v>
      </c>
      <c r="M454" s="54">
        <f t="shared" si="272"/>
        <v>125.3658</v>
      </c>
      <c r="N454" s="54">
        <f t="shared" si="272"/>
        <v>18.7719</v>
      </c>
      <c r="O454" s="54">
        <f t="shared" si="272"/>
        <v>90.5184</v>
      </c>
    </row>
    <row r="455">
      <c r="A455" s="13" t="s">
        <v>20</v>
      </c>
      <c r="B455" s="26">
        <v>45702.0</v>
      </c>
      <c r="C455" s="13" t="s">
        <v>24</v>
      </c>
      <c r="D455" s="13">
        <v>12.2</v>
      </c>
      <c r="E455" s="13" t="s">
        <v>27</v>
      </c>
      <c r="F455" s="13">
        <v>3.0</v>
      </c>
      <c r="G455" s="13" t="s">
        <v>54</v>
      </c>
      <c r="H455" s="25">
        <v>18.2269</v>
      </c>
      <c r="I455" s="54">
        <f t="shared" ref="I455:O455" si="273">I95*1.05</f>
        <v>6.46695</v>
      </c>
      <c r="J455" s="54">
        <f t="shared" si="273"/>
        <v>0.03045</v>
      </c>
      <c r="K455" s="54">
        <f t="shared" si="273"/>
        <v>173.1009</v>
      </c>
      <c r="L455" s="54">
        <f t="shared" si="273"/>
        <v>20.17365</v>
      </c>
      <c r="M455" s="54">
        <f t="shared" si="273"/>
        <v>144.52095</v>
      </c>
      <c r="N455" s="54">
        <f t="shared" si="273"/>
        <v>20.3721</v>
      </c>
      <c r="O455" s="54">
        <f t="shared" si="273"/>
        <v>97.5912</v>
      </c>
    </row>
    <row r="456">
      <c r="A456" s="13" t="s">
        <v>20</v>
      </c>
      <c r="B456" s="26">
        <v>45702.0</v>
      </c>
      <c r="C456" s="13" t="s">
        <v>24</v>
      </c>
      <c r="D456" s="13">
        <v>12.3</v>
      </c>
      <c r="E456" s="13" t="s">
        <v>27</v>
      </c>
      <c r="F456" s="13">
        <v>3.0</v>
      </c>
      <c r="G456" s="13" t="s">
        <v>54</v>
      </c>
      <c r="H456" s="25">
        <v>18.3921</v>
      </c>
      <c r="I456" s="54">
        <f t="shared" ref="I456:O456" si="274">I96*1.05</f>
        <v>5.25105</v>
      </c>
      <c r="J456" s="54">
        <f t="shared" si="274"/>
        <v>0.05565</v>
      </c>
      <c r="K456" s="54">
        <f t="shared" si="274"/>
        <v>168.49665</v>
      </c>
      <c r="L456" s="54">
        <f t="shared" si="274"/>
        <v>14.75145</v>
      </c>
      <c r="M456" s="54">
        <f t="shared" si="274"/>
        <v>137.8671</v>
      </c>
      <c r="N456" s="54">
        <f t="shared" si="274"/>
        <v>15.03915</v>
      </c>
      <c r="O456" s="54">
        <f t="shared" si="274"/>
        <v>95.22135</v>
      </c>
    </row>
    <row r="457">
      <c r="A457" s="13" t="s">
        <v>20</v>
      </c>
      <c r="B457" s="26">
        <v>45702.0</v>
      </c>
      <c r="C457" s="13" t="s">
        <v>24</v>
      </c>
      <c r="D457" s="13">
        <v>12.4</v>
      </c>
      <c r="E457" s="13" t="s">
        <v>27</v>
      </c>
      <c r="F457" s="13">
        <v>3.0</v>
      </c>
      <c r="G457" s="13" t="s">
        <v>54</v>
      </c>
      <c r="H457" s="25">
        <v>16.2486</v>
      </c>
      <c r="I457" s="54">
        <f t="shared" ref="I457:O457" si="275">I97*1.05</f>
        <v>5.20065</v>
      </c>
      <c r="J457" s="54">
        <f t="shared" si="275"/>
        <v>0.05985</v>
      </c>
      <c r="K457" s="54">
        <f t="shared" si="275"/>
        <v>138.117</v>
      </c>
      <c r="L457" s="54">
        <f t="shared" si="275"/>
        <v>14.2821</v>
      </c>
      <c r="M457" s="54">
        <f t="shared" si="275"/>
        <v>115.15665</v>
      </c>
      <c r="N457" s="54">
        <f t="shared" si="275"/>
        <v>13.5366</v>
      </c>
      <c r="O457" s="54">
        <f t="shared" si="275"/>
        <v>79.9386</v>
      </c>
    </row>
    <row r="458">
      <c r="A458" s="13" t="s">
        <v>20</v>
      </c>
      <c r="B458" s="26">
        <v>45702.0</v>
      </c>
      <c r="C458" s="13" t="s">
        <v>25</v>
      </c>
      <c r="D458" s="13">
        <v>10.1</v>
      </c>
      <c r="E458" s="13" t="s">
        <v>27</v>
      </c>
      <c r="F458" s="13">
        <v>3.0</v>
      </c>
      <c r="G458" s="13" t="s">
        <v>54</v>
      </c>
      <c r="H458" s="25">
        <v>20.0834</v>
      </c>
      <c r="I458" s="54">
        <f t="shared" ref="I458:O458" si="276">I98*1.05</f>
        <v>5.56185</v>
      </c>
      <c r="J458" s="54">
        <f t="shared" si="276"/>
        <v>0.0231</v>
      </c>
      <c r="K458" s="54">
        <f t="shared" si="276"/>
        <v>156.5844</v>
      </c>
      <c r="L458" s="54">
        <f t="shared" si="276"/>
        <v>32.9553</v>
      </c>
      <c r="M458" s="54">
        <f t="shared" si="276"/>
        <v>139.93665</v>
      </c>
      <c r="N458" s="54">
        <f t="shared" si="276"/>
        <v>31.8696</v>
      </c>
      <c r="O458" s="54">
        <f t="shared" si="276"/>
        <v>97.146</v>
      </c>
    </row>
    <row r="459">
      <c r="A459" s="13" t="s">
        <v>20</v>
      </c>
      <c r="B459" s="26">
        <v>45702.0</v>
      </c>
      <c r="C459" s="13" t="s">
        <v>25</v>
      </c>
      <c r="D459" s="13">
        <v>10.2</v>
      </c>
      <c r="E459" s="13" t="s">
        <v>27</v>
      </c>
      <c r="F459" s="13">
        <v>3.0</v>
      </c>
      <c r="G459" s="13" t="s">
        <v>54</v>
      </c>
      <c r="H459" s="25">
        <v>16.035</v>
      </c>
      <c r="I459" s="54">
        <f t="shared" ref="I459:O459" si="277">I99*1.05</f>
        <v>3.73695</v>
      </c>
      <c r="J459" s="54">
        <f t="shared" si="277"/>
        <v>0.04305</v>
      </c>
      <c r="K459" s="54">
        <f t="shared" si="277"/>
        <v>147.0714</v>
      </c>
      <c r="L459" s="54">
        <f t="shared" si="277"/>
        <v>32.77575</v>
      </c>
      <c r="M459" s="54">
        <f t="shared" si="277"/>
        <v>133.66815</v>
      </c>
      <c r="N459" s="54">
        <f t="shared" si="277"/>
        <v>32.85135</v>
      </c>
      <c r="O459" s="54">
        <f t="shared" si="277"/>
        <v>97.29405</v>
      </c>
    </row>
    <row r="460">
      <c r="A460" s="13" t="s">
        <v>20</v>
      </c>
      <c r="B460" s="26">
        <v>45702.0</v>
      </c>
      <c r="C460" s="13" t="s">
        <v>25</v>
      </c>
      <c r="D460" s="13">
        <v>10.3</v>
      </c>
      <c r="E460" s="13" t="s">
        <v>27</v>
      </c>
      <c r="F460" s="13">
        <v>3.0</v>
      </c>
      <c r="G460" s="13" t="s">
        <v>54</v>
      </c>
      <c r="H460" s="25">
        <v>16.1695</v>
      </c>
      <c r="I460" s="54">
        <f t="shared" ref="I460:O460" si="278">I100*1.05</f>
        <v>4.04355</v>
      </c>
      <c r="J460" s="54">
        <f t="shared" si="278"/>
        <v>0.1197</v>
      </c>
      <c r="K460" s="54">
        <f t="shared" si="278"/>
        <v>142.58895</v>
      </c>
      <c r="L460" s="54">
        <f t="shared" si="278"/>
        <v>30.47625</v>
      </c>
      <c r="M460" s="54">
        <f t="shared" si="278"/>
        <v>129.74325</v>
      </c>
      <c r="N460" s="54">
        <f t="shared" si="278"/>
        <v>30.9162</v>
      </c>
      <c r="O460" s="54">
        <f t="shared" si="278"/>
        <v>92.547</v>
      </c>
    </row>
    <row r="461">
      <c r="A461" s="13" t="s">
        <v>20</v>
      </c>
      <c r="B461" s="26">
        <v>45702.0</v>
      </c>
      <c r="C461" s="13" t="s">
        <v>25</v>
      </c>
      <c r="D461" s="13">
        <v>10.4</v>
      </c>
      <c r="E461" s="13" t="s">
        <v>27</v>
      </c>
      <c r="F461" s="13">
        <v>3.0</v>
      </c>
      <c r="G461" s="13" t="s">
        <v>54</v>
      </c>
      <c r="H461" s="25">
        <v>19.4165</v>
      </c>
      <c r="I461" s="54">
        <f t="shared" ref="I461:O461" si="279">I101*1.05</f>
        <v>4.641</v>
      </c>
      <c r="J461" s="54">
        <f t="shared" si="279"/>
        <v>0.0819</v>
      </c>
      <c r="K461" s="54">
        <f t="shared" si="279"/>
        <v>123.49995</v>
      </c>
      <c r="L461" s="54">
        <f t="shared" si="279"/>
        <v>29.30865</v>
      </c>
      <c r="M461" s="54">
        <f t="shared" si="279"/>
        <v>110.9094</v>
      </c>
      <c r="N461" s="54">
        <f t="shared" si="279"/>
        <v>28.49385</v>
      </c>
      <c r="O461" s="54">
        <f t="shared" si="279"/>
        <v>78.0087</v>
      </c>
    </row>
    <row r="462">
      <c r="A462" s="13" t="s">
        <v>20</v>
      </c>
      <c r="B462" s="26">
        <v>45702.0</v>
      </c>
      <c r="C462" s="13" t="s">
        <v>25</v>
      </c>
      <c r="D462" s="13">
        <v>11.1</v>
      </c>
      <c r="E462" s="13" t="s">
        <v>27</v>
      </c>
      <c r="F462" s="13">
        <v>3.0</v>
      </c>
      <c r="G462" s="13" t="s">
        <v>54</v>
      </c>
      <c r="H462" s="25">
        <v>27.588</v>
      </c>
      <c r="I462" s="54">
        <f t="shared" ref="I462:O462" si="280">I102*1.05</f>
        <v>2.9904</v>
      </c>
      <c r="J462" s="54">
        <f t="shared" si="280"/>
        <v>0.03675</v>
      </c>
      <c r="K462" s="54">
        <f t="shared" si="280"/>
        <v>160.0032</v>
      </c>
      <c r="L462" s="54">
        <f t="shared" si="280"/>
        <v>28.9401</v>
      </c>
      <c r="M462" s="54">
        <f t="shared" si="280"/>
        <v>141.18825</v>
      </c>
      <c r="N462" s="54">
        <f t="shared" si="280"/>
        <v>29.5407</v>
      </c>
      <c r="O462" s="54">
        <f t="shared" si="280"/>
        <v>98.4102</v>
      </c>
    </row>
    <row r="463">
      <c r="A463" s="13" t="s">
        <v>20</v>
      </c>
      <c r="B463" s="26">
        <v>45702.0</v>
      </c>
      <c r="C463" s="13" t="s">
        <v>25</v>
      </c>
      <c r="D463" s="13">
        <v>11.2</v>
      </c>
      <c r="E463" s="13" t="s">
        <v>27</v>
      </c>
      <c r="F463" s="13">
        <v>3.0</v>
      </c>
      <c r="G463" s="13" t="s">
        <v>54</v>
      </c>
      <c r="H463" s="25">
        <v>18.9871</v>
      </c>
      <c r="I463" s="54">
        <f t="shared" ref="I463:O463" si="281">I103*1.05</f>
        <v>2.95575</v>
      </c>
      <c r="J463" s="54">
        <f t="shared" si="281"/>
        <v>0.01785</v>
      </c>
      <c r="K463" s="54">
        <f t="shared" si="281"/>
        <v>170.96835</v>
      </c>
      <c r="L463" s="54">
        <f t="shared" si="281"/>
        <v>29.5722</v>
      </c>
      <c r="M463" s="54">
        <f t="shared" si="281"/>
        <v>152.71935</v>
      </c>
      <c r="N463" s="54">
        <f t="shared" si="281"/>
        <v>31.5672</v>
      </c>
      <c r="O463" s="54">
        <f t="shared" si="281"/>
        <v>110.55345</v>
      </c>
    </row>
    <row r="464">
      <c r="A464" s="13" t="s">
        <v>20</v>
      </c>
      <c r="B464" s="26">
        <v>45702.0</v>
      </c>
      <c r="C464" s="13" t="s">
        <v>25</v>
      </c>
      <c r="D464" s="13">
        <v>11.3</v>
      </c>
      <c r="E464" s="13" t="s">
        <v>27</v>
      </c>
      <c r="F464" s="13">
        <v>3.0</v>
      </c>
      <c r="G464" s="13" t="s">
        <v>54</v>
      </c>
      <c r="H464" s="25">
        <v>15.0083</v>
      </c>
      <c r="I464" s="54">
        <f t="shared" ref="I464:O464" si="282">I104*1.05</f>
        <v>3.79365</v>
      </c>
      <c r="J464" s="54">
        <f t="shared" si="282"/>
        <v>0.0273</v>
      </c>
      <c r="K464" s="54">
        <f t="shared" si="282"/>
        <v>140.3703</v>
      </c>
      <c r="L464" s="54">
        <f t="shared" si="282"/>
        <v>34.4841</v>
      </c>
      <c r="M464" s="54">
        <f t="shared" si="282"/>
        <v>124.3431</v>
      </c>
      <c r="N464" s="54">
        <f t="shared" si="282"/>
        <v>36.5106</v>
      </c>
      <c r="O464" s="54">
        <f t="shared" si="282"/>
        <v>91.44765</v>
      </c>
    </row>
    <row r="465">
      <c r="A465" s="13" t="s">
        <v>20</v>
      </c>
      <c r="B465" s="26">
        <v>45702.0</v>
      </c>
      <c r="C465" s="13" t="s">
        <v>25</v>
      </c>
      <c r="D465" s="13">
        <v>11.4</v>
      </c>
      <c r="E465" s="13" t="s">
        <v>27</v>
      </c>
      <c r="F465" s="13">
        <v>3.0</v>
      </c>
      <c r="G465" s="13" t="s">
        <v>54</v>
      </c>
      <c r="H465" s="25">
        <v>13.4425</v>
      </c>
      <c r="I465" s="54">
        <f t="shared" ref="I465:O465" si="283">I105*1.05</f>
        <v>4.12545</v>
      </c>
      <c r="J465" s="54">
        <f t="shared" si="283"/>
        <v>0.05775</v>
      </c>
      <c r="K465" s="54">
        <f t="shared" si="283"/>
        <v>168.0189</v>
      </c>
      <c r="L465" s="54">
        <f t="shared" si="283"/>
        <v>30.4374</v>
      </c>
      <c r="M465" s="54">
        <f t="shared" si="283"/>
        <v>149.83185</v>
      </c>
      <c r="N465" s="54">
        <f t="shared" si="283"/>
        <v>31.3761</v>
      </c>
      <c r="O465" s="54">
        <f t="shared" si="283"/>
        <v>113.253</v>
      </c>
    </row>
    <row r="466">
      <c r="A466" s="13" t="s">
        <v>20</v>
      </c>
      <c r="B466" s="26">
        <v>45702.0</v>
      </c>
      <c r="C466" s="13" t="s">
        <v>25</v>
      </c>
      <c r="D466" s="13">
        <v>12.1</v>
      </c>
      <c r="E466" s="13" t="s">
        <v>27</v>
      </c>
      <c r="F466" s="13">
        <v>3.0</v>
      </c>
      <c r="G466" s="13" t="s">
        <v>54</v>
      </c>
      <c r="H466" s="25">
        <v>14.1683</v>
      </c>
      <c r="I466" s="54">
        <f t="shared" ref="I466:O466" si="284">I106*1.05</f>
        <v>5.5209</v>
      </c>
      <c r="J466" s="54">
        <f t="shared" si="284"/>
        <v>0.02205</v>
      </c>
      <c r="K466" s="54">
        <f t="shared" si="284"/>
        <v>160.5639</v>
      </c>
      <c r="L466" s="54">
        <f t="shared" si="284"/>
        <v>32.5122</v>
      </c>
      <c r="M466" s="54">
        <f t="shared" si="284"/>
        <v>143.13495</v>
      </c>
      <c r="N466" s="54">
        <f t="shared" si="284"/>
        <v>33.80265</v>
      </c>
      <c r="O466" s="54">
        <f t="shared" si="284"/>
        <v>104.1663</v>
      </c>
    </row>
    <row r="467">
      <c r="A467" s="13" t="s">
        <v>20</v>
      </c>
      <c r="B467" s="26">
        <v>45702.0</v>
      </c>
      <c r="C467" s="13" t="s">
        <v>25</v>
      </c>
      <c r="D467" s="13">
        <v>12.2</v>
      </c>
      <c r="E467" s="13" t="s">
        <v>27</v>
      </c>
      <c r="F467" s="13">
        <v>3.0</v>
      </c>
      <c r="G467" s="13" t="s">
        <v>54</v>
      </c>
      <c r="H467" s="25">
        <v>16.1563</v>
      </c>
      <c r="I467" s="54">
        <f t="shared" ref="I467:O467" si="285">I107*1.05</f>
        <v>5.50095</v>
      </c>
      <c r="J467" s="54">
        <f t="shared" si="285"/>
        <v>0.03885</v>
      </c>
      <c r="K467" s="54">
        <f t="shared" si="285"/>
        <v>164.85315</v>
      </c>
      <c r="L467" s="54">
        <f t="shared" si="285"/>
        <v>29.45985</v>
      </c>
      <c r="M467" s="54">
        <f t="shared" si="285"/>
        <v>147.5103</v>
      </c>
      <c r="N467" s="54">
        <f t="shared" si="285"/>
        <v>31.51155</v>
      </c>
      <c r="O467" s="54">
        <f t="shared" si="285"/>
        <v>108.57525</v>
      </c>
    </row>
    <row r="468">
      <c r="A468" s="13" t="s">
        <v>20</v>
      </c>
      <c r="B468" s="26">
        <v>45702.0</v>
      </c>
      <c r="C468" s="13" t="s">
        <v>25</v>
      </c>
      <c r="D468" s="13">
        <v>12.3</v>
      </c>
      <c r="E468" s="13" t="s">
        <v>27</v>
      </c>
      <c r="F468" s="13">
        <v>3.0</v>
      </c>
      <c r="G468" s="13" t="s">
        <v>54</v>
      </c>
      <c r="H468" s="25">
        <v>16.7848</v>
      </c>
      <c r="I468" s="54">
        <f t="shared" ref="I468:O468" si="286">I108*1.05</f>
        <v>5.49255</v>
      </c>
      <c r="J468" s="54">
        <f t="shared" si="286"/>
        <v>0.0987</v>
      </c>
      <c r="K468" s="54">
        <f t="shared" si="286"/>
        <v>144.648</v>
      </c>
      <c r="L468" s="54">
        <f t="shared" si="286"/>
        <v>34.43685</v>
      </c>
      <c r="M468" s="54">
        <f t="shared" si="286"/>
        <v>126.79695</v>
      </c>
      <c r="N468" s="54">
        <f t="shared" si="286"/>
        <v>36.7752</v>
      </c>
      <c r="O468" s="54">
        <f t="shared" si="286"/>
        <v>73.81395</v>
      </c>
    </row>
    <row r="469">
      <c r="A469" s="13" t="s">
        <v>20</v>
      </c>
      <c r="B469" s="26">
        <v>45702.0</v>
      </c>
      <c r="C469" s="13" t="s">
        <v>25</v>
      </c>
      <c r="D469" s="13">
        <v>12.4</v>
      </c>
      <c r="E469" s="13" t="s">
        <v>27</v>
      </c>
      <c r="F469" s="13">
        <v>3.0</v>
      </c>
      <c r="G469" s="13" t="s">
        <v>54</v>
      </c>
      <c r="H469" s="25">
        <v>18.195</v>
      </c>
      <c r="I469" s="54">
        <f t="shared" ref="I469:O469" si="287">I109*1.05</f>
        <v>5.4768</v>
      </c>
      <c r="J469" s="54">
        <f t="shared" si="287"/>
        <v>0.0525</v>
      </c>
      <c r="K469" s="54">
        <f t="shared" si="287"/>
        <v>145.60035</v>
      </c>
      <c r="L469" s="54">
        <f t="shared" si="287"/>
        <v>28.48125</v>
      </c>
      <c r="M469" s="54">
        <f t="shared" si="287"/>
        <v>129.5196</v>
      </c>
      <c r="N469" s="54">
        <f t="shared" si="287"/>
        <v>29.05875</v>
      </c>
      <c r="O469" s="54">
        <f t="shared" si="287"/>
        <v>92.0451</v>
      </c>
    </row>
    <row r="470">
      <c r="A470" s="13" t="s">
        <v>20</v>
      </c>
      <c r="B470" s="26">
        <v>45702.0</v>
      </c>
      <c r="C470" s="13" t="s">
        <v>21</v>
      </c>
      <c r="D470" s="13">
        <v>10.1</v>
      </c>
      <c r="E470" s="13" t="s">
        <v>27</v>
      </c>
      <c r="F470" s="13">
        <v>3.0</v>
      </c>
      <c r="G470" s="13" t="s">
        <v>55</v>
      </c>
      <c r="H470" s="25">
        <v>10.7488</v>
      </c>
      <c r="I470" s="54">
        <f t="shared" ref="I470:O470" si="288">I434*1.02</f>
        <v>2.052036</v>
      </c>
      <c r="J470" s="54">
        <f t="shared" si="288"/>
        <v>0.005355</v>
      </c>
      <c r="K470" s="54">
        <f t="shared" si="288"/>
        <v>140.128569</v>
      </c>
      <c r="L470" s="54">
        <f t="shared" si="288"/>
        <v>28.236915</v>
      </c>
      <c r="M470" s="54">
        <f t="shared" si="288"/>
        <v>121.910859</v>
      </c>
      <c r="N470" s="54">
        <f t="shared" si="288"/>
        <v>27.911331</v>
      </c>
      <c r="O470" s="54">
        <f t="shared" si="288"/>
        <v>86.565717</v>
      </c>
    </row>
    <row r="471">
      <c r="A471" s="13" t="s">
        <v>20</v>
      </c>
      <c r="B471" s="26">
        <v>45702.0</v>
      </c>
      <c r="C471" s="13" t="s">
        <v>21</v>
      </c>
      <c r="D471" s="13">
        <v>10.2</v>
      </c>
      <c r="E471" s="13" t="s">
        <v>27</v>
      </c>
      <c r="F471" s="13">
        <v>3.0</v>
      </c>
      <c r="G471" s="13" t="s">
        <v>55</v>
      </c>
      <c r="H471" s="25">
        <v>11.8225</v>
      </c>
      <c r="I471" s="54">
        <f t="shared" ref="I471:O471" si="289">I435*1.02</f>
        <v>2.198763</v>
      </c>
      <c r="J471" s="54">
        <f t="shared" si="289"/>
        <v>0.028917</v>
      </c>
      <c r="K471" s="54">
        <f t="shared" si="289"/>
        <v>134.529381</v>
      </c>
      <c r="L471" s="54">
        <f t="shared" si="289"/>
        <v>22.170771</v>
      </c>
      <c r="M471" s="54">
        <f t="shared" si="289"/>
        <v>115.573752</v>
      </c>
      <c r="N471" s="54">
        <f t="shared" si="289"/>
        <v>24.984288</v>
      </c>
      <c r="O471" s="54">
        <f t="shared" si="289"/>
        <v>84.659337</v>
      </c>
    </row>
    <row r="472">
      <c r="A472" s="13" t="s">
        <v>20</v>
      </c>
      <c r="B472" s="26">
        <v>45702.0</v>
      </c>
      <c r="C472" s="13" t="s">
        <v>21</v>
      </c>
      <c r="D472" s="13">
        <v>10.3</v>
      </c>
      <c r="E472" s="13" t="s">
        <v>27</v>
      </c>
      <c r="F472" s="13">
        <v>3.0</v>
      </c>
      <c r="G472" s="13" t="s">
        <v>55</v>
      </c>
      <c r="H472" s="25">
        <v>10.8205</v>
      </c>
      <c r="I472" s="54">
        <f t="shared" ref="I472:O472" si="290">I436*1.02</f>
        <v>1.744659</v>
      </c>
      <c r="J472" s="54">
        <f t="shared" si="290"/>
        <v>0.039627</v>
      </c>
      <c r="K472" s="54">
        <f t="shared" si="290"/>
        <v>135.112005</v>
      </c>
      <c r="L472" s="54">
        <f t="shared" si="290"/>
        <v>22.680567</v>
      </c>
      <c r="M472" s="54">
        <f t="shared" si="290"/>
        <v>122.110065</v>
      </c>
      <c r="N472" s="54">
        <f t="shared" si="290"/>
        <v>26.706456</v>
      </c>
      <c r="O472" s="54">
        <f t="shared" si="290"/>
        <v>94.604643</v>
      </c>
    </row>
    <row r="473">
      <c r="A473" s="13" t="s">
        <v>20</v>
      </c>
      <c r="B473" s="26">
        <v>45702.0</v>
      </c>
      <c r="C473" s="13" t="s">
        <v>21</v>
      </c>
      <c r="D473" s="13">
        <v>10.4</v>
      </c>
      <c r="E473" s="13" t="s">
        <v>27</v>
      </c>
      <c r="F473" s="13">
        <v>3.0</v>
      </c>
      <c r="G473" s="13" t="s">
        <v>55</v>
      </c>
      <c r="H473" s="25">
        <v>10.575</v>
      </c>
      <c r="I473" s="54">
        <f t="shared" ref="I473:O473" si="291">I437*1.02</f>
        <v>2.256597</v>
      </c>
      <c r="J473" s="54">
        <f t="shared" si="291"/>
        <v>0.023562</v>
      </c>
      <c r="K473" s="54">
        <f t="shared" si="291"/>
        <v>143.237682</v>
      </c>
      <c r="L473" s="54">
        <f t="shared" si="291"/>
        <v>27.253737</v>
      </c>
      <c r="M473" s="54">
        <f t="shared" si="291"/>
        <v>124.609779</v>
      </c>
      <c r="N473" s="54">
        <f t="shared" si="291"/>
        <v>29.236158</v>
      </c>
      <c r="O473" s="54">
        <f t="shared" si="291"/>
        <v>94.968783</v>
      </c>
    </row>
    <row r="474">
      <c r="A474" s="13" t="s">
        <v>20</v>
      </c>
      <c r="B474" s="26">
        <v>45702.0</v>
      </c>
      <c r="C474" s="13" t="s">
        <v>21</v>
      </c>
      <c r="D474" s="13">
        <v>11.1</v>
      </c>
      <c r="E474" s="13" t="s">
        <v>27</v>
      </c>
      <c r="F474" s="13">
        <v>3.0</v>
      </c>
      <c r="G474" s="13" t="s">
        <v>55</v>
      </c>
      <c r="H474" s="25">
        <v>13.1446</v>
      </c>
      <c r="I474" s="54">
        <f t="shared" ref="I474:O474" si="292">I438*1.02</f>
        <v>2.290869</v>
      </c>
      <c r="J474" s="54">
        <f t="shared" si="292"/>
        <v>0.02142</v>
      </c>
      <c r="K474" s="54">
        <f t="shared" si="292"/>
        <v>115.458084</v>
      </c>
      <c r="L474" s="54">
        <f t="shared" si="292"/>
        <v>45.531423</v>
      </c>
      <c r="M474" s="54">
        <f t="shared" si="292"/>
        <v>94.520034</v>
      </c>
      <c r="N474" s="54">
        <f t="shared" si="292"/>
        <v>58.402701</v>
      </c>
      <c r="O474" s="54">
        <f t="shared" si="292"/>
        <v>80.565975</v>
      </c>
    </row>
    <row r="475">
      <c r="A475" s="13" t="s">
        <v>20</v>
      </c>
      <c r="B475" s="26">
        <v>45702.0</v>
      </c>
      <c r="C475" s="13" t="s">
        <v>21</v>
      </c>
      <c r="D475" s="13">
        <v>11.2</v>
      </c>
      <c r="E475" s="13" t="s">
        <v>27</v>
      </c>
      <c r="F475" s="13">
        <v>3.0</v>
      </c>
      <c r="G475" s="13" t="s">
        <v>55</v>
      </c>
      <c r="H475" s="25">
        <v>10.7639</v>
      </c>
      <c r="I475" s="54">
        <f t="shared" ref="I475:O475" si="293">I439*1.02</f>
        <v>3.094119</v>
      </c>
      <c r="J475" s="54">
        <f t="shared" si="293"/>
        <v>0.004284</v>
      </c>
      <c r="K475" s="54">
        <f t="shared" si="293"/>
        <v>111.884157</v>
      </c>
      <c r="L475" s="54">
        <f t="shared" si="293"/>
        <v>33.831819</v>
      </c>
      <c r="M475" s="54">
        <f t="shared" si="293"/>
        <v>85.541841</v>
      </c>
      <c r="N475" s="54">
        <f t="shared" si="293"/>
        <v>36.094842</v>
      </c>
      <c r="O475" s="54">
        <f t="shared" si="293"/>
        <v>67.628295</v>
      </c>
    </row>
    <row r="476">
      <c r="A476" s="13" t="s">
        <v>20</v>
      </c>
      <c r="B476" s="26">
        <v>45702.0</v>
      </c>
      <c r="C476" s="13" t="s">
        <v>21</v>
      </c>
      <c r="D476" s="13">
        <v>11.3</v>
      </c>
      <c r="E476" s="13" t="s">
        <v>27</v>
      </c>
      <c r="F476" s="13">
        <v>3.0</v>
      </c>
      <c r="G476" s="13" t="s">
        <v>55</v>
      </c>
      <c r="H476" s="25">
        <v>11.5352</v>
      </c>
      <c r="I476" s="54">
        <f t="shared" ref="I476:O476" si="294">I440*1.02</f>
        <v>2.975238</v>
      </c>
      <c r="J476" s="54">
        <f t="shared" si="294"/>
        <v>0.034272</v>
      </c>
      <c r="K476" s="54">
        <f t="shared" si="294"/>
        <v>114.335676</v>
      </c>
      <c r="L476" s="54">
        <f t="shared" si="294"/>
        <v>41.85468</v>
      </c>
      <c r="M476" s="54">
        <f t="shared" si="294"/>
        <v>89.329968</v>
      </c>
      <c r="N476" s="54">
        <f t="shared" si="294"/>
        <v>42.410529</v>
      </c>
      <c r="O476" s="54">
        <f t="shared" si="294"/>
        <v>63.361431</v>
      </c>
    </row>
    <row r="477">
      <c r="A477" s="13" t="s">
        <v>20</v>
      </c>
      <c r="B477" s="26">
        <v>45702.0</v>
      </c>
      <c r="C477" s="13" t="s">
        <v>21</v>
      </c>
      <c r="D477" s="13">
        <v>11.4</v>
      </c>
      <c r="E477" s="13" t="s">
        <v>27</v>
      </c>
      <c r="F477" s="13">
        <v>3.0</v>
      </c>
      <c r="G477" s="13" t="s">
        <v>55</v>
      </c>
      <c r="H477" s="25">
        <v>12.1382</v>
      </c>
      <c r="I477" s="54">
        <f t="shared" ref="I477:O477" si="295">I441*1.02</f>
        <v>2.694636</v>
      </c>
      <c r="J477" s="54">
        <f t="shared" si="295"/>
        <v>0.047124</v>
      </c>
      <c r="K477" s="54">
        <f t="shared" si="295"/>
        <v>69.926661</v>
      </c>
      <c r="L477" s="54">
        <f t="shared" si="295"/>
        <v>30.19149</v>
      </c>
      <c r="M477" s="54">
        <f t="shared" si="295"/>
        <v>52.887051</v>
      </c>
      <c r="N477" s="54">
        <f t="shared" si="295"/>
        <v>28.522872</v>
      </c>
      <c r="O477" s="54">
        <f t="shared" si="295"/>
        <v>45.422181</v>
      </c>
    </row>
    <row r="478">
      <c r="A478" s="13" t="s">
        <v>20</v>
      </c>
      <c r="B478" s="26">
        <v>45702.0</v>
      </c>
      <c r="C478" s="13" t="s">
        <v>21</v>
      </c>
      <c r="D478" s="13">
        <v>12.1</v>
      </c>
      <c r="E478" s="13" t="s">
        <v>27</v>
      </c>
      <c r="F478" s="13">
        <v>3.0</v>
      </c>
      <c r="G478" s="13" t="s">
        <v>55</v>
      </c>
      <c r="H478" s="25">
        <v>14.8577</v>
      </c>
      <c r="I478" s="54">
        <f t="shared" ref="I478:O478" si="296">I442*1.02</f>
        <v>3.633903</v>
      </c>
      <c r="J478" s="54">
        <f t="shared" si="296"/>
        <v>0.046053</v>
      </c>
      <c r="K478" s="54">
        <f t="shared" si="296"/>
        <v>125.720406</v>
      </c>
      <c r="L478" s="54">
        <f t="shared" si="296"/>
        <v>43.598268</v>
      </c>
      <c r="M478" s="54">
        <f t="shared" si="296"/>
        <v>98.584479</v>
      </c>
      <c r="N478" s="54">
        <f t="shared" si="296"/>
        <v>41.258133</v>
      </c>
      <c r="O478" s="54">
        <f t="shared" si="296"/>
        <v>65.487366</v>
      </c>
    </row>
    <row r="479">
      <c r="A479" s="13" t="s">
        <v>20</v>
      </c>
      <c r="B479" s="26">
        <v>45702.0</v>
      </c>
      <c r="C479" s="13" t="s">
        <v>21</v>
      </c>
      <c r="D479" s="13">
        <v>12.2</v>
      </c>
      <c r="E479" s="13" t="s">
        <v>27</v>
      </c>
      <c r="F479" s="13">
        <v>3.0</v>
      </c>
      <c r="G479" s="13" t="s">
        <v>55</v>
      </c>
      <c r="H479" s="25">
        <v>12.4747</v>
      </c>
      <c r="I479" s="54">
        <f t="shared" ref="I479:O479" si="297">I443*1.02</f>
        <v>2.275875</v>
      </c>
      <c r="J479" s="54">
        <f t="shared" si="297"/>
        <v>0.04284</v>
      </c>
      <c r="K479" s="54">
        <f t="shared" si="297"/>
        <v>134.989911</v>
      </c>
      <c r="L479" s="54">
        <f t="shared" si="297"/>
        <v>33.5223</v>
      </c>
      <c r="M479" s="54">
        <f t="shared" si="297"/>
        <v>111.616407</v>
      </c>
      <c r="N479" s="54">
        <f t="shared" si="297"/>
        <v>33.483744</v>
      </c>
      <c r="O479" s="54">
        <f t="shared" si="297"/>
        <v>68.728212</v>
      </c>
    </row>
    <row r="480">
      <c r="A480" s="13" t="s">
        <v>20</v>
      </c>
      <c r="B480" s="26">
        <v>45702.0</v>
      </c>
      <c r="C480" s="13" t="s">
        <v>21</v>
      </c>
      <c r="D480" s="13">
        <v>12.3</v>
      </c>
      <c r="E480" s="13" t="s">
        <v>27</v>
      </c>
      <c r="F480" s="13">
        <v>3.0</v>
      </c>
      <c r="G480" s="13" t="s">
        <v>55</v>
      </c>
      <c r="H480" s="25">
        <v>12.9533</v>
      </c>
      <c r="I480" s="54">
        <f t="shared" ref="I480:O480" si="298">I444*1.02</f>
        <v>2.332638</v>
      </c>
      <c r="J480" s="54">
        <f t="shared" si="298"/>
        <v>0.046053</v>
      </c>
      <c r="K480" s="54">
        <f t="shared" si="298"/>
        <v>138.267171</v>
      </c>
      <c r="L480" s="54">
        <f t="shared" si="298"/>
        <v>34.289136</v>
      </c>
      <c r="M480" s="54">
        <f t="shared" si="298"/>
        <v>115.589817</v>
      </c>
      <c r="N480" s="54">
        <f t="shared" si="298"/>
        <v>32.998581</v>
      </c>
      <c r="O480" s="54">
        <f t="shared" si="298"/>
        <v>78.039486</v>
      </c>
    </row>
    <row r="481">
      <c r="A481" s="13" t="s">
        <v>20</v>
      </c>
      <c r="B481" s="26">
        <v>45702.0</v>
      </c>
      <c r="C481" s="13" t="s">
        <v>21</v>
      </c>
      <c r="D481" s="13">
        <v>12.4</v>
      </c>
      <c r="E481" s="13" t="s">
        <v>27</v>
      </c>
      <c r="F481" s="13">
        <v>3.0</v>
      </c>
      <c r="G481" s="13" t="s">
        <v>55</v>
      </c>
      <c r="H481" s="25">
        <v>12.412</v>
      </c>
      <c r="I481" s="54">
        <f t="shared" ref="I481:O481" si="299">I445*1.02</f>
        <v>2.408679</v>
      </c>
      <c r="J481" s="54">
        <f t="shared" si="299"/>
        <v>0.057834</v>
      </c>
      <c r="K481" s="54">
        <f t="shared" si="299"/>
        <v>114.960069</v>
      </c>
      <c r="L481" s="54">
        <f t="shared" si="299"/>
        <v>29.876616</v>
      </c>
      <c r="M481" s="54">
        <f t="shared" si="299"/>
        <v>95.068386</v>
      </c>
      <c r="N481" s="54">
        <f t="shared" si="299"/>
        <v>30.879072</v>
      </c>
      <c r="O481" s="54">
        <f t="shared" si="299"/>
        <v>56.844396</v>
      </c>
    </row>
    <row r="482">
      <c r="A482" s="13" t="s">
        <v>20</v>
      </c>
      <c r="B482" s="26">
        <v>45702.0</v>
      </c>
      <c r="C482" s="13" t="s">
        <v>24</v>
      </c>
      <c r="D482" s="13">
        <v>10.1</v>
      </c>
      <c r="E482" s="13" t="s">
        <v>27</v>
      </c>
      <c r="F482" s="13">
        <v>3.0</v>
      </c>
      <c r="G482" s="13" t="s">
        <v>55</v>
      </c>
      <c r="H482" s="25">
        <v>18.0705</v>
      </c>
      <c r="I482" s="54">
        <f t="shared" ref="I482:O482" si="300">I446*1.02</f>
        <v>5.514579</v>
      </c>
      <c r="J482" s="54">
        <f t="shared" si="300"/>
        <v>0.043911</v>
      </c>
      <c r="K482" s="54">
        <f t="shared" si="300"/>
        <v>158.4009</v>
      </c>
      <c r="L482" s="54">
        <f t="shared" si="300"/>
        <v>13.030857</v>
      </c>
      <c r="M482" s="54">
        <f t="shared" si="300"/>
        <v>132.010389</v>
      </c>
      <c r="N482" s="54">
        <f t="shared" si="300"/>
        <v>15.18678</v>
      </c>
      <c r="O482" s="54">
        <f t="shared" si="300"/>
        <v>93.881718</v>
      </c>
    </row>
    <row r="483">
      <c r="A483" s="13" t="s">
        <v>20</v>
      </c>
      <c r="B483" s="26">
        <v>45702.0</v>
      </c>
      <c r="C483" s="13" t="s">
        <v>24</v>
      </c>
      <c r="D483" s="13">
        <v>10.2</v>
      </c>
      <c r="E483" s="13" t="s">
        <v>27</v>
      </c>
      <c r="F483" s="13">
        <v>3.0</v>
      </c>
      <c r="G483" s="13" t="s">
        <v>55</v>
      </c>
      <c r="H483" s="25">
        <v>17.2551</v>
      </c>
      <c r="I483" s="54">
        <f t="shared" ref="I483:O483" si="301">I447*1.02</f>
        <v>6.207516</v>
      </c>
      <c r="J483" s="54">
        <f t="shared" si="301"/>
        <v>0.04284</v>
      </c>
      <c r="K483" s="54">
        <f t="shared" si="301"/>
        <v>150.436944</v>
      </c>
      <c r="L483" s="54">
        <f t="shared" si="301"/>
        <v>11.62035</v>
      </c>
      <c r="M483" s="54">
        <f t="shared" si="301"/>
        <v>124.195302</v>
      </c>
      <c r="N483" s="54">
        <f t="shared" si="301"/>
        <v>13.746285</v>
      </c>
      <c r="O483" s="54">
        <f t="shared" si="301"/>
        <v>87.076584</v>
      </c>
    </row>
    <row r="484">
      <c r="A484" s="13" t="s">
        <v>20</v>
      </c>
      <c r="B484" s="26">
        <v>45702.0</v>
      </c>
      <c r="C484" s="13" t="s">
        <v>24</v>
      </c>
      <c r="D484" s="13">
        <v>10.3</v>
      </c>
      <c r="E484" s="13" t="s">
        <v>27</v>
      </c>
      <c r="F484" s="13">
        <v>3.0</v>
      </c>
      <c r="G484" s="13" t="s">
        <v>55</v>
      </c>
      <c r="H484" s="25">
        <v>16.7786</v>
      </c>
      <c r="I484" s="54">
        <f t="shared" ref="I484:O484" si="302">I448*1.02</f>
        <v>7.060032</v>
      </c>
      <c r="J484" s="54">
        <f t="shared" si="302"/>
        <v>0.033201</v>
      </c>
      <c r="K484" s="54">
        <f t="shared" si="302"/>
        <v>154.014084</v>
      </c>
      <c r="L484" s="54">
        <f t="shared" si="302"/>
        <v>11.40615</v>
      </c>
      <c r="M484" s="54">
        <f t="shared" si="302"/>
        <v>128.995524</v>
      </c>
      <c r="N484" s="54">
        <f t="shared" si="302"/>
        <v>14.223951</v>
      </c>
      <c r="O484" s="54">
        <f t="shared" si="302"/>
        <v>91.659393</v>
      </c>
    </row>
    <row r="485">
      <c r="A485" s="13" t="s">
        <v>20</v>
      </c>
      <c r="B485" s="26">
        <v>45702.0</v>
      </c>
      <c r="C485" s="13" t="s">
        <v>24</v>
      </c>
      <c r="D485" s="13">
        <v>10.4</v>
      </c>
      <c r="E485" s="13" t="s">
        <v>27</v>
      </c>
      <c r="F485" s="13">
        <v>3.0</v>
      </c>
      <c r="G485" s="13" t="s">
        <v>55</v>
      </c>
      <c r="H485" s="25">
        <v>19.9316</v>
      </c>
      <c r="I485" s="54">
        <f t="shared" ref="I485:O485" si="303">I449*1.02</f>
        <v>6.299622</v>
      </c>
      <c r="J485" s="54">
        <f t="shared" si="303"/>
        <v>0.048195</v>
      </c>
      <c r="K485" s="54">
        <f t="shared" si="303"/>
        <v>139.998978</v>
      </c>
      <c r="L485" s="54">
        <f t="shared" si="303"/>
        <v>11.767077</v>
      </c>
      <c r="M485" s="54">
        <f t="shared" si="303"/>
        <v>114.134328</v>
      </c>
      <c r="N485" s="54">
        <f t="shared" si="303"/>
        <v>13.391784</v>
      </c>
      <c r="O485" s="54">
        <f t="shared" si="303"/>
        <v>70.286517</v>
      </c>
    </row>
    <row r="486">
      <c r="A486" s="13" t="s">
        <v>20</v>
      </c>
      <c r="B486" s="26">
        <v>45702.0</v>
      </c>
      <c r="C486" s="13" t="s">
        <v>24</v>
      </c>
      <c r="D486" s="13">
        <v>11.1</v>
      </c>
      <c r="E486" s="13" t="s">
        <v>27</v>
      </c>
      <c r="F486" s="13">
        <v>3.0</v>
      </c>
      <c r="G486" s="13" t="s">
        <v>55</v>
      </c>
      <c r="H486" s="25">
        <v>18.2499</v>
      </c>
      <c r="I486" s="54">
        <f t="shared" ref="I486:O486" si="304">I450*1.02</f>
        <v>4.756311</v>
      </c>
      <c r="J486" s="54">
        <f t="shared" si="304"/>
        <v>0.076041</v>
      </c>
      <c r="K486" s="54">
        <f t="shared" si="304"/>
        <v>141.121386</v>
      </c>
      <c r="L486" s="54">
        <f t="shared" si="304"/>
        <v>26.843544</v>
      </c>
      <c r="M486" s="54">
        <f t="shared" si="304"/>
        <v>136.868445</v>
      </c>
      <c r="N486" s="54">
        <f t="shared" si="304"/>
        <v>24.47235</v>
      </c>
      <c r="O486" s="54">
        <f t="shared" si="304"/>
        <v>92.699334</v>
      </c>
    </row>
    <row r="487">
      <c r="A487" s="13" t="s">
        <v>20</v>
      </c>
      <c r="B487" s="26">
        <v>45702.0</v>
      </c>
      <c r="C487" s="13" t="s">
        <v>24</v>
      </c>
      <c r="D487" s="13">
        <v>11.2</v>
      </c>
      <c r="E487" s="13" t="s">
        <v>27</v>
      </c>
      <c r="F487" s="13">
        <v>3.0</v>
      </c>
      <c r="G487" s="13" t="s">
        <v>55</v>
      </c>
      <c r="H487" s="25">
        <v>21.7189</v>
      </c>
      <c r="I487" s="54">
        <f t="shared" ref="I487:O487" si="305">I451*1.02</f>
        <v>3.501099</v>
      </c>
      <c r="J487" s="54">
        <f t="shared" si="305"/>
        <v>0.034272</v>
      </c>
      <c r="K487" s="54">
        <f t="shared" si="305"/>
        <v>137.7306</v>
      </c>
      <c r="L487" s="54">
        <f t="shared" si="305"/>
        <v>17.248455</v>
      </c>
      <c r="M487" s="54">
        <f t="shared" si="305"/>
        <v>130.510989</v>
      </c>
      <c r="N487" s="54">
        <f t="shared" si="305"/>
        <v>18.18558</v>
      </c>
      <c r="O487" s="54">
        <f t="shared" si="305"/>
        <v>85.654296</v>
      </c>
    </row>
    <row r="488">
      <c r="A488" s="13" t="s">
        <v>20</v>
      </c>
      <c r="B488" s="26">
        <v>45702.0</v>
      </c>
      <c r="C488" s="13" t="s">
        <v>24</v>
      </c>
      <c r="D488" s="13">
        <v>11.3</v>
      </c>
      <c r="E488" s="13" t="s">
        <v>27</v>
      </c>
      <c r="F488" s="13">
        <v>3.0</v>
      </c>
      <c r="G488" s="13" t="s">
        <v>55</v>
      </c>
      <c r="H488" s="25">
        <v>20.1743</v>
      </c>
      <c r="I488" s="54">
        <f t="shared" ref="I488:O488" si="306">I452*1.02</f>
        <v>4.13406</v>
      </c>
      <c r="J488" s="54">
        <f t="shared" si="306"/>
        <v>0.038556</v>
      </c>
      <c r="K488" s="54">
        <f t="shared" si="306"/>
        <v>148.056111</v>
      </c>
      <c r="L488" s="54">
        <f t="shared" si="306"/>
        <v>20.083392</v>
      </c>
      <c r="M488" s="54">
        <f t="shared" si="306"/>
        <v>141.064623</v>
      </c>
      <c r="N488" s="54">
        <f t="shared" si="306"/>
        <v>19.544679</v>
      </c>
      <c r="O488" s="54">
        <f t="shared" si="306"/>
        <v>89.8569</v>
      </c>
    </row>
    <row r="489">
      <c r="A489" s="13" t="s">
        <v>20</v>
      </c>
      <c r="B489" s="26">
        <v>45702.0</v>
      </c>
      <c r="C489" s="13" t="s">
        <v>24</v>
      </c>
      <c r="D489" s="13">
        <v>11.4</v>
      </c>
      <c r="E489" s="13" t="s">
        <v>27</v>
      </c>
      <c r="F489" s="13">
        <v>3.0</v>
      </c>
      <c r="G489" s="13" t="s">
        <v>55</v>
      </c>
      <c r="H489" s="25">
        <v>17.2881</v>
      </c>
      <c r="I489" s="54">
        <f t="shared" ref="I489:O489" si="307">I453*1.02</f>
        <v>4.078368</v>
      </c>
      <c r="J489" s="54">
        <f t="shared" si="307"/>
        <v>0.016065</v>
      </c>
      <c r="K489" s="54">
        <f t="shared" si="307"/>
        <v>137.337543</v>
      </c>
      <c r="L489" s="54">
        <f t="shared" si="307"/>
        <v>13.972266</v>
      </c>
      <c r="M489" s="54">
        <f t="shared" si="307"/>
        <v>122.430294</v>
      </c>
      <c r="N489" s="54">
        <f t="shared" si="307"/>
        <v>17.092089</v>
      </c>
      <c r="O489" s="54">
        <f t="shared" si="307"/>
        <v>87.876621</v>
      </c>
    </row>
    <row r="490">
      <c r="A490" s="13" t="s">
        <v>20</v>
      </c>
      <c r="B490" s="26">
        <v>45702.0</v>
      </c>
      <c r="C490" s="13" t="s">
        <v>24</v>
      </c>
      <c r="D490" s="13">
        <v>12.1</v>
      </c>
      <c r="E490" s="13" t="s">
        <v>27</v>
      </c>
      <c r="F490" s="13">
        <v>3.0</v>
      </c>
      <c r="G490" s="13" t="s">
        <v>55</v>
      </c>
      <c r="H490" s="25">
        <v>17.3273</v>
      </c>
      <c r="I490" s="54">
        <f t="shared" ref="I490:O490" si="308">I454*1.02</f>
        <v>6.19038</v>
      </c>
      <c r="J490" s="54">
        <f t="shared" si="308"/>
        <v>0.037485</v>
      </c>
      <c r="K490" s="54">
        <f t="shared" si="308"/>
        <v>151.849593</v>
      </c>
      <c r="L490" s="54">
        <f t="shared" si="308"/>
        <v>19.097001</v>
      </c>
      <c r="M490" s="54">
        <f t="shared" si="308"/>
        <v>127.873116</v>
      </c>
      <c r="N490" s="54">
        <f t="shared" si="308"/>
        <v>19.147338</v>
      </c>
      <c r="O490" s="54">
        <f t="shared" si="308"/>
        <v>92.328768</v>
      </c>
    </row>
    <row r="491">
      <c r="A491" s="13" t="s">
        <v>20</v>
      </c>
      <c r="B491" s="26">
        <v>45702.0</v>
      </c>
      <c r="C491" s="13" t="s">
        <v>24</v>
      </c>
      <c r="D491" s="13">
        <v>12.2</v>
      </c>
      <c r="E491" s="13" t="s">
        <v>27</v>
      </c>
      <c r="F491" s="13">
        <v>3.0</v>
      </c>
      <c r="G491" s="13" t="s">
        <v>55</v>
      </c>
      <c r="H491" s="25">
        <v>18.4778</v>
      </c>
      <c r="I491" s="54">
        <f t="shared" ref="I491:O491" si="309">I455*1.02</f>
        <v>6.596289</v>
      </c>
      <c r="J491" s="54">
        <f t="shared" si="309"/>
        <v>0.031059</v>
      </c>
      <c r="K491" s="54">
        <f t="shared" si="309"/>
        <v>176.562918</v>
      </c>
      <c r="L491" s="54">
        <f t="shared" si="309"/>
        <v>20.577123</v>
      </c>
      <c r="M491" s="54">
        <f t="shared" si="309"/>
        <v>147.411369</v>
      </c>
      <c r="N491" s="54">
        <f t="shared" si="309"/>
        <v>20.779542</v>
      </c>
      <c r="O491" s="54">
        <f t="shared" si="309"/>
        <v>99.543024</v>
      </c>
    </row>
    <row r="492">
      <c r="A492" s="13" t="s">
        <v>20</v>
      </c>
      <c r="B492" s="26">
        <v>45702.0</v>
      </c>
      <c r="C492" s="13" t="s">
        <v>24</v>
      </c>
      <c r="D492" s="13">
        <v>12.3</v>
      </c>
      <c r="E492" s="13" t="s">
        <v>27</v>
      </c>
      <c r="F492" s="13">
        <v>3.0</v>
      </c>
      <c r="G492" s="13" t="s">
        <v>55</v>
      </c>
      <c r="H492" s="25">
        <v>19.0016</v>
      </c>
      <c r="I492" s="54">
        <f t="shared" ref="I492:O492" si="310">I456*1.02</f>
        <v>5.356071</v>
      </c>
      <c r="J492" s="54">
        <f t="shared" si="310"/>
        <v>0.056763</v>
      </c>
      <c r="K492" s="54">
        <f t="shared" si="310"/>
        <v>171.866583</v>
      </c>
      <c r="L492" s="54">
        <f t="shared" si="310"/>
        <v>15.046479</v>
      </c>
      <c r="M492" s="54">
        <f t="shared" si="310"/>
        <v>140.624442</v>
      </c>
      <c r="N492" s="54">
        <f t="shared" si="310"/>
        <v>15.339933</v>
      </c>
      <c r="O492" s="54">
        <f t="shared" si="310"/>
        <v>97.125777</v>
      </c>
    </row>
    <row r="493">
      <c r="A493" s="13" t="s">
        <v>20</v>
      </c>
      <c r="B493" s="26">
        <v>45702.0</v>
      </c>
      <c r="C493" s="13" t="s">
        <v>24</v>
      </c>
      <c r="D493" s="13">
        <v>12.4</v>
      </c>
      <c r="E493" s="13" t="s">
        <v>27</v>
      </c>
      <c r="F493" s="13">
        <v>3.0</v>
      </c>
      <c r="G493" s="13" t="s">
        <v>55</v>
      </c>
      <c r="H493" s="25">
        <v>16.3644</v>
      </c>
      <c r="I493" s="54">
        <f t="shared" ref="I493:O493" si="311">I457*1.02</f>
        <v>5.304663</v>
      </c>
      <c r="J493" s="54">
        <f t="shared" si="311"/>
        <v>0.061047</v>
      </c>
      <c r="K493" s="54">
        <f t="shared" si="311"/>
        <v>140.87934</v>
      </c>
      <c r="L493" s="54">
        <f t="shared" si="311"/>
        <v>14.567742</v>
      </c>
      <c r="M493" s="54">
        <f t="shared" si="311"/>
        <v>117.459783</v>
      </c>
      <c r="N493" s="54">
        <f t="shared" si="311"/>
        <v>13.807332</v>
      </c>
      <c r="O493" s="54">
        <f t="shared" si="311"/>
        <v>81.537372</v>
      </c>
    </row>
    <row r="494">
      <c r="A494" s="13" t="s">
        <v>20</v>
      </c>
      <c r="B494" s="26">
        <v>45702.0</v>
      </c>
      <c r="C494" s="13" t="s">
        <v>25</v>
      </c>
      <c r="D494" s="13">
        <v>10.1</v>
      </c>
      <c r="E494" s="13" t="s">
        <v>27</v>
      </c>
      <c r="F494" s="13">
        <v>3.0</v>
      </c>
      <c r="G494" s="13" t="s">
        <v>55</v>
      </c>
      <c r="H494" s="25">
        <v>19.8436</v>
      </c>
      <c r="I494" s="54">
        <f t="shared" ref="I494:O494" si="312">I458*1.02</f>
        <v>5.673087</v>
      </c>
      <c r="J494" s="54">
        <f t="shared" si="312"/>
        <v>0.023562</v>
      </c>
      <c r="K494" s="54">
        <f t="shared" si="312"/>
        <v>159.716088</v>
      </c>
      <c r="L494" s="54">
        <f t="shared" si="312"/>
        <v>33.614406</v>
      </c>
      <c r="M494" s="54">
        <f t="shared" si="312"/>
        <v>142.735383</v>
      </c>
      <c r="N494" s="54">
        <f t="shared" si="312"/>
        <v>32.506992</v>
      </c>
      <c r="O494" s="54">
        <f t="shared" si="312"/>
        <v>99.08892</v>
      </c>
    </row>
    <row r="495">
      <c r="A495" s="13" t="s">
        <v>20</v>
      </c>
      <c r="B495" s="26">
        <v>45702.0</v>
      </c>
      <c r="C495" s="13" t="s">
        <v>25</v>
      </c>
      <c r="D495" s="13">
        <v>10.2</v>
      </c>
      <c r="E495" s="13" t="s">
        <v>27</v>
      </c>
      <c r="F495" s="13">
        <v>3.0</v>
      </c>
      <c r="G495" s="13" t="s">
        <v>55</v>
      </c>
      <c r="H495" s="25">
        <v>17.105</v>
      </c>
      <c r="I495" s="54">
        <f t="shared" ref="I495:O495" si="313">I459*1.02</f>
        <v>3.811689</v>
      </c>
      <c r="J495" s="54">
        <f t="shared" si="313"/>
        <v>0.043911</v>
      </c>
      <c r="K495" s="54">
        <f t="shared" si="313"/>
        <v>150.012828</v>
      </c>
      <c r="L495" s="54">
        <f t="shared" si="313"/>
        <v>33.431265</v>
      </c>
      <c r="M495" s="54">
        <f t="shared" si="313"/>
        <v>136.341513</v>
      </c>
      <c r="N495" s="54">
        <f t="shared" si="313"/>
        <v>33.508377</v>
      </c>
      <c r="O495" s="54">
        <f t="shared" si="313"/>
        <v>99.239931</v>
      </c>
    </row>
    <row r="496">
      <c r="A496" s="13" t="s">
        <v>20</v>
      </c>
      <c r="B496" s="26">
        <v>45702.0</v>
      </c>
      <c r="C496" s="13" t="s">
        <v>25</v>
      </c>
      <c r="D496" s="13">
        <v>10.3</v>
      </c>
      <c r="E496" s="13" t="s">
        <v>27</v>
      </c>
      <c r="F496" s="13">
        <v>3.0</v>
      </c>
      <c r="G496" s="13" t="s">
        <v>55</v>
      </c>
      <c r="H496" s="25">
        <v>16.526</v>
      </c>
      <c r="I496" s="54">
        <f t="shared" ref="I496:O496" si="314">I460*1.02</f>
        <v>4.124421</v>
      </c>
      <c r="J496" s="54">
        <f t="shared" si="314"/>
        <v>0.122094</v>
      </c>
      <c r="K496" s="54">
        <f t="shared" si="314"/>
        <v>145.440729</v>
      </c>
      <c r="L496" s="54">
        <f t="shared" si="314"/>
        <v>31.085775</v>
      </c>
      <c r="M496" s="54">
        <f t="shared" si="314"/>
        <v>132.338115</v>
      </c>
      <c r="N496" s="54">
        <f t="shared" si="314"/>
        <v>31.534524</v>
      </c>
      <c r="O496" s="54">
        <f t="shared" si="314"/>
        <v>94.39794</v>
      </c>
    </row>
    <row r="497">
      <c r="A497" s="13" t="s">
        <v>20</v>
      </c>
      <c r="B497" s="26">
        <v>45702.0</v>
      </c>
      <c r="C497" s="13" t="s">
        <v>25</v>
      </c>
      <c r="D497" s="13">
        <v>10.4</v>
      </c>
      <c r="E497" s="13" t="s">
        <v>27</v>
      </c>
      <c r="F497" s="13">
        <v>3.0</v>
      </c>
      <c r="G497" s="13" t="s">
        <v>55</v>
      </c>
      <c r="H497" s="25">
        <v>19.8289</v>
      </c>
      <c r="I497" s="54">
        <f t="shared" ref="I497:O497" si="315">I461*1.02</f>
        <v>4.73382</v>
      </c>
      <c r="J497" s="54">
        <f t="shared" si="315"/>
        <v>0.083538</v>
      </c>
      <c r="K497" s="54">
        <f t="shared" si="315"/>
        <v>125.969949</v>
      </c>
      <c r="L497" s="54">
        <f t="shared" si="315"/>
        <v>29.894823</v>
      </c>
      <c r="M497" s="54">
        <f t="shared" si="315"/>
        <v>113.127588</v>
      </c>
      <c r="N497" s="54">
        <f t="shared" si="315"/>
        <v>29.063727</v>
      </c>
      <c r="O497" s="54">
        <f t="shared" si="315"/>
        <v>79.568874</v>
      </c>
    </row>
    <row r="498">
      <c r="A498" s="13" t="s">
        <v>20</v>
      </c>
      <c r="B498" s="26">
        <v>45702.0</v>
      </c>
      <c r="C498" s="13" t="s">
        <v>25</v>
      </c>
      <c r="D498" s="13">
        <v>11.1</v>
      </c>
      <c r="E498" s="13" t="s">
        <v>27</v>
      </c>
      <c r="F498" s="13">
        <v>3.0</v>
      </c>
      <c r="G498" s="13" t="s">
        <v>55</v>
      </c>
      <c r="H498" s="25">
        <v>27.8706</v>
      </c>
      <c r="I498" s="54">
        <f t="shared" ref="I498:O498" si="316">I462*1.02</f>
        <v>3.050208</v>
      </c>
      <c r="J498" s="54">
        <f t="shared" si="316"/>
        <v>0.037485</v>
      </c>
      <c r="K498" s="54">
        <f t="shared" si="316"/>
        <v>163.203264</v>
      </c>
      <c r="L498" s="54">
        <f t="shared" si="316"/>
        <v>29.518902</v>
      </c>
      <c r="M498" s="54">
        <f t="shared" si="316"/>
        <v>144.012015</v>
      </c>
      <c r="N498" s="54">
        <f t="shared" si="316"/>
        <v>30.131514</v>
      </c>
      <c r="O498" s="54">
        <f t="shared" si="316"/>
        <v>100.378404</v>
      </c>
    </row>
    <row r="499">
      <c r="A499" s="13" t="s">
        <v>20</v>
      </c>
      <c r="B499" s="26">
        <v>45702.0</v>
      </c>
      <c r="C499" s="13" t="s">
        <v>25</v>
      </c>
      <c r="D499" s="13">
        <v>11.2</v>
      </c>
      <c r="E499" s="13" t="s">
        <v>27</v>
      </c>
      <c r="F499" s="13">
        <v>3.0</v>
      </c>
      <c r="G499" s="13" t="s">
        <v>55</v>
      </c>
      <c r="H499" s="25">
        <v>19.239</v>
      </c>
      <c r="I499" s="54">
        <f t="shared" ref="I499:O499" si="317">I463*1.02</f>
        <v>3.014865</v>
      </c>
      <c r="J499" s="54">
        <f t="shared" si="317"/>
        <v>0.018207</v>
      </c>
      <c r="K499" s="54">
        <f t="shared" si="317"/>
        <v>174.387717</v>
      </c>
      <c r="L499" s="54">
        <f t="shared" si="317"/>
        <v>30.163644</v>
      </c>
      <c r="M499" s="54">
        <f t="shared" si="317"/>
        <v>155.773737</v>
      </c>
      <c r="N499" s="54">
        <f t="shared" si="317"/>
        <v>32.198544</v>
      </c>
      <c r="O499" s="54">
        <f t="shared" si="317"/>
        <v>112.764519</v>
      </c>
    </row>
    <row r="500">
      <c r="A500" s="13" t="s">
        <v>20</v>
      </c>
      <c r="B500" s="26">
        <v>45702.0</v>
      </c>
      <c r="C500" s="13" t="s">
        <v>25</v>
      </c>
      <c r="D500" s="13">
        <v>11.3</v>
      </c>
      <c r="E500" s="13" t="s">
        <v>27</v>
      </c>
      <c r="F500" s="13">
        <v>3.0</v>
      </c>
      <c r="G500" s="13" t="s">
        <v>55</v>
      </c>
      <c r="H500" s="25">
        <v>15.092</v>
      </c>
      <c r="I500" s="54">
        <f t="shared" ref="I500:O500" si="318">I464*1.02</f>
        <v>3.869523</v>
      </c>
      <c r="J500" s="54">
        <f t="shared" si="318"/>
        <v>0.027846</v>
      </c>
      <c r="K500" s="54">
        <f t="shared" si="318"/>
        <v>143.177706</v>
      </c>
      <c r="L500" s="54">
        <f t="shared" si="318"/>
        <v>35.173782</v>
      </c>
      <c r="M500" s="54">
        <f t="shared" si="318"/>
        <v>126.829962</v>
      </c>
      <c r="N500" s="54">
        <f t="shared" si="318"/>
        <v>37.240812</v>
      </c>
      <c r="O500" s="54">
        <f t="shared" si="318"/>
        <v>93.276603</v>
      </c>
    </row>
    <row r="501">
      <c r="A501" s="13" t="s">
        <v>20</v>
      </c>
      <c r="B501" s="26">
        <v>45702.0</v>
      </c>
      <c r="C501" s="13" t="s">
        <v>25</v>
      </c>
      <c r="D501" s="13">
        <v>11.4</v>
      </c>
      <c r="E501" s="13" t="s">
        <v>27</v>
      </c>
      <c r="F501" s="13">
        <v>3.0</v>
      </c>
      <c r="G501" s="13" t="s">
        <v>55</v>
      </c>
      <c r="H501" s="25">
        <v>13.4624</v>
      </c>
      <c r="I501" s="54">
        <f t="shared" ref="I501:O501" si="319">I465*1.02</f>
        <v>4.207959</v>
      </c>
      <c r="J501" s="54">
        <f t="shared" si="319"/>
        <v>0.058905</v>
      </c>
      <c r="K501" s="54">
        <f t="shared" si="319"/>
        <v>171.379278</v>
      </c>
      <c r="L501" s="54">
        <f t="shared" si="319"/>
        <v>31.046148</v>
      </c>
      <c r="M501" s="54">
        <f t="shared" si="319"/>
        <v>152.828487</v>
      </c>
      <c r="N501" s="54">
        <f t="shared" si="319"/>
        <v>32.003622</v>
      </c>
      <c r="O501" s="54">
        <f t="shared" si="319"/>
        <v>115.51806</v>
      </c>
    </row>
    <row r="502">
      <c r="A502" s="13" t="s">
        <v>20</v>
      </c>
      <c r="B502" s="26">
        <v>45702.0</v>
      </c>
      <c r="C502" s="13" t="s">
        <v>25</v>
      </c>
      <c r="D502" s="13">
        <v>12.1</v>
      </c>
      <c r="E502" s="13" t="s">
        <v>27</v>
      </c>
      <c r="F502" s="13">
        <v>3.0</v>
      </c>
      <c r="G502" s="13" t="s">
        <v>55</v>
      </c>
      <c r="H502" s="25">
        <v>14.1923</v>
      </c>
      <c r="I502" s="54">
        <f t="shared" ref="I502:O502" si="320">I466*1.02</f>
        <v>5.631318</v>
      </c>
      <c r="J502" s="54">
        <f t="shared" si="320"/>
        <v>0.022491</v>
      </c>
      <c r="K502" s="54">
        <f t="shared" si="320"/>
        <v>163.775178</v>
      </c>
      <c r="L502" s="54">
        <f t="shared" si="320"/>
        <v>33.162444</v>
      </c>
      <c r="M502" s="54">
        <f t="shared" si="320"/>
        <v>145.997649</v>
      </c>
      <c r="N502" s="54">
        <f t="shared" si="320"/>
        <v>34.478703</v>
      </c>
      <c r="O502" s="54">
        <f t="shared" si="320"/>
        <v>106.249626</v>
      </c>
    </row>
    <row r="503">
      <c r="A503" s="13" t="s">
        <v>20</v>
      </c>
      <c r="B503" s="26">
        <v>45702.0</v>
      </c>
      <c r="C503" s="13" t="s">
        <v>25</v>
      </c>
      <c r="D503" s="13">
        <v>12.2</v>
      </c>
      <c r="E503" s="13" t="s">
        <v>27</v>
      </c>
      <c r="F503" s="13">
        <v>3.0</v>
      </c>
      <c r="G503" s="13" t="s">
        <v>55</v>
      </c>
      <c r="H503" s="25">
        <v>16.2621</v>
      </c>
      <c r="I503" s="54">
        <f t="shared" ref="I503:O503" si="321">I467*1.02</f>
        <v>5.610969</v>
      </c>
      <c r="J503" s="54">
        <f t="shared" si="321"/>
        <v>0.039627</v>
      </c>
      <c r="K503" s="54">
        <f t="shared" si="321"/>
        <v>168.150213</v>
      </c>
      <c r="L503" s="54">
        <f t="shared" si="321"/>
        <v>30.049047</v>
      </c>
      <c r="M503" s="54">
        <f t="shared" si="321"/>
        <v>150.460506</v>
      </c>
      <c r="N503" s="54">
        <f t="shared" si="321"/>
        <v>32.141781</v>
      </c>
      <c r="O503" s="54">
        <f t="shared" si="321"/>
        <v>110.746755</v>
      </c>
    </row>
    <row r="504">
      <c r="A504" s="13" t="s">
        <v>20</v>
      </c>
      <c r="B504" s="26">
        <v>45702.0</v>
      </c>
      <c r="C504" s="13" t="s">
        <v>25</v>
      </c>
      <c r="D504" s="13">
        <v>12.3</v>
      </c>
      <c r="E504" s="13" t="s">
        <v>27</v>
      </c>
      <c r="F504" s="13">
        <v>3.0</v>
      </c>
      <c r="G504" s="13" t="s">
        <v>55</v>
      </c>
      <c r="H504" s="25">
        <v>16.672</v>
      </c>
      <c r="I504" s="54">
        <f t="shared" ref="I504:O504" si="322">I468*1.02</f>
        <v>5.602401</v>
      </c>
      <c r="J504" s="54">
        <f t="shared" si="322"/>
        <v>0.100674</v>
      </c>
      <c r="K504" s="54">
        <f t="shared" si="322"/>
        <v>147.54096</v>
      </c>
      <c r="L504" s="54">
        <f t="shared" si="322"/>
        <v>35.125587</v>
      </c>
      <c r="M504" s="54">
        <f t="shared" si="322"/>
        <v>129.332889</v>
      </c>
      <c r="N504" s="54">
        <f t="shared" si="322"/>
        <v>37.510704</v>
      </c>
      <c r="O504" s="54">
        <f t="shared" si="322"/>
        <v>75.290229</v>
      </c>
    </row>
    <row r="505">
      <c r="A505" s="13" t="s">
        <v>20</v>
      </c>
      <c r="B505" s="26">
        <v>45702.0</v>
      </c>
      <c r="C505" s="13" t="s">
        <v>25</v>
      </c>
      <c r="D505" s="13">
        <v>12.4</v>
      </c>
      <c r="E505" s="13" t="s">
        <v>27</v>
      </c>
      <c r="F505" s="13">
        <v>3.0</v>
      </c>
      <c r="G505" s="13" t="s">
        <v>55</v>
      </c>
      <c r="H505" s="25">
        <v>18.3041</v>
      </c>
      <c r="I505" s="54">
        <f t="shared" ref="I505:O505" si="323">I469*1.02</f>
        <v>5.586336</v>
      </c>
      <c r="J505" s="54">
        <f t="shared" si="323"/>
        <v>0.05355</v>
      </c>
      <c r="K505" s="54">
        <f t="shared" si="323"/>
        <v>148.512357</v>
      </c>
      <c r="L505" s="54">
        <f t="shared" si="323"/>
        <v>29.050875</v>
      </c>
      <c r="M505" s="54">
        <f t="shared" si="323"/>
        <v>132.109992</v>
      </c>
      <c r="N505" s="54">
        <f t="shared" si="323"/>
        <v>29.639925</v>
      </c>
      <c r="O505" s="54">
        <f t="shared" si="323"/>
        <v>93.886002</v>
      </c>
    </row>
  </sheetData>
  <dataValidations>
    <dataValidation type="list" allowBlank="1" showErrorMessage="1" sqref="C2:C505">
      <formula1>"Mcav,Ofav,Pcli"</formula1>
    </dataValidation>
    <dataValidation type="list" allowBlank="1" showErrorMessage="1" sqref="E2:E505">
      <formula1>"PBR,PBC"</formula1>
    </dataValidation>
    <dataValidation type="list" allowBlank="1" showErrorMessage="1" sqref="G2:G505">
      <formula1>"Before,After"</formula1>
    </dataValidation>
  </dataValidations>
  <drawing r:id="rId1"/>
</worksheet>
</file>